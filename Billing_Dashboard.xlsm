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eports\"/>
    </mc:Choice>
  </mc:AlternateContent>
  <xr:revisionPtr revIDLastSave="0" documentId="13_ncr:1_{AF817697-1EB3-4468-BC8C-F0B2BA94283D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📊 Executive Dashboard" sheetId="2" r:id="rId1"/>
    <sheet name="📋 Instructions" sheetId="3" r:id="rId2"/>
    <sheet name="📁 Data (Power Query)" sheetId="4" r:id="rId3"/>
    <sheet name="_PivotTables" sheetId="10" r:id="rId4"/>
    <sheet name="📈 Monthly Trend" sheetId="5" r:id="rId5"/>
    <sheet name="👤 Agent Analysis" sheetId="6" r:id="rId6"/>
    <sheet name="⚠️  Defect Analysis" sheetId="7" r:id="rId7"/>
    <sheet name="⏱️  Resolution (SLA)" sheetId="8" r:id="rId8"/>
  </sheets>
  <definedNames>
    <definedName name="DatosExternos_1" localSheetId="2" hidden="1">'📁 Data (Power Query)'!$A$1:$P$3516</definedName>
    <definedName name="SegmentaciónDeDatos_Billing_Request__Created_By">#N/A</definedName>
    <definedName name="SegmentaciónDeDatos_Opportunity_Category">#N/A</definedName>
    <definedName name="SegmentaciónDeDatos_Purpose_of_Request">#N/A</definedName>
    <definedName name="SegmentaciónDeDatos_Status">#N/A</definedName>
    <definedName name="SegmentaciónDeDatos_Year">#N/A</definedName>
    <definedName name="SegmentaciónDeDatos_Year_Month">#N/A</definedName>
  </definedNames>
  <calcPr calcId="191029"/>
  <pivotCaches>
    <pivotCache cacheId="398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" i="2" l="1"/>
  <c r="O5" i="2"/>
  <c r="K5" i="2"/>
  <c r="S4" i="2"/>
  <c r="O4" i="2"/>
  <c r="K4" i="2"/>
  <c r="C15" i="8" a="1"/>
  <c r="C15" i="8" s="1"/>
  <c r="C17" i="8"/>
  <c r="C16" i="8" a="1"/>
  <c r="C16" i="8" s="1"/>
  <c r="C14" i="8"/>
  <c r="C13" i="8"/>
  <c r="E5" i="8"/>
  <c r="E6" i="8"/>
  <c r="E7" i="8"/>
  <c r="E8" i="8"/>
  <c r="E4" i="8"/>
  <c r="C8" i="8"/>
  <c r="C7" i="8"/>
  <c r="C6" i="8"/>
  <c r="C5" i="8"/>
  <c r="C4" i="8"/>
  <c r="C16" i="7" l="1"/>
  <c r="C15" i="7"/>
  <c r="C5" i="7"/>
  <c r="C6" i="7"/>
  <c r="C7" i="7"/>
  <c r="C8" i="7"/>
  <c r="C9" i="7"/>
  <c r="C10" i="7"/>
  <c r="C4" i="7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I22" i="6"/>
  <c r="H22" i="6"/>
  <c r="G22" i="6"/>
  <c r="F22" i="6"/>
  <c r="E22" i="6"/>
  <c r="D22" i="6"/>
  <c r="C22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H4" i="6"/>
  <c r="G4" i="6"/>
  <c r="F4" i="6"/>
  <c r="D4" i="6"/>
  <c r="C4" i="6"/>
  <c r="G6" i="5"/>
  <c r="G7" i="5"/>
  <c r="G8" i="5"/>
  <c r="G9" i="5"/>
  <c r="G10" i="5"/>
  <c r="G11" i="5"/>
  <c r="G12" i="5"/>
  <c r="G13" i="5"/>
  <c r="F6" i="5"/>
  <c r="F7" i="5"/>
  <c r="F8" i="5"/>
  <c r="F9" i="5"/>
  <c r="F10" i="5"/>
  <c r="F11" i="5"/>
  <c r="F12" i="5"/>
  <c r="F13" i="5"/>
  <c r="E6" i="5"/>
  <c r="E7" i="5"/>
  <c r="E8" i="5"/>
  <c r="E9" i="5"/>
  <c r="E10" i="5"/>
  <c r="E11" i="5"/>
  <c r="E12" i="5"/>
  <c r="E13" i="5"/>
  <c r="D6" i="5"/>
  <c r="D7" i="5"/>
  <c r="D8" i="5"/>
  <c r="D9" i="5"/>
  <c r="D10" i="5"/>
  <c r="D11" i="5"/>
  <c r="D12" i="5"/>
  <c r="D13" i="5"/>
  <c r="C6" i="5"/>
  <c r="C7" i="5"/>
  <c r="C8" i="5"/>
  <c r="C9" i="5"/>
  <c r="C10" i="5"/>
  <c r="C11" i="5"/>
  <c r="C12" i="5"/>
  <c r="C13" i="5"/>
  <c r="G5" i="5"/>
  <c r="F5" i="5"/>
  <c r="E5" i="5"/>
  <c r="D5" i="5"/>
  <c r="C5" i="5"/>
  <c r="E13" i="6" l="1"/>
  <c r="E7" i="6"/>
  <c r="J25" i="6"/>
  <c r="J35" i="6"/>
  <c r="J23" i="6"/>
  <c r="E6" i="6"/>
  <c r="E8" i="6"/>
  <c r="D16" i="7"/>
  <c r="E12" i="6"/>
  <c r="J31" i="6"/>
  <c r="J32" i="6"/>
  <c r="E10" i="6"/>
  <c r="E11" i="6"/>
  <c r="J22" i="6"/>
  <c r="E16" i="6"/>
  <c r="E17" i="6"/>
  <c r="E5" i="6"/>
  <c r="E15" i="6"/>
  <c r="J28" i="6"/>
  <c r="J29" i="6"/>
  <c r="E4" i="6"/>
  <c r="J30" i="6"/>
  <c r="E9" i="6"/>
  <c r="J26" i="6"/>
  <c r="J27" i="6"/>
  <c r="J24" i="6"/>
  <c r="E14" i="6"/>
  <c r="J34" i="6"/>
  <c r="J33" i="6"/>
  <c r="D15" i="7"/>
  <c r="F14" i="5"/>
  <c r="E14" i="5"/>
  <c r="C14" i="5"/>
  <c r="G18" i="6"/>
  <c r="G14" i="5"/>
  <c r="C11" i="7"/>
  <c r="D4" i="7" s="1"/>
  <c r="C18" i="6"/>
  <c r="C9" i="8"/>
  <c r="F18" i="6"/>
  <c r="D14" i="5"/>
  <c r="D18" i="6"/>
  <c r="E4" i="7" l="1"/>
  <c r="F4" i="7" s="1"/>
  <c r="D5" i="7"/>
  <c r="D6" i="7"/>
  <c r="D7" i="7"/>
  <c r="D8" i="7"/>
  <c r="D7" i="8"/>
  <c r="D4" i="8"/>
  <c r="D5" i="8"/>
  <c r="D6" i="8"/>
  <c r="D8" i="8"/>
  <c r="D10" i="7"/>
  <c r="D9" i="7"/>
  <c r="E6" i="7" l="1"/>
  <c r="F6" i="7" s="1"/>
  <c r="E5" i="7"/>
  <c r="F5" i="7" s="1"/>
  <c r="E10" i="7"/>
  <c r="F10" i="7" s="1"/>
  <c r="E7" i="7"/>
  <c r="F7" i="7" s="1"/>
  <c r="E9" i="7"/>
  <c r="F9" i="7" s="1"/>
  <c r="E8" i="7"/>
  <c r="F8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6B25ED-6849-4172-8B4D-DE97765EAD35}" keepAlive="1" name="Consulta - GAb" description="Conexión a la consulta 'GAb' en el libro." type="5" refreshedVersion="8" background="1" saveData="1">
    <dbPr connection="Provider=Microsoft.Mashup.OleDb.1;Data Source=$Workbook$;Location=GAb;Extended Properties=&quot;&quot;" command="SELECT * FROM [GA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<sst xmlns="http://schemas.openxmlformats.org/spreadsheetml/2006/main" count="42464" uniqueCount="7276">
  <si>
    <t>Month</t>
  </si>
  <si>
    <t>Total</t>
  </si>
  <si>
    <t>Complete</t>
  </si>
  <si>
    <t>Credit/Rebill</t>
  </si>
  <si>
    <t>Missed Billing</t>
  </si>
  <si>
    <t>Status</t>
  </si>
  <si>
    <t>Count</t>
  </si>
  <si>
    <t>Agent</t>
  </si>
  <si>
    <t>2025-08</t>
  </si>
  <si>
    <t>Other Invoice Details</t>
  </si>
  <si>
    <t>Gabo Munoz</t>
  </si>
  <si>
    <t>0-7 days</t>
  </si>
  <si>
    <t>2025-09</t>
  </si>
  <si>
    <t>Incorrect Amount Billed</t>
  </si>
  <si>
    <t>Connor Mora</t>
  </si>
  <si>
    <t>8-14 days</t>
  </si>
  <si>
    <t>2025-10</t>
  </si>
  <si>
    <t>Change Name/Address - Sales Miss</t>
  </si>
  <si>
    <t>Mariana Zelaya Quiros</t>
  </si>
  <si>
    <t>15-30 days</t>
  </si>
  <si>
    <t>2025-11</t>
  </si>
  <si>
    <t>Ready for Work</t>
  </si>
  <si>
    <t>Change Name/Address - Client Miss</t>
  </si>
  <si>
    <t>Graham Devine</t>
  </si>
  <si>
    <t>31-60 days</t>
  </si>
  <si>
    <t>2025-12</t>
  </si>
  <si>
    <t>PO Number</t>
  </si>
  <si>
    <t>Fabriccio Vasquez</t>
  </si>
  <si>
    <t>61+ days</t>
  </si>
  <si>
    <t>2026-01</t>
  </si>
  <si>
    <t>Missing/Incorrect Tax/VAT ID</t>
  </si>
  <si>
    <t>Xia Zheng</t>
  </si>
  <si>
    <t>2026-02</t>
  </si>
  <si>
    <t>WriteOff (Duplicate)</t>
  </si>
  <si>
    <t>Tyler Ward</t>
  </si>
  <si>
    <t>2026-03</t>
  </si>
  <si>
    <t>Matt Barwise</t>
  </si>
  <si>
    <t>2026-04</t>
  </si>
  <si>
    <t>Ariana Vega</t>
  </si>
  <si>
    <t>Billy Pan</t>
  </si>
  <si>
    <t>Elena Salazar Castillo</t>
  </si>
  <si>
    <t>Gabriel Johnston Leon</t>
  </si>
  <si>
    <t>Matthew Miselis</t>
  </si>
  <si>
    <t>Brenden Freedman</t>
  </si>
  <si>
    <t>BILLING REQUESTS  |  EXECUTIVE DASHBOARD  |  2025–2026</t>
  </si>
  <si>
    <t>Total Requests</t>
  </si>
  <si>
    <t>Completed</t>
  </si>
  <si>
    <t>In Progress / Pending</t>
  </si>
  <si>
    <t>Avg. Resolution Time</t>
  </si>
  <si>
    <t>records</t>
  </si>
  <si>
    <t>days</t>
  </si>
  <si>
    <t>Request Type Distribution</t>
  </si>
  <si>
    <t>SLA – Resolution Time Distribution</t>
  </si>
  <si>
    <t>Requests by Agent</t>
  </si>
  <si>
    <t>BILLING REQUESTS  |  WEEKLY UPDATE GUIDE</t>
  </si>
  <si>
    <t>Follow these 3 steps each week to update all analyses automatically</t>
  </si>
  <si>
    <t xml:space="preserve">  STEP 1  –  Save the new CSV file</t>
  </si>
  <si>
    <t>When you receive the weekly CSV by email, save it to this folder:
C:\Reports\Billing\GAb.csv
⚠️  IMPORTANT: the file must always be named  GAb.csv
(replace the previous file — do not rename it)</t>
  </si>
  <si>
    <t xml:space="preserve">  STEP 2  –  Open this Excel file</t>
  </si>
  <si>
    <t>Open this same Excel file.
If Excel asks 'Enable content?' → click YES.</t>
  </si>
  <si>
    <t xml:space="preserve">  STEP 3  –  Click Refresh All</t>
  </si>
  <si>
    <t>In the Excel ribbon, go to:
Data  →  Refresh All
Excel will read the CSV, process the data, and update
all tables and charts automatically. ✅</t>
  </si>
  <si>
    <t>⚠️  IMPORTANT RULES</t>
  </si>
  <si>
    <t xml:space="preserve">  •  The CSV must always be named  GAb.csv  (same name, every time).</t>
  </si>
  <si>
    <t xml:space="preserve">  •  It must be saved to:  C:\Reports\Billing\GAb.csv</t>
  </si>
  <si>
    <t xml:space="preserve">  •  Do not rename the sheets in this Excel file or move the tables.</t>
  </si>
  <si>
    <t xml:space="preserve">  •  New months will appear automatically when the data is refreshed.</t>
  </si>
  <si>
    <t xml:space="preserve">  •  If in doubt, contact the Data team before making any changes.</t>
  </si>
  <si>
    <t>WORKBOOK CONTENTS</t>
  </si>
  <si>
    <t>📊 Executive Dashboard</t>
  </si>
  <si>
    <t>Interactive dashboard with all KPIs and charts</t>
  </si>
  <si>
    <t>📋 Instructions</t>
  </si>
  <si>
    <t>This sheet – weekly update guide</t>
  </si>
  <si>
    <t>📁 Data (Power Query)</t>
  </si>
  <si>
    <t>Clean data loaded automatically from the CSV</t>
  </si>
  <si>
    <t>📈 Monthly Trend</t>
  </si>
  <si>
    <t>Month-by-month volume, completion rate and types</t>
  </si>
  <si>
    <t>👤 Agent Analysis</t>
  </si>
  <si>
    <t>Productivity and workload breakdown by agent</t>
  </si>
  <si>
    <t>⚠️  Defect Analysis</t>
  </si>
  <si>
    <t>Pareto of errors and root cause breakdown</t>
  </si>
  <si>
    <t>⏱️  Resolution (SLA)</t>
  </si>
  <si>
    <t>Resolution time distribution and statistics</t>
  </si>
  <si>
    <t>Opportunity</t>
  </si>
  <si>
    <t>Purpose of Request</t>
  </si>
  <si>
    <t>Defect Reason Code</t>
  </si>
  <si>
    <t>Months of Service</t>
  </si>
  <si>
    <t>Defect Root Cause</t>
  </si>
  <si>
    <t>Days to Resolve</t>
  </si>
  <si>
    <t>Year-Month</t>
  </si>
  <si>
    <t>Invoice Revision: Missed Billing</t>
  </si>
  <si>
    <t>Jul</t>
  </si>
  <si>
    <t>Invoice Revision: Credit/Rebill</t>
  </si>
  <si>
    <t>May; Jun</t>
  </si>
  <si>
    <t>Aug</t>
  </si>
  <si>
    <t>Invoice Copy</t>
  </si>
  <si>
    <t>Oct</t>
  </si>
  <si>
    <t>Dec</t>
  </si>
  <si>
    <t>Nov; Dec</t>
  </si>
  <si>
    <t>MONTHLY TREND  –  Request Volume by Month</t>
  </si>
  <si>
    <t>Dynamic formulas  ·  Refresh via  Data → Refresh All  to include new months</t>
  </si>
  <si>
    <t>Credit / Rebill</t>
  </si>
  <si>
    <t>Avg. Resolution (days)</t>
  </si>
  <si>
    <t>TOTAL / AVG</t>
  </si>
  <si>
    <t>💡  Key Insights – Trend</t>
  </si>
  <si>
    <t xml:space="preserve">  •  Peak month: 2026-02 with 40 requests – investigate workload drivers for that period.</t>
  </si>
  <si>
    <t xml:space="preserve">  •  Dataset spans 9 months (2025-08 to 2026-04).</t>
  </si>
  <si>
    <t xml:space="preserve">  •  November and February recorded the highest activity in the period.</t>
  </si>
  <si>
    <t xml:space="preserve">  •  The table expands automatically as new months arrive via CSV refresh.</t>
  </si>
  <si>
    <t>AGENT ANALYSIS  –  Productivity &amp; Workload Breakdown</t>
  </si>
  <si>
    <t>% Completed</t>
  </si>
  <si>
    <t>Avg. Days</t>
  </si>
  <si>
    <t>TOTAL</t>
  </si>
  <si>
    <t>Cross Matrix: Agent  ×  Defect Reason Code</t>
  </si>
  <si>
    <t>DEFECT ANALYSIS  –  Pareto &amp; Root Cause Breakdown</t>
  </si>
  <si>
    <t>% of Total</t>
  </si>
  <si>
    <t>Cumulative %</t>
  </si>
  <si>
    <t>Pareto Class</t>
  </si>
  <si>
    <t>Sales Miss vs. Client Miss  –  Who Generates More Rework?</t>
  </si>
  <si>
    <t>Code</t>
  </si>
  <si>
    <t>% of Sub-total</t>
  </si>
  <si>
    <t>Interpretation</t>
  </si>
  <si>
    <t>Error originating from the internal Sales team</t>
  </si>
  <si>
    <t>Error originating from the client</t>
  </si>
  <si>
    <t>💡  How to Read the Pareto</t>
  </si>
  <si>
    <t xml:space="preserve">  •  Green = Class A: concentrates 80% of errors. Priority for improvement plans.</t>
  </si>
  <si>
    <t xml:space="preserve">  •  Yellow = Class B: between 80% and 95% cumulative. Important but secondary.</t>
  </si>
  <si>
    <t xml:space="preserve">  •  Red = Class C: remaining 5%. Low impact – monitor without prioritizing.</t>
  </si>
  <si>
    <t xml:space="preserve">  •  'Other Invoice Details' and 'Incorrect Amount Billed' are the critical root causes to address.</t>
  </si>
  <si>
    <t>RESOLUTION TIME ANALYSIS  (SLA)</t>
  </si>
  <si>
    <t>Resolution Range</t>
  </si>
  <si>
    <t>% of Completed</t>
  </si>
  <si>
    <t>TOTAL Completed</t>
  </si>
  <si>
    <t>Resolution Time Statistics  (Completed requests only)</t>
  </si>
  <si>
    <t>Metric</t>
  </si>
  <si>
    <t>Value (days)</t>
  </si>
  <si>
    <t>Minimum</t>
  </si>
  <si>
    <t>Average (Mean)</t>
  </si>
  <si>
    <t>Median (P50)</t>
  </si>
  <si>
    <t>75th Percentile (P75)</t>
  </si>
  <si>
    <t>Maximum</t>
  </si>
  <si>
    <t>💡  Resolution Insights</t>
  </si>
  <si>
    <t xml:space="preserve">  •  50% of cases are resolved in 34 days or fewer (median).</t>
  </si>
  <si>
    <t xml:space="preserve">  •  P75 = 85 days: 25% of cases take longer than that.</t>
  </si>
  <si>
    <t xml:space="preserve">  •  The slowest case took 204 days – candidate for root cause review.</t>
  </si>
  <si>
    <t xml:space="preserve">  •  Suggested SLA target: define whether the goal is ≤14 days or ≤30 days to set traffic-light thresholds.</t>
  </si>
  <si>
    <t>Etiquetas de fila</t>
  </si>
  <si>
    <t>Total general</t>
  </si>
  <si>
    <t>Etiquetas de columna</t>
  </si>
  <si>
    <t>TNF / NFL</t>
  </si>
  <si>
    <t>NBA</t>
  </si>
  <si>
    <t>NWSL</t>
  </si>
  <si>
    <t>NASCAR</t>
  </si>
  <si>
    <t>Opportunity Category</t>
  </si>
  <si>
    <t>Billing Requests by Month of Service</t>
  </si>
  <si>
    <t>Billing Requests by Opportunity</t>
  </si>
  <si>
    <t>Billing Request: ID</t>
  </si>
  <si>
    <t/>
  </si>
  <si>
    <t>SLA_Bucket</t>
  </si>
  <si>
    <t>Billing Request: Billing Request Identifier</t>
  </si>
  <si>
    <t>Billing Request: Created By</t>
  </si>
  <si>
    <t>Billing Request: Created Date</t>
  </si>
  <si>
    <t>Billing Request: Last Modified Date</t>
  </si>
  <si>
    <t>Defect Reason Codes</t>
  </si>
  <si>
    <t>Cuenta de Billing Request: Billing Request Identifier</t>
  </si>
  <si>
    <t>Mar</t>
  </si>
  <si>
    <t xml:space="preserve"> </t>
  </si>
  <si>
    <t>Year</t>
  </si>
  <si>
    <t>Sep</t>
  </si>
  <si>
    <t>Sep; Oct</t>
  </si>
  <si>
    <t>Other</t>
  </si>
  <si>
    <t>Remove/Inactive</t>
  </si>
  <si>
    <t>Jan</t>
  </si>
  <si>
    <t>May</t>
  </si>
  <si>
    <t>Nov</t>
  </si>
  <si>
    <t>Waiting on Someone Else</t>
  </si>
  <si>
    <t>Jan; Feb</t>
  </si>
  <si>
    <t>Feb</t>
  </si>
  <si>
    <t>⚠️ Este archivo contiene automatizaciones. No modificar estructura ni hojas ocultas.</t>
  </si>
  <si>
    <t>Demand Trend (What’s changing?)</t>
  </si>
  <si>
    <t>Top Drivers of Rework</t>
  </si>
  <si>
    <t>2025-01</t>
  </si>
  <si>
    <t>2025-05</t>
  </si>
  <si>
    <t>2026-05</t>
  </si>
  <si>
    <t>2025-06</t>
  </si>
  <si>
    <t>2025-04</t>
  </si>
  <si>
    <t>2025-03</t>
  </si>
  <si>
    <t>2025-07</t>
  </si>
  <si>
    <t>2025-02</t>
  </si>
  <si>
    <t>Blocked</t>
  </si>
  <si>
    <t>NBA Playoffs Campaign 2025</t>
  </si>
  <si>
    <t>Billing Request- 00100000</t>
  </si>
  <si>
    <t>Kevin Parker</t>
  </si>
  <si>
    <t>a6JXt2458591</t>
  </si>
  <si>
    <t>Late Billing Submission</t>
  </si>
  <si>
    <t>Client requested retroactive billing adjustments.</t>
  </si>
  <si>
    <t>NASCAR Apex 2025 2026</t>
  </si>
  <si>
    <t>Billing Request- 00100002</t>
  </si>
  <si>
    <t>a6JHn2714803</t>
  </si>
  <si>
    <t>Apr</t>
  </si>
  <si>
    <t>Invoice details mismatch with approved campaign.</t>
  </si>
  <si>
    <t>Prime Sports NFL 2026</t>
  </si>
  <si>
    <t>Billing Request- 00100003</t>
  </si>
  <si>
    <t>Sofia Morales</t>
  </si>
  <si>
    <t>Incorrect Invoice Amount</t>
  </si>
  <si>
    <t>Manual billing entry issue.</t>
  </si>
  <si>
    <t>NASCAR P&amp;Q 2025</t>
  </si>
  <si>
    <t>Billing Request- 00100004</t>
  </si>
  <si>
    <t>Andrew Rivera</t>
  </si>
  <si>
    <t>Agency Revision Request</t>
  </si>
  <si>
    <t>Agency submitted updated invoice mapping.</t>
  </si>
  <si>
    <t>NFL Prime Video 2025</t>
  </si>
  <si>
    <t>Billing Request- 00100005</t>
  </si>
  <si>
    <t>TNF Sponsorship 2025</t>
  </si>
  <si>
    <t>Billing Request- 00100006</t>
  </si>
  <si>
    <t>Angelica Herrera Calvo</t>
  </si>
  <si>
    <t>Jul; Aug</t>
  </si>
  <si>
    <t>Missing supporting documentation from vendor.</t>
  </si>
  <si>
    <t>NASCAR P&amp;Q 2026</t>
  </si>
  <si>
    <t>Amazon TNF 2024 2026</t>
  </si>
  <si>
    <t>Billing Request- 00100008</t>
  </si>
  <si>
    <t>Confluence Academy 2025</t>
  </si>
  <si>
    <t>Billing Request- 00100009</t>
  </si>
  <si>
    <t>Laura Jenkins</t>
  </si>
  <si>
    <t>Billing Request- 00100011</t>
  </si>
  <si>
    <t>Missing Backup Documentation</t>
  </si>
  <si>
    <t>NWSL Halftime Sponsorship 2026</t>
  </si>
  <si>
    <t>Billing Request- 00100012</t>
  </si>
  <si>
    <t>PO / IO Mismatch</t>
  </si>
  <si>
    <t>Jun</t>
  </si>
  <si>
    <t>Late media plan changes from client.</t>
  </si>
  <si>
    <t>Retail Media Expansion 2025</t>
  </si>
  <si>
    <t>Billing Request- 00100013</t>
  </si>
  <si>
    <t>Incorrect legal terms delayed PTS.</t>
  </si>
  <si>
    <t>NBA Playoffs Campaign 2026</t>
  </si>
  <si>
    <t>Billing Request- 00100018</t>
  </si>
  <si>
    <t>Billing Request- 00100020</t>
  </si>
  <si>
    <t>Melissa Grant</t>
  </si>
  <si>
    <t>Global Consumer Products 2025</t>
  </si>
  <si>
    <t>a6JXt6271130</t>
  </si>
  <si>
    <t>Amazon TNF 2024 2025</t>
  </si>
  <si>
    <t>Billing Request- 00100024</t>
  </si>
  <si>
    <t>a6JXt3607983</t>
  </si>
  <si>
    <t>a6Jat3970445</t>
  </si>
  <si>
    <t>NBA League Pass 2026</t>
  </si>
  <si>
    <t>a6JHn1649691</t>
  </si>
  <si>
    <t>Finance validation process delay.</t>
  </si>
  <si>
    <t>Amazon NBA Live Sports 2025</t>
  </si>
  <si>
    <t>Billing Request- 00100030</t>
  </si>
  <si>
    <t>Global Consumer Products 2026</t>
  </si>
  <si>
    <t>Billing Request- 00100031</t>
  </si>
  <si>
    <t>Prime Sports NFL 2025</t>
  </si>
  <si>
    <t>Billing Request- 00100032</t>
  </si>
  <si>
    <t>DirecTV NASCAR Campaign 2025</t>
  </si>
  <si>
    <t>Billing Request- 00100033</t>
  </si>
  <si>
    <t>NBA League Pass 2025</t>
  </si>
  <si>
    <t>Billing Request- 00100034</t>
  </si>
  <si>
    <t>NWSL Halftime Sponsorship 2025</t>
  </si>
  <si>
    <t>Billing Request- 00100035</t>
  </si>
  <si>
    <t>Billing Request- 00100037</t>
  </si>
  <si>
    <t>a6JXt9689889</t>
  </si>
  <si>
    <t>NWSL Prime Video 2026</t>
  </si>
  <si>
    <t>Billing Request- 00100038</t>
  </si>
  <si>
    <t>Billing Request- 00100039</t>
  </si>
  <si>
    <t>NASCAR Apex 2025 2025</t>
  </si>
  <si>
    <t>Billing Request- 00100040</t>
  </si>
  <si>
    <t>a6Jat3530518</t>
  </si>
  <si>
    <t>Billing Request- 00100042</t>
  </si>
  <si>
    <t>Billing Request- 00100043</t>
  </si>
  <si>
    <t>DirecTV NASCAR Campaign 2026</t>
  </si>
  <si>
    <t>Billing Request- 00100047</t>
  </si>
  <si>
    <t>Billing Request- 00100048</t>
  </si>
  <si>
    <t>NWSL Prime Video 2025</t>
  </si>
  <si>
    <t>Billing Request- 00100049</t>
  </si>
  <si>
    <t>Streaming Bundle Initiative 2026</t>
  </si>
  <si>
    <t>Billing Request- 00100052</t>
  </si>
  <si>
    <t>Billing Request- 00100053</t>
  </si>
  <si>
    <t>Billing Request- 00100054</t>
  </si>
  <si>
    <t>Billing Request- 00100057</t>
  </si>
  <si>
    <t>a6JHn2429098</t>
  </si>
  <si>
    <t>Streaming Bundle Initiative 2025</t>
  </si>
  <si>
    <t>a6JXt8194570</t>
  </si>
  <si>
    <t>a6JXt2259379</t>
  </si>
  <si>
    <t>Mar; Apr</t>
  </si>
  <si>
    <t>Billing Request- 00100061</t>
  </si>
  <si>
    <t>a6JHn2194198</t>
  </si>
  <si>
    <t>Billing Request- 00100063</t>
  </si>
  <si>
    <t>Billing Request- 00100069</t>
  </si>
  <si>
    <t>Retail Media Expansion 2026</t>
  </si>
  <si>
    <t>Billing Request- 00100070</t>
  </si>
  <si>
    <t>TNF Sponsorship 2026</t>
  </si>
  <si>
    <t>Billing Request- 00100071</t>
  </si>
  <si>
    <t>Billing Request- 00100072</t>
  </si>
  <si>
    <t>Billing Request- 00100074</t>
  </si>
  <si>
    <t>Billing Request- 00100075</t>
  </si>
  <si>
    <t>Billing Request- 00100078</t>
  </si>
  <si>
    <t>a6JHn5283671</t>
  </si>
  <si>
    <t>a6JHn1368085</t>
  </si>
  <si>
    <t>Billing Request- 00100081</t>
  </si>
  <si>
    <t>Billing Request- 00100082</t>
  </si>
  <si>
    <t>Billing Request- 00100084</t>
  </si>
  <si>
    <t>a6JHn3073474</t>
  </si>
  <si>
    <t>Amazon NBA Live Sports 2026</t>
  </si>
  <si>
    <t>Billing Request- 00100085</t>
  </si>
  <si>
    <t>a6JXt6503032</t>
  </si>
  <si>
    <t>NFL Prime Video 2026</t>
  </si>
  <si>
    <t>Billing Request- 00100086</t>
  </si>
  <si>
    <t>a6JHn2948178</t>
  </si>
  <si>
    <t>Billing Request- 00100087</t>
  </si>
  <si>
    <t>a6JHn2661307</t>
  </si>
  <si>
    <t>Billing Request- 00100089</t>
  </si>
  <si>
    <t>a6JXt1358318</t>
  </si>
  <si>
    <t>Billing Request- 00100090</t>
  </si>
  <si>
    <t>a6Jat6512314</t>
  </si>
  <si>
    <t>Billing Request- 00100094</t>
  </si>
  <si>
    <t>a6JHn6455706</t>
  </si>
  <si>
    <t>Billing Request- 00100097</t>
  </si>
  <si>
    <t>Confluence Academy 2026</t>
  </si>
  <si>
    <t>Billing Request- 00100099</t>
  </si>
  <si>
    <t>Billing Request- 00100101</t>
  </si>
  <si>
    <t>Billing Request- 00100102</t>
  </si>
  <si>
    <t>a6Jat3302417</t>
  </si>
  <si>
    <t>WNBA Incremental Scatter 2025</t>
  </si>
  <si>
    <t>Billing Request- 00100107</t>
  </si>
  <si>
    <t>Billing Request- 00100110</t>
  </si>
  <si>
    <t>Billing Request- 00100111</t>
  </si>
  <si>
    <t>Billing Request- 00100112</t>
  </si>
  <si>
    <t>Billing Request- 00100113</t>
  </si>
  <si>
    <t>Billing Request- 00100115</t>
  </si>
  <si>
    <t>Billing Request- 00100116</t>
  </si>
  <si>
    <t>Billing Request- 00100117</t>
  </si>
  <si>
    <t>Billing Request- 00100118</t>
  </si>
  <si>
    <t>Billing Request- 00100119</t>
  </si>
  <si>
    <t>Billing Request- 00100120</t>
  </si>
  <si>
    <t>Billing Request- 00100121</t>
  </si>
  <si>
    <t>a6JXt7490791</t>
  </si>
  <si>
    <t>Billing Request- 00100126</t>
  </si>
  <si>
    <t>a6JHn3937508</t>
  </si>
  <si>
    <t>Billing Request- 00100127</t>
  </si>
  <si>
    <t>a6Jat1703065</t>
  </si>
  <si>
    <t>Billing Request- 00100128</t>
  </si>
  <si>
    <t>Billing Request- 00100131</t>
  </si>
  <si>
    <t>Billing Request- 00100132</t>
  </si>
  <si>
    <t>Billing Request- 00100133</t>
  </si>
  <si>
    <t>Billing Request- 00100134</t>
  </si>
  <si>
    <t>Billing Request- 00100135</t>
  </si>
  <si>
    <t>Billing Request- 00100136</t>
  </si>
  <si>
    <t>Billing Request- 00100137</t>
  </si>
  <si>
    <t>Billing Request- 00100138</t>
  </si>
  <si>
    <t>Billing Request- 00100139</t>
  </si>
  <si>
    <t>a6JHn9705660</t>
  </si>
  <si>
    <t>Billing Request- 00100142</t>
  </si>
  <si>
    <t>Billing Request- 00100143</t>
  </si>
  <si>
    <t>Billing Request- 00100145</t>
  </si>
  <si>
    <t>Billing Request- 00100147</t>
  </si>
  <si>
    <t>Billing Request- 00100148</t>
  </si>
  <si>
    <t>Billing Request- 00100150</t>
  </si>
  <si>
    <t>Billing Request- 00100152</t>
  </si>
  <si>
    <t>Billing Request- 00100154</t>
  </si>
  <si>
    <t>Billing Request- 00100155</t>
  </si>
  <si>
    <t>Billing Request- 00100157</t>
  </si>
  <si>
    <t>Billing Request- 00100159</t>
  </si>
  <si>
    <t>Billing Request- 00100160</t>
  </si>
  <si>
    <t>Billing Request- 00100161</t>
  </si>
  <si>
    <t>Billing Request- 00100163</t>
  </si>
  <si>
    <t>Billing Request- 00100166</t>
  </si>
  <si>
    <t>Billing Request- 00100167</t>
  </si>
  <si>
    <t>Billing Request- 00100168</t>
  </si>
  <si>
    <t>Billing Request- 00100171</t>
  </si>
  <si>
    <t>Billing Request- 00100172</t>
  </si>
  <si>
    <t>Billing Request- 00100173</t>
  </si>
  <si>
    <t>Billing Request- 00100175</t>
  </si>
  <si>
    <t>Billing Request- 00100178</t>
  </si>
  <si>
    <t>Billing Request- 00100179</t>
  </si>
  <si>
    <t>WNBA Incremental Scatter 2026</t>
  </si>
  <si>
    <t>Billing Request- 00100180</t>
  </si>
  <si>
    <t>a6Jat4431161</t>
  </si>
  <si>
    <t>Billing Request- 00100181</t>
  </si>
  <si>
    <t>a6JHn8818250</t>
  </si>
  <si>
    <t>Billing Request- 00100182</t>
  </si>
  <si>
    <t>a6JXt8005797</t>
  </si>
  <si>
    <t>Billing Request- 00100186</t>
  </si>
  <si>
    <t>Billing Request- 00100189</t>
  </si>
  <si>
    <t>Billing Request- 00100193</t>
  </si>
  <si>
    <t>Billing Request- 00100197</t>
  </si>
  <si>
    <t>Billing Request- 00100198</t>
  </si>
  <si>
    <t>a6JHn8385715</t>
  </si>
  <si>
    <t>Billing Request- 00100199</t>
  </si>
  <si>
    <t>Billing Request- 00100200</t>
  </si>
  <si>
    <t>a6JXt1451577</t>
  </si>
  <si>
    <t>a6JHn3586094</t>
  </si>
  <si>
    <t>Billing Request- 00100202</t>
  </si>
  <si>
    <t>Billing Request- 00100206</t>
  </si>
  <si>
    <t>Billing Request- 00100207</t>
  </si>
  <si>
    <t>Billing Request- 00100210</t>
  </si>
  <si>
    <t>Billing Request- 00100211</t>
  </si>
  <si>
    <t>a6Jat2386982</t>
  </si>
  <si>
    <t>Billing Request- 00100215</t>
  </si>
  <si>
    <t>Billing Request- 00100219</t>
  </si>
  <si>
    <t>Billing Request- 00100220</t>
  </si>
  <si>
    <t>Billing Request- 00100223</t>
  </si>
  <si>
    <t>Billing Request- 00100225</t>
  </si>
  <si>
    <t>Billing Request- 00100227</t>
  </si>
  <si>
    <t>Billing Request- 00100232</t>
  </si>
  <si>
    <t>Billing Request- 00100233</t>
  </si>
  <si>
    <t>Billing Request- 00100235</t>
  </si>
  <si>
    <t>Billing Request- 00100238</t>
  </si>
  <si>
    <t>Billing Request- 00100239</t>
  </si>
  <si>
    <t>Billing Request- 00100240</t>
  </si>
  <si>
    <t>Billing Request- 00100243</t>
  </si>
  <si>
    <t>a6JHn6473593</t>
  </si>
  <si>
    <t>Billing Request- 00100245</t>
  </si>
  <si>
    <t>Billing Request- 00100248</t>
  </si>
  <si>
    <t>a6Jat4317700</t>
  </si>
  <si>
    <t>Billing Request- 00100251</t>
  </si>
  <si>
    <t>a6JXt5180005</t>
  </si>
  <si>
    <t>Billing Request- 00100252</t>
  </si>
  <si>
    <t>a6JHn5537157</t>
  </si>
  <si>
    <t>Billing Request- 00100254</t>
  </si>
  <si>
    <t>a6Jat3954473</t>
  </si>
  <si>
    <t>a6Jat9258194</t>
  </si>
  <si>
    <t>Billing Request- 00100260</t>
  </si>
  <si>
    <t>Billing Request- 00100262</t>
  </si>
  <si>
    <t>a6JXt4784650</t>
  </si>
  <si>
    <t>a6Jat4187406</t>
  </si>
  <si>
    <t>a6JHn7399588</t>
  </si>
  <si>
    <t>Billing Request- 00100269</t>
  </si>
  <si>
    <t>Billing Request- 00100272</t>
  </si>
  <si>
    <t>Billing Request- 00100273</t>
  </si>
  <si>
    <t>Billing Request- 00100275</t>
  </si>
  <si>
    <t>a6Jat2100870</t>
  </si>
  <si>
    <t>Billing Request- 00100278</t>
  </si>
  <si>
    <t>a6JHn5620085</t>
  </si>
  <si>
    <t>Billing Request- 00100283</t>
  </si>
  <si>
    <t>Billing Request- 00100285</t>
  </si>
  <si>
    <t>Billing Request- 00100287</t>
  </si>
  <si>
    <t>Billing Request- 00100288</t>
  </si>
  <si>
    <t>a6Jat3304606</t>
  </si>
  <si>
    <t>Billing Request- 00100290</t>
  </si>
  <si>
    <t>a6Jat8276470</t>
  </si>
  <si>
    <t>a6JXt4197346</t>
  </si>
  <si>
    <t>Billing Request- 00100293</t>
  </si>
  <si>
    <t>Billing Request- 00100295</t>
  </si>
  <si>
    <t>Billing Request- 00100297</t>
  </si>
  <si>
    <t>Billing Request- 00100299</t>
  </si>
  <si>
    <t>a6JHn5431282</t>
  </si>
  <si>
    <t>Billing Request- 00100300</t>
  </si>
  <si>
    <t>a6Jat1162274</t>
  </si>
  <si>
    <t>Billing Request- 00100302</t>
  </si>
  <si>
    <t>a6Jat2740017</t>
  </si>
  <si>
    <t>a6JXt4757843</t>
  </si>
  <si>
    <t>Billing Request- 00100305</t>
  </si>
  <si>
    <t>a6JXt1915467</t>
  </si>
  <si>
    <t>Billing Request- 00100306</t>
  </si>
  <si>
    <t>a6JHn1844744</t>
  </si>
  <si>
    <t>Billing Request- 00100307</t>
  </si>
  <si>
    <t>Billing Request- 00100309</t>
  </si>
  <si>
    <t>a6JXt8937865</t>
  </si>
  <si>
    <t>Billing Request- 00100311</t>
  </si>
  <si>
    <t>a6Jat7591709</t>
  </si>
  <si>
    <t>Billing Request- 00100313</t>
  </si>
  <si>
    <t>a6Jat3913368</t>
  </si>
  <si>
    <t>Billing Request- 00100314</t>
  </si>
  <si>
    <t>a6JHn8597490</t>
  </si>
  <si>
    <t>a6JXt9059269</t>
  </si>
  <si>
    <t>Billing Request- 00100318</t>
  </si>
  <si>
    <t>Billing Request- 00100319</t>
  </si>
  <si>
    <t>a6JHn7502088</t>
  </si>
  <si>
    <t>Billing Request- 00100324</t>
  </si>
  <si>
    <t>Billing Request- 00100326</t>
  </si>
  <si>
    <t>Billing Request- 00100327</t>
  </si>
  <si>
    <t>Billing Request- 00100331</t>
  </si>
  <si>
    <t>Billing Request- 00100332</t>
  </si>
  <si>
    <t>Billing Request- 00100338</t>
  </si>
  <si>
    <t>Billing Request- 00100339</t>
  </si>
  <si>
    <t>Billing Request- 00100340</t>
  </si>
  <si>
    <t>Billing Request- 00100341</t>
  </si>
  <si>
    <t>Billing Request- 00100343</t>
  </si>
  <si>
    <t>Billing Request- 00100344</t>
  </si>
  <si>
    <t>Billing Request- 00100346</t>
  </si>
  <si>
    <t>a6Jat1723841</t>
  </si>
  <si>
    <t>Billing Request- 00100347</t>
  </si>
  <si>
    <t>Billing Request- 00100348</t>
  </si>
  <si>
    <t>Billing Request- 00100350</t>
  </si>
  <si>
    <t>a6Jat2563468</t>
  </si>
  <si>
    <t>Billing Request- 00100351</t>
  </si>
  <si>
    <t>Billing Request- 00100352</t>
  </si>
  <si>
    <t>Billing Request- 00100354</t>
  </si>
  <si>
    <t>a6JXt9693169</t>
  </si>
  <si>
    <t>a6Jat2456980</t>
  </si>
  <si>
    <t>Billing Request- 00100360</t>
  </si>
  <si>
    <t>a6Jat5773013</t>
  </si>
  <si>
    <t>Billing Request- 00100361</t>
  </si>
  <si>
    <t>a6JHn4697401</t>
  </si>
  <si>
    <t>Billing Request- 00100364</t>
  </si>
  <si>
    <t>a6JXt6737688</t>
  </si>
  <si>
    <t>a6JXt5702093</t>
  </si>
  <si>
    <t>Billing Request- 00100368</t>
  </si>
  <si>
    <t>Billing Request- 00100371</t>
  </si>
  <si>
    <t>Billing Request- 00100372</t>
  </si>
  <si>
    <t>Billing Request- 00100374</t>
  </si>
  <si>
    <t>a6JHn9563838</t>
  </si>
  <si>
    <t>Billing Request- 00100375</t>
  </si>
  <si>
    <t>a6JHn7790959</t>
  </si>
  <si>
    <t>Billing Request- 00100382</t>
  </si>
  <si>
    <t>Billing Request- 00100383</t>
  </si>
  <si>
    <t>Billing Request- 00100388</t>
  </si>
  <si>
    <t>Billing Request- 00100389</t>
  </si>
  <si>
    <t>Billing Request- 00100390</t>
  </si>
  <si>
    <t>Billing Request- 00100394</t>
  </si>
  <si>
    <t>Billing Request- 00100396</t>
  </si>
  <si>
    <t>Billing Request- 00100400</t>
  </si>
  <si>
    <t>Billing Request- 00100403</t>
  </si>
  <si>
    <t>Billing Request- 00100410</t>
  </si>
  <si>
    <t>Billing Request- 00100412</t>
  </si>
  <si>
    <t>Billing Request- 00100413</t>
  </si>
  <si>
    <t>Billing Request- 00100415</t>
  </si>
  <si>
    <t>Billing Request- 00100416</t>
  </si>
  <si>
    <t>Billing Request- 00100417</t>
  </si>
  <si>
    <t>Billing Request- 00100418</t>
  </si>
  <si>
    <t>Billing Request- 00100419</t>
  </si>
  <si>
    <t>Billing Request- 00100422</t>
  </si>
  <si>
    <t>a6JHn7899659</t>
  </si>
  <si>
    <t>Billing Request- 00100427</t>
  </si>
  <si>
    <t>a6Jat5122525</t>
  </si>
  <si>
    <t>Billing Request- 00100428</t>
  </si>
  <si>
    <t>a6JHn5796850</t>
  </si>
  <si>
    <t>Billing Request- 00100429</t>
  </si>
  <si>
    <t>Billing Request- 00100430</t>
  </si>
  <si>
    <t>a6Jat8628318</t>
  </si>
  <si>
    <t>Billing Request- 00100432</t>
  </si>
  <si>
    <t>Billing Request- 00100436</t>
  </si>
  <si>
    <t>Billing Request- 00100439</t>
  </si>
  <si>
    <t>Billing Request- 00100440</t>
  </si>
  <si>
    <t>Billing Request- 00100441</t>
  </si>
  <si>
    <t>a6JHn9500841</t>
  </si>
  <si>
    <t>Billing Request- 00100442</t>
  </si>
  <si>
    <t>Billing Request- 00100443</t>
  </si>
  <si>
    <t>Billing Request- 00100445</t>
  </si>
  <si>
    <t>Billing Request- 00100446</t>
  </si>
  <si>
    <t>Billing Request- 00100447</t>
  </si>
  <si>
    <t>Billing Request- 00100448</t>
  </si>
  <si>
    <t>Billing Request- 00100449</t>
  </si>
  <si>
    <t>Billing Request- 00100450</t>
  </si>
  <si>
    <t>Billing Request- 00100451</t>
  </si>
  <si>
    <t>Billing Request- 00100453</t>
  </si>
  <si>
    <t>Billing Request- 00100454</t>
  </si>
  <si>
    <t>Billing Request- 00100456</t>
  </si>
  <si>
    <t>Billing Request- 00100457</t>
  </si>
  <si>
    <t>Billing Request- 00100458</t>
  </si>
  <si>
    <t>Billing Request- 00100460</t>
  </si>
  <si>
    <t>Billing Request- 00100461</t>
  </si>
  <si>
    <t>Billing Request- 00100462</t>
  </si>
  <si>
    <t>Billing Request- 00100463</t>
  </si>
  <si>
    <t>Billing Request- 00100465</t>
  </si>
  <si>
    <t>a6JXt1124654</t>
  </si>
  <si>
    <t>Billing Request- 00100467</t>
  </si>
  <si>
    <t>Billing Request- 00100468</t>
  </si>
  <si>
    <t>Billing Request- 00100471</t>
  </si>
  <si>
    <t>a6Jat3586212</t>
  </si>
  <si>
    <t>a6JHn5406118</t>
  </si>
  <si>
    <t>Billing Request- 00100477</t>
  </si>
  <si>
    <t>a6JXt8481668</t>
  </si>
  <si>
    <t>a6JHn2270273</t>
  </si>
  <si>
    <t>Billing Request- 00100481</t>
  </si>
  <si>
    <t>a6JHn4663917</t>
  </si>
  <si>
    <t>Billing Request- 00100482</t>
  </si>
  <si>
    <t>Billing Request- 00100484</t>
  </si>
  <si>
    <t>Billing Request- 00100487</t>
  </si>
  <si>
    <t>Billing Request- 00100488</t>
  </si>
  <si>
    <t>Billing Request- 00100489</t>
  </si>
  <si>
    <t>Billing Request- 00100491</t>
  </si>
  <si>
    <t>Billing Request- 00100498</t>
  </si>
  <si>
    <t>Billing Request- 00100500</t>
  </si>
  <si>
    <t>Billing Request- 00100502</t>
  </si>
  <si>
    <t>Billing Request- 00100504</t>
  </si>
  <si>
    <t>Billing Request- 00100507</t>
  </si>
  <si>
    <t>a6JXt7106747</t>
  </si>
  <si>
    <t>Billing Request- 00100508</t>
  </si>
  <si>
    <t>Billing Request- 00100509</t>
  </si>
  <si>
    <t>Billing Request- 00100510</t>
  </si>
  <si>
    <t>Billing Request- 00100514</t>
  </si>
  <si>
    <t>Billing Request- 00100515</t>
  </si>
  <si>
    <t>Billing Request- 00100518</t>
  </si>
  <si>
    <t>a6Jat7738231</t>
  </si>
  <si>
    <t>Billing Request- 00100520</t>
  </si>
  <si>
    <t>Billing Request- 00100521</t>
  </si>
  <si>
    <t>Billing Request- 00100522</t>
  </si>
  <si>
    <t>Billing Request- 00100528</t>
  </si>
  <si>
    <t>Billing Request- 00100529</t>
  </si>
  <si>
    <t>Billing Request- 00100532</t>
  </si>
  <si>
    <t>Billing Request- 00100533</t>
  </si>
  <si>
    <t>Billing Request- 00100535</t>
  </si>
  <si>
    <t>Billing Request- 00100536</t>
  </si>
  <si>
    <t>Billing Request- 00100538</t>
  </si>
  <si>
    <t>Billing Request- 00100539</t>
  </si>
  <si>
    <t>Billing Request- 00100540</t>
  </si>
  <si>
    <t>Billing Request- 00100541</t>
  </si>
  <si>
    <t>Billing Request- 00100544</t>
  </si>
  <si>
    <t>Billing Request- 00100545</t>
  </si>
  <si>
    <t>a6Jat2283746</t>
  </si>
  <si>
    <t>a6JHn3753883</t>
  </si>
  <si>
    <t>Billing Request- 00100548</t>
  </si>
  <si>
    <t>a6JXt8882244</t>
  </si>
  <si>
    <t>Billing Request- 00100550</t>
  </si>
  <si>
    <t>Billing Request- 00100552</t>
  </si>
  <si>
    <t>Billing Request- 00100553</t>
  </si>
  <si>
    <t>Billing Request- 00100557</t>
  </si>
  <si>
    <t>Billing Request- 00100560</t>
  </si>
  <si>
    <t>a6JHn3952542</t>
  </si>
  <si>
    <t>Billing Request- 00100565</t>
  </si>
  <si>
    <t>Billing Request- 00100566</t>
  </si>
  <si>
    <t>Billing Request- 00100569</t>
  </si>
  <si>
    <t>Billing Request- 00100570</t>
  </si>
  <si>
    <t>Billing Request- 00100572</t>
  </si>
  <si>
    <t>Billing Request- 00100573</t>
  </si>
  <si>
    <t>Billing Request- 00100575</t>
  </si>
  <si>
    <t>Billing Request- 00100579</t>
  </si>
  <si>
    <t>Billing Request- 00100583</t>
  </si>
  <si>
    <t>Billing Request- 00100587</t>
  </si>
  <si>
    <t>Billing Request- 00100590</t>
  </si>
  <si>
    <t>Billing Request- 00100592</t>
  </si>
  <si>
    <t>a6JXt5350628</t>
  </si>
  <si>
    <t>Billing Request- 00100595</t>
  </si>
  <si>
    <t>a6Jat8952217</t>
  </si>
  <si>
    <t>Billing Request- 00100599</t>
  </si>
  <si>
    <t>Billing Request- 00100601</t>
  </si>
  <si>
    <t>Billing Request- 00100602</t>
  </si>
  <si>
    <t>Billing Request- 00100603</t>
  </si>
  <si>
    <t>Billing Request- 00100606</t>
  </si>
  <si>
    <t>Billing Request- 00100608</t>
  </si>
  <si>
    <t>Billing Request- 00100610</t>
  </si>
  <si>
    <t>Billing Request- 00100611</t>
  </si>
  <si>
    <t>Billing Request- 00100618</t>
  </si>
  <si>
    <t>Billing Request- 00100619</t>
  </si>
  <si>
    <t>Billing Request- 00100623</t>
  </si>
  <si>
    <t>Billing Request- 00100628</t>
  </si>
  <si>
    <t>Billing Request- 00100632</t>
  </si>
  <si>
    <t>Billing Request- 00100633</t>
  </si>
  <si>
    <t>Billing Request- 00100634</t>
  </si>
  <si>
    <t>Billing Request- 00100636</t>
  </si>
  <si>
    <t>Billing Request- 00100637</t>
  </si>
  <si>
    <t>Billing Request- 00100638</t>
  </si>
  <si>
    <t>Billing Request- 00100640</t>
  </si>
  <si>
    <t>Billing Request- 00100641</t>
  </si>
  <si>
    <t>Billing Request- 00100642</t>
  </si>
  <si>
    <t>Billing Request- 00100643</t>
  </si>
  <si>
    <t>Billing Request- 00100652</t>
  </si>
  <si>
    <t>Billing Request- 00100653</t>
  </si>
  <si>
    <t>Billing Request- 00100655</t>
  </si>
  <si>
    <t>Billing Request- 00100656</t>
  </si>
  <si>
    <t>Billing Request- 00100657</t>
  </si>
  <si>
    <t>Billing Request- 00100660</t>
  </si>
  <si>
    <t>Billing Request- 00100661</t>
  </si>
  <si>
    <t>Billing Request- 00100662</t>
  </si>
  <si>
    <t>Billing Request- 00100665</t>
  </si>
  <si>
    <t>a6Jat3334293</t>
  </si>
  <si>
    <t>Billing Request- 00100674</t>
  </si>
  <si>
    <t>a6JXt8965487</t>
  </si>
  <si>
    <t>Billing Request- 00100675</t>
  </si>
  <si>
    <t>Billing Request- 00100676</t>
  </si>
  <si>
    <t>Billing Request- 00100679</t>
  </si>
  <si>
    <t>Billing Request- 00100680</t>
  </si>
  <si>
    <t>Billing Request- 00100685</t>
  </si>
  <si>
    <t>Billing Request- 00100688</t>
  </si>
  <si>
    <t>Billing Request- 00100689</t>
  </si>
  <si>
    <t>Billing Request- 00100690</t>
  </si>
  <si>
    <t>Billing Request- 00100691</t>
  </si>
  <si>
    <t>Billing Request- 00100693</t>
  </si>
  <si>
    <t>Billing Request- 00100694</t>
  </si>
  <si>
    <t>Billing Request- 00100697</t>
  </si>
  <si>
    <t>Billing Request- 00100699</t>
  </si>
  <si>
    <t>Billing Request- 00100701</t>
  </si>
  <si>
    <t>Billing Request- 00100703</t>
  </si>
  <si>
    <t>Billing Request- 00100707</t>
  </si>
  <si>
    <t>Billing Request- 00100708</t>
  </si>
  <si>
    <t>Billing Request- 00100709</t>
  </si>
  <si>
    <t>a6JXt8454220</t>
  </si>
  <si>
    <t>Billing Request- 00100716</t>
  </si>
  <si>
    <t>Billing Request- 00100717</t>
  </si>
  <si>
    <t>Billing Request- 00100721</t>
  </si>
  <si>
    <t>a6JXt8942696</t>
  </si>
  <si>
    <t>Billing Request- 00100724</t>
  </si>
  <si>
    <t>a6JXt1153218</t>
  </si>
  <si>
    <t>Billing Request- 00100725</t>
  </si>
  <si>
    <t>a6Jat1880336</t>
  </si>
  <si>
    <t>Billing Request- 00100726</t>
  </si>
  <si>
    <t>Billing Request- 00100727</t>
  </si>
  <si>
    <t>a6Jat9207723</t>
  </si>
  <si>
    <t>Billing Request- 00100729</t>
  </si>
  <si>
    <t>Billing Request- 00100733</t>
  </si>
  <si>
    <t>Billing Request- 00100734</t>
  </si>
  <si>
    <t>a6Jat6791040</t>
  </si>
  <si>
    <t>Billing Request- 00100740</t>
  </si>
  <si>
    <t>a6JXt5485722</t>
  </si>
  <si>
    <t>Billing Request- 00100741</t>
  </si>
  <si>
    <t>Billing Request- 00100743</t>
  </si>
  <si>
    <t>Billing Request- 00100744</t>
  </si>
  <si>
    <t>Billing Request- 00100745</t>
  </si>
  <si>
    <t>Billing Request- 00100747</t>
  </si>
  <si>
    <t>Billing Request- 00100749</t>
  </si>
  <si>
    <t>Billing Request- 00100754</t>
  </si>
  <si>
    <t>Billing Request- 00100755</t>
  </si>
  <si>
    <t>a6Jat5594635</t>
  </si>
  <si>
    <t>Billing Request- 00100756</t>
  </si>
  <si>
    <t>Billing Request- 00100759</t>
  </si>
  <si>
    <t>Billing Request- 00100764</t>
  </si>
  <si>
    <t>Billing Request- 00100765</t>
  </si>
  <si>
    <t>Billing Request- 00100767</t>
  </si>
  <si>
    <t>Billing Request- 00100768</t>
  </si>
  <si>
    <t>Billing Request- 00100769</t>
  </si>
  <si>
    <t>Billing Request- 00100770</t>
  </si>
  <si>
    <t>Billing Request- 00100771</t>
  </si>
  <si>
    <t>Billing Request- 00100773</t>
  </si>
  <si>
    <t>Billing Request- 00100779</t>
  </si>
  <si>
    <t>Billing Request- 00100780</t>
  </si>
  <si>
    <t>Billing Request- 00100782</t>
  </si>
  <si>
    <t>Billing Request- 00100785</t>
  </si>
  <si>
    <t>Billing Request- 00100789</t>
  </si>
  <si>
    <t>Billing Request- 00100790</t>
  </si>
  <si>
    <t>Billing Request- 00100793</t>
  </si>
  <si>
    <t>Billing Request- 00100794</t>
  </si>
  <si>
    <t>Billing Request- 00100797</t>
  </si>
  <si>
    <t>Billing Request- 00100801</t>
  </si>
  <si>
    <t>Billing Request- 00100802</t>
  </si>
  <si>
    <t>Billing Request- 00100807</t>
  </si>
  <si>
    <t>a6JXt6310245</t>
  </si>
  <si>
    <t>a6JHn3109184</t>
  </si>
  <si>
    <t>a6JXt3728933</t>
  </si>
  <si>
    <t>Billing Request- 00100812</t>
  </si>
  <si>
    <t>a6JHn7927895</t>
  </si>
  <si>
    <t>Billing Request- 00100815</t>
  </si>
  <si>
    <t>Billing Request- 00100816</t>
  </si>
  <si>
    <t>Billing Request- 00100817</t>
  </si>
  <si>
    <t>a6Jat8338380</t>
  </si>
  <si>
    <t>Billing Request- 00100826</t>
  </si>
  <si>
    <t>Billing Request- 00100828</t>
  </si>
  <si>
    <t>Billing Request- 00100829</t>
  </si>
  <si>
    <t>a6Jat4610191</t>
  </si>
  <si>
    <t>Billing Request- 00100838</t>
  </si>
  <si>
    <t>Billing Request- 00100839</t>
  </si>
  <si>
    <t>Billing Request- 00100842</t>
  </si>
  <si>
    <t>Billing Request- 00100846</t>
  </si>
  <si>
    <t>Billing Request- 00100848</t>
  </si>
  <si>
    <t>Billing Request- 00100852</t>
  </si>
  <si>
    <t>Billing Request- 00100854</t>
  </si>
  <si>
    <t>Billing Request- 00100855</t>
  </si>
  <si>
    <t>Billing Request- 00100856</t>
  </si>
  <si>
    <t>Billing Request- 00100859</t>
  </si>
  <si>
    <t>Billing Request- 00100861</t>
  </si>
  <si>
    <t>Billing Request- 00100863</t>
  </si>
  <si>
    <t>Billing Request- 00100865</t>
  </si>
  <si>
    <t>a6JHn3288458</t>
  </si>
  <si>
    <t>Billing Request- 00100867</t>
  </si>
  <si>
    <t>a6JXt3030620</t>
  </si>
  <si>
    <t>Billing Request- 00100872</t>
  </si>
  <si>
    <t>Billing Request- 00100874</t>
  </si>
  <si>
    <t>Billing Request- 00100877</t>
  </si>
  <si>
    <t>a6JHn9402873</t>
  </si>
  <si>
    <t>Billing Request- 00100880</t>
  </si>
  <si>
    <t>a6JXt6003418</t>
  </si>
  <si>
    <t>Billing Request- 00100884</t>
  </si>
  <si>
    <t>a6JXt3101134</t>
  </si>
  <si>
    <t>Billing Request- 00100888</t>
  </si>
  <si>
    <t>Billing Request- 00100890</t>
  </si>
  <si>
    <t>Billing Request- 00100891</t>
  </si>
  <si>
    <t>Billing Request- 00100896</t>
  </si>
  <si>
    <t>Billing Request- 00100900</t>
  </si>
  <si>
    <t>Billing Request- 00100904</t>
  </si>
  <si>
    <t>a6JHn9569737</t>
  </si>
  <si>
    <t>Billing Request- 00100905</t>
  </si>
  <si>
    <t>a6Jat4767844</t>
  </si>
  <si>
    <t>Billing Request- 00100906</t>
  </si>
  <si>
    <t>a6JXt8399044</t>
  </si>
  <si>
    <t>a6Jat5044088</t>
  </si>
  <si>
    <t>Billing Request- 00100912</t>
  </si>
  <si>
    <t>Billing Request- 00100913</t>
  </si>
  <si>
    <t>Billing Request- 00100922</t>
  </si>
  <si>
    <t>a6JHn4890524</t>
  </si>
  <si>
    <t>a6JHn8039619</t>
  </si>
  <si>
    <t>Billing Request- 00100927</t>
  </si>
  <si>
    <t>Billing Request- 00100929</t>
  </si>
  <si>
    <t>a6Jat9987534</t>
  </si>
  <si>
    <t>Billing Request- 00100930</t>
  </si>
  <si>
    <t>a6Jat9834133</t>
  </si>
  <si>
    <t>Billing Request- 00100933</t>
  </si>
  <si>
    <t>Billing Request- 00100934</t>
  </si>
  <si>
    <t>Billing Request- 00100935</t>
  </si>
  <si>
    <t>Billing Request- 00100936</t>
  </si>
  <si>
    <t>Billing Request- 00100939</t>
  </si>
  <si>
    <t>Billing Request- 00100941</t>
  </si>
  <si>
    <t>Billing Request- 00100942</t>
  </si>
  <si>
    <t>Billing Request- 00100945</t>
  </si>
  <si>
    <t>Billing Request- 00100948</t>
  </si>
  <si>
    <t>Billing Request- 00100949</t>
  </si>
  <si>
    <t>Billing Request- 00100951</t>
  </si>
  <si>
    <t>Billing Request- 00100952</t>
  </si>
  <si>
    <t>Billing Request- 00100954</t>
  </si>
  <si>
    <t>Billing Request- 00100958</t>
  </si>
  <si>
    <t>Billing Request- 00100959</t>
  </si>
  <si>
    <t>Billing Request- 00100960</t>
  </si>
  <si>
    <t>Billing Request- 00100963</t>
  </si>
  <si>
    <t>Billing Request- 00100965</t>
  </si>
  <si>
    <t>Billing Request- 00100966</t>
  </si>
  <si>
    <t>Billing Request- 00100971</t>
  </si>
  <si>
    <t>Billing Request- 00100972</t>
  </si>
  <si>
    <t>Billing Request- 00100973</t>
  </si>
  <si>
    <t>Billing Request- 00100974</t>
  </si>
  <si>
    <t>Billing Request- 00100975</t>
  </si>
  <si>
    <t>Billing Request- 00100977</t>
  </si>
  <si>
    <t>Billing Request- 00100979</t>
  </si>
  <si>
    <t>Billing Request- 00100980</t>
  </si>
  <si>
    <t>a6Jat3462063</t>
  </si>
  <si>
    <t>Billing Request- 00100982</t>
  </si>
  <si>
    <t>a6JXt5309362</t>
  </si>
  <si>
    <t>a6JXt8934254</t>
  </si>
  <si>
    <t>Billing Request- 00100985</t>
  </si>
  <si>
    <t>Billing Request- 00100986</t>
  </si>
  <si>
    <t>Billing Request- 00100989</t>
  </si>
  <si>
    <t>Billing Request- 00100990</t>
  </si>
  <si>
    <t>Billing Request- 00100991</t>
  </si>
  <si>
    <t>Billing Request- 00100995</t>
  </si>
  <si>
    <t>Billing Request- 00100998</t>
  </si>
  <si>
    <t>Billing Request- 00101002</t>
  </si>
  <si>
    <t>Billing Request- 00101003</t>
  </si>
  <si>
    <t>Billing Request- 00101005</t>
  </si>
  <si>
    <t>a6JHn3837377</t>
  </si>
  <si>
    <t>Billing Request- 00101006</t>
  </si>
  <si>
    <t>a6Jat7685573</t>
  </si>
  <si>
    <t>Billing Request- 00101010</t>
  </si>
  <si>
    <t>a6JXt9007468</t>
  </si>
  <si>
    <t>Billing Request- 00101012</t>
  </si>
  <si>
    <t>Billing Request- 00101013</t>
  </si>
  <si>
    <t>Billing Request- 00101018</t>
  </si>
  <si>
    <t>Billing Request- 00101020</t>
  </si>
  <si>
    <t>Billing Request- 00101024</t>
  </si>
  <si>
    <t>Billing Request- 00101027</t>
  </si>
  <si>
    <t>Billing Request- 00101028</t>
  </si>
  <si>
    <t>Billing Request- 00101029</t>
  </si>
  <si>
    <t>Billing Request- 00101030</t>
  </si>
  <si>
    <t>Billing Request- 00101031</t>
  </si>
  <si>
    <t>Billing Request- 00101032</t>
  </si>
  <si>
    <t>Billing Request- 00101034</t>
  </si>
  <si>
    <t>Billing Request- 00101035</t>
  </si>
  <si>
    <t>Billing Request- 00101037</t>
  </si>
  <si>
    <t>Billing Request- 00101040</t>
  </si>
  <si>
    <t>Billing Request- 00101041</t>
  </si>
  <si>
    <t>Billing Request- 00101043</t>
  </si>
  <si>
    <t>Billing Request- 00101045</t>
  </si>
  <si>
    <t>a6JHn7287608</t>
  </si>
  <si>
    <t>Billing Request- 00101047</t>
  </si>
  <si>
    <t>a6JXt5409130</t>
  </si>
  <si>
    <t>Billing Request- 00101048</t>
  </si>
  <si>
    <t>Billing Request- 00101052</t>
  </si>
  <si>
    <t>Billing Request- 00101055</t>
  </si>
  <si>
    <t>Billing Request- 00101059</t>
  </si>
  <si>
    <t>a6JHn5628257</t>
  </si>
  <si>
    <t>Billing Request- 00101060</t>
  </si>
  <si>
    <t>Billing Request- 00101062</t>
  </si>
  <si>
    <t>Billing Request- 00101064</t>
  </si>
  <si>
    <t>Billing Request- 00101067</t>
  </si>
  <si>
    <t>Billing Request- 00101068</t>
  </si>
  <si>
    <t>a6JXt7788683</t>
  </si>
  <si>
    <t>Billing Request- 00101069</t>
  </si>
  <si>
    <t>Billing Request- 00101071</t>
  </si>
  <si>
    <t>Billing Request- 00101072</t>
  </si>
  <si>
    <t>Billing Request- 00101074</t>
  </si>
  <si>
    <t>Billing Request- 00101077</t>
  </si>
  <si>
    <t>Billing Request- 00101078</t>
  </si>
  <si>
    <t>Billing Request- 00101079</t>
  </si>
  <si>
    <t>Billing Request- 00101080</t>
  </si>
  <si>
    <t>Billing Request- 00101083</t>
  </si>
  <si>
    <t>Billing Request- 00101084</t>
  </si>
  <si>
    <t>Billing Request- 00101085</t>
  </si>
  <si>
    <t>Billing Request- 00101086</t>
  </si>
  <si>
    <t>Billing Request- 00101087</t>
  </si>
  <si>
    <t>Billing Request- 00101091</t>
  </si>
  <si>
    <t>Billing Request- 00101093</t>
  </si>
  <si>
    <t>Billing Request- 00101094</t>
  </si>
  <si>
    <t>Billing Request- 00101095</t>
  </si>
  <si>
    <t>Billing Request- 00101099</t>
  </si>
  <si>
    <t>Billing Request- 00101101</t>
  </si>
  <si>
    <t>Billing Request- 00101102</t>
  </si>
  <si>
    <t>Billing Request- 00101104</t>
  </si>
  <si>
    <t>Billing Request- 00101105</t>
  </si>
  <si>
    <t>Billing Request- 00101106</t>
  </si>
  <si>
    <t>Billing Request- 00101108</t>
  </si>
  <si>
    <t>Billing Request- 00101109</t>
  </si>
  <si>
    <t>Billing Request- 00101112</t>
  </si>
  <si>
    <t>Billing Request- 00101113</t>
  </si>
  <si>
    <t>Billing Request- 00101115</t>
  </si>
  <si>
    <t>Billing Request- 00101116</t>
  </si>
  <si>
    <t>Billing Request- 00101117</t>
  </si>
  <si>
    <t>Billing Request- 00101120</t>
  </si>
  <si>
    <t>Billing Request- 00101123</t>
  </si>
  <si>
    <t>Billing Request- 00101125</t>
  </si>
  <si>
    <t>Billing Request- 00101126</t>
  </si>
  <si>
    <t>Billing Request- 00101127</t>
  </si>
  <si>
    <t>Billing Request- 00101129</t>
  </si>
  <si>
    <t>Billing Request- 00101130</t>
  </si>
  <si>
    <t>Billing Request- 00101132</t>
  </si>
  <si>
    <t>Billing Request- 00101134</t>
  </si>
  <si>
    <t>Billing Request- 00101135</t>
  </si>
  <si>
    <t>Billing Request- 00101138</t>
  </si>
  <si>
    <t>Billing Request- 00101140</t>
  </si>
  <si>
    <t>Billing Request- 00101142</t>
  </si>
  <si>
    <t>Billing Request- 00101144</t>
  </si>
  <si>
    <t>Billing Request- 00101145</t>
  </si>
  <si>
    <t>Billing Request- 00101148</t>
  </si>
  <si>
    <t>Billing Request- 00101150</t>
  </si>
  <si>
    <t>Billing Request- 00101151</t>
  </si>
  <si>
    <t>Billing Request- 00101152</t>
  </si>
  <si>
    <t>Billing Request- 00101155</t>
  </si>
  <si>
    <t>a6Jat4630984</t>
  </si>
  <si>
    <t>Billing Request- 00101156</t>
  </si>
  <si>
    <t>a6Jat9249059</t>
  </si>
  <si>
    <t>Billing Request- 00101161</t>
  </si>
  <si>
    <t>Billing Request- 00101163</t>
  </si>
  <si>
    <t>Billing Request- 00101164</t>
  </si>
  <si>
    <t>Billing Request- 00101165</t>
  </si>
  <si>
    <t>Billing Request- 00101167</t>
  </si>
  <si>
    <t>Billing Request- 00101170</t>
  </si>
  <si>
    <t>Billing Request- 00101171</t>
  </si>
  <si>
    <t>Billing Request- 00101172</t>
  </si>
  <si>
    <t>Billing Request- 00101174</t>
  </si>
  <si>
    <t>Billing Request- 00101175</t>
  </si>
  <si>
    <t>Billing Request- 00101176</t>
  </si>
  <si>
    <t>Billing Request- 00101177</t>
  </si>
  <si>
    <t>a6Jat3597049</t>
  </si>
  <si>
    <t>Billing Request- 00101180</t>
  </si>
  <si>
    <t>Billing Request- 00101181</t>
  </si>
  <si>
    <t>Billing Request- 00101182</t>
  </si>
  <si>
    <t>Billing Request- 00101190</t>
  </si>
  <si>
    <t>Billing Request- 00101191</t>
  </si>
  <si>
    <t>Billing Request- 00101193</t>
  </si>
  <si>
    <t>a6Jat7854073</t>
  </si>
  <si>
    <t>Billing Request- 00101202</t>
  </si>
  <si>
    <t>a6JXt7336155</t>
  </si>
  <si>
    <t>Billing Request- 00101204</t>
  </si>
  <si>
    <t>Billing Request- 00101205</t>
  </si>
  <si>
    <t>a6JXt9676669</t>
  </si>
  <si>
    <t>Billing Request- 00101206</t>
  </si>
  <si>
    <t>a6JXt1839952</t>
  </si>
  <si>
    <t>Billing Request- 00101207</t>
  </si>
  <si>
    <t>a6JHn6227752</t>
  </si>
  <si>
    <t>Billing Request- 00101208</t>
  </si>
  <si>
    <t>a6Jat4963537</t>
  </si>
  <si>
    <t>Billing Request- 00101210</t>
  </si>
  <si>
    <t>a6Jat7606962</t>
  </si>
  <si>
    <t>Billing Request- 00101213</t>
  </si>
  <si>
    <t>Billing Request- 00101214</t>
  </si>
  <si>
    <t>a6JHn2938375</t>
  </si>
  <si>
    <t>Billing Request- 00101216</t>
  </si>
  <si>
    <t>a6JXt8804839</t>
  </si>
  <si>
    <t>Billing Request- 00101217</t>
  </si>
  <si>
    <t>a6JXt3784101</t>
  </si>
  <si>
    <t>Billing Request- 00101221</t>
  </si>
  <si>
    <t>Billing Request- 00101225</t>
  </si>
  <si>
    <t>Billing Request- 00101226</t>
  </si>
  <si>
    <t>Billing Request- 00101227</t>
  </si>
  <si>
    <t>Billing Request- 00101231</t>
  </si>
  <si>
    <t>Billing Request- 00101234</t>
  </si>
  <si>
    <t>Billing Request- 00101235</t>
  </si>
  <si>
    <t>Billing Request- 00101239</t>
  </si>
  <si>
    <t>Billing Request- 00101240</t>
  </si>
  <si>
    <t>Billing Request- 00101241</t>
  </si>
  <si>
    <t>a6JXt4384186</t>
  </si>
  <si>
    <t>a6Jat8961083</t>
  </si>
  <si>
    <t>Billing Request- 00101247</t>
  </si>
  <si>
    <t>Billing Request- 00101252</t>
  </si>
  <si>
    <t>Billing Request- 00101253</t>
  </si>
  <si>
    <t>Billing Request- 00101259</t>
  </si>
  <si>
    <t>Billing Request- 00101260</t>
  </si>
  <si>
    <t>Billing Request- 00101263</t>
  </si>
  <si>
    <t>Billing Request- 00101266</t>
  </si>
  <si>
    <t>Billing Request- 00101267</t>
  </si>
  <si>
    <t>Billing Request- 00101271</t>
  </si>
  <si>
    <t>Billing Request- 00101272</t>
  </si>
  <si>
    <t>Billing Request- 00101273</t>
  </si>
  <si>
    <t>Billing Request- 00101277</t>
  </si>
  <si>
    <t>Billing Request- 00101280</t>
  </si>
  <si>
    <t>Billing Request- 00101281</t>
  </si>
  <si>
    <t>a6JHn6854557</t>
  </si>
  <si>
    <t>Billing Request- 00101282</t>
  </si>
  <si>
    <t>a6Jat4929552</t>
  </si>
  <si>
    <t>Billing Request- 00101284</t>
  </si>
  <si>
    <t>a6Jat8947871</t>
  </si>
  <si>
    <t>Billing Request- 00101286</t>
  </si>
  <si>
    <t>a6JXt9939702</t>
  </si>
  <si>
    <t>Billing Request- 00101288</t>
  </si>
  <si>
    <t>a6Jat3121094</t>
  </si>
  <si>
    <t>Billing Request- 00101290</t>
  </si>
  <si>
    <t>a6JHn6571308</t>
  </si>
  <si>
    <t>Billing Request- 00101291</t>
  </si>
  <si>
    <t>a6Jat8082038</t>
  </si>
  <si>
    <t>Billing Request- 00101294</t>
  </si>
  <si>
    <t>a6Jat3482081</t>
  </si>
  <si>
    <t>a6Jat7340038</t>
  </si>
  <si>
    <t>Billing Request- 00101299</t>
  </si>
  <si>
    <t>Billing Request- 00101301</t>
  </si>
  <si>
    <t>a6JXt2076525</t>
  </si>
  <si>
    <t>Billing Request- 00101302</t>
  </si>
  <si>
    <t>a6JXt6158936</t>
  </si>
  <si>
    <t>Billing Request- 00101305</t>
  </si>
  <si>
    <t>Billing Request- 00101306</t>
  </si>
  <si>
    <t>Billing Request- 00101309</t>
  </si>
  <si>
    <t>Billing Request- 00101310</t>
  </si>
  <si>
    <t>Billing Request- 00101311</t>
  </si>
  <si>
    <t>Billing Request- 00101314</t>
  </si>
  <si>
    <t>Billing Request- 00101316</t>
  </si>
  <si>
    <t>Billing Request- 00101319</t>
  </si>
  <si>
    <t>Billing Request- 00101324</t>
  </si>
  <si>
    <t>Billing Request- 00101325</t>
  </si>
  <si>
    <t>Billing Request- 00101328</t>
  </si>
  <si>
    <t>Billing Request- 00101329</t>
  </si>
  <si>
    <t>Billing Request- 00101330</t>
  </si>
  <si>
    <t>Billing Request- 00101331</t>
  </si>
  <si>
    <t>Billing Request- 00101332</t>
  </si>
  <si>
    <t>Billing Request- 00101337</t>
  </si>
  <si>
    <t>Billing Request- 00101338</t>
  </si>
  <si>
    <t>Billing Request- 00101339</t>
  </si>
  <si>
    <t>Billing Request- 00101342</t>
  </si>
  <si>
    <t>a6JXt5978272</t>
  </si>
  <si>
    <t>a6Jat8233660</t>
  </si>
  <si>
    <t>Billing Request- 00101344</t>
  </si>
  <si>
    <t>a6Jat8771291</t>
  </si>
  <si>
    <t>Billing Request- 00101345</t>
  </si>
  <si>
    <t>a6JXt9996681</t>
  </si>
  <si>
    <t>a6JXt8347263</t>
  </si>
  <si>
    <t>a6JHn1489172</t>
  </si>
  <si>
    <t>Billing Request- 00101349</t>
  </si>
  <si>
    <t>Billing Request- 00101352</t>
  </si>
  <si>
    <t>Billing Request- 00101354</t>
  </si>
  <si>
    <t>Billing Request- 00101357</t>
  </si>
  <si>
    <t>Billing Request- 00101358</t>
  </si>
  <si>
    <t>Billing Request- 00101359</t>
  </si>
  <si>
    <t>Billing Request- 00101363</t>
  </si>
  <si>
    <t>a6JHn2714979</t>
  </si>
  <si>
    <t>Billing Request- 00101365</t>
  </si>
  <si>
    <t>a6Jat9595138</t>
  </si>
  <si>
    <t>Billing Request- 00101366</t>
  </si>
  <si>
    <t>a6Jat2443011</t>
  </si>
  <si>
    <t>Billing Request- 00101369</t>
  </si>
  <si>
    <t>a6Jat9786580</t>
  </si>
  <si>
    <t>Billing Request- 00101370</t>
  </si>
  <si>
    <t>Billing Request- 00101371</t>
  </si>
  <si>
    <t>Billing Request- 00101372</t>
  </si>
  <si>
    <t>Billing Request- 00101373</t>
  </si>
  <si>
    <t>Billing Request- 00101376</t>
  </si>
  <si>
    <t>Billing Request- 00101377</t>
  </si>
  <si>
    <t>Billing Request- 00101378</t>
  </si>
  <si>
    <t>Billing Request- 00101380</t>
  </si>
  <si>
    <t>a6JHn9054398</t>
  </si>
  <si>
    <t>Billing Request- 00101381</t>
  </si>
  <si>
    <t>Billing Request- 00101382</t>
  </si>
  <si>
    <t>Billing Request- 00101386</t>
  </si>
  <si>
    <t>a6JHn5146242</t>
  </si>
  <si>
    <t>Billing Request- 00101387</t>
  </si>
  <si>
    <t>a6JXt8361775</t>
  </si>
  <si>
    <t>Billing Request- 00101389</t>
  </si>
  <si>
    <t>Billing Request- 00101391</t>
  </si>
  <si>
    <t>Billing Request- 00101393</t>
  </si>
  <si>
    <t>Billing Request- 00101398</t>
  </si>
  <si>
    <t>Billing Request- 00101401</t>
  </si>
  <si>
    <t>Billing Request- 00101402</t>
  </si>
  <si>
    <t>Billing Request- 00101404</t>
  </si>
  <si>
    <t>a6JHn9909493</t>
  </si>
  <si>
    <t>Billing Request- 00101405</t>
  </si>
  <si>
    <t>a6Jat5189227</t>
  </si>
  <si>
    <t>Billing Request- 00101406</t>
  </si>
  <si>
    <t>a6JXt2088545</t>
  </si>
  <si>
    <t>Billing Request- 00101409</t>
  </si>
  <si>
    <t>a6JHn8599460</t>
  </si>
  <si>
    <t>Billing Request- 00101411</t>
  </si>
  <si>
    <t>Billing Request- 00101413</t>
  </si>
  <si>
    <t>a6Jat7754169</t>
  </si>
  <si>
    <t>Billing Request- 00101414</t>
  </si>
  <si>
    <t>Billing Request- 00101415</t>
  </si>
  <si>
    <t>Billing Request- 00101418</t>
  </si>
  <si>
    <t>Billing Request- 00101420</t>
  </si>
  <si>
    <t>Billing Request- 00101421</t>
  </si>
  <si>
    <t>Billing Request- 00101422</t>
  </si>
  <si>
    <t>Billing Request- 00101424</t>
  </si>
  <si>
    <t>Billing Request- 00101426</t>
  </si>
  <si>
    <t>Billing Request- 00101427</t>
  </si>
  <si>
    <t>Billing Request- 00101428</t>
  </si>
  <si>
    <t>Billing Request- 00101431</t>
  </si>
  <si>
    <t>Billing Request- 00101432</t>
  </si>
  <si>
    <t>Billing Request- 00101437</t>
  </si>
  <si>
    <t>a6JHn9314653</t>
  </si>
  <si>
    <t>a6JHn7745527</t>
  </si>
  <si>
    <t>Billing Request- 00101439</t>
  </si>
  <si>
    <t>Billing Request- 00101441</t>
  </si>
  <si>
    <t>a6JXt8387790</t>
  </si>
  <si>
    <t>Billing Request- 00101442</t>
  </si>
  <si>
    <t>Billing Request- 00101445</t>
  </si>
  <si>
    <t>Billing Request- 00101448</t>
  </si>
  <si>
    <t>Billing Request- 00101449</t>
  </si>
  <si>
    <t>Billing Request- 00101452</t>
  </si>
  <si>
    <t>Billing Request- 00101453</t>
  </si>
  <si>
    <t>Billing Request- 00101456</t>
  </si>
  <si>
    <t>a6JXt4901721</t>
  </si>
  <si>
    <t>Billing Request- 00101457</t>
  </si>
  <si>
    <t>Billing Request- 00101459</t>
  </si>
  <si>
    <t>Billing Request- 00101460</t>
  </si>
  <si>
    <t>a6JXt2019689</t>
  </si>
  <si>
    <t>Billing Request- 00101461</t>
  </si>
  <si>
    <t>a6Jat6452590</t>
  </si>
  <si>
    <t>Billing Request- 00101462</t>
  </si>
  <si>
    <t>a6JXt2742095</t>
  </si>
  <si>
    <t>a6JHn5268011</t>
  </si>
  <si>
    <t>Billing Request- 00101466</t>
  </si>
  <si>
    <t>a6Jat7397798</t>
  </si>
  <si>
    <t>Billing Request- 00101468</t>
  </si>
  <si>
    <t>Billing Request- 00101471</t>
  </si>
  <si>
    <t>Billing Request- 00101472</t>
  </si>
  <si>
    <t>a6JXt2426942</t>
  </si>
  <si>
    <t>a6JHn6526817</t>
  </si>
  <si>
    <t>Billing Request- 00101475</t>
  </si>
  <si>
    <t>Billing Request- 00101477</t>
  </si>
  <si>
    <t>Billing Request- 00101478</t>
  </si>
  <si>
    <t>Billing Request- 00101479</t>
  </si>
  <si>
    <t>Billing Request- 00101481</t>
  </si>
  <si>
    <t>a6JHn7060046</t>
  </si>
  <si>
    <t>Billing Request- 00101482</t>
  </si>
  <si>
    <t>a6Jat2252054</t>
  </si>
  <si>
    <t>Billing Request- 00101489</t>
  </si>
  <si>
    <t>Billing Request- 00101490</t>
  </si>
  <si>
    <t>Billing Request- 00101491</t>
  </si>
  <si>
    <t>Billing Request- 00101492</t>
  </si>
  <si>
    <t>Billing Request- 00101493</t>
  </si>
  <si>
    <t>Billing Request- 00101498</t>
  </si>
  <si>
    <t>Billing Request- 00101499</t>
  </si>
  <si>
    <t>Billing Request- 00101500</t>
  </si>
  <si>
    <t>a6JXt8468968</t>
  </si>
  <si>
    <t>Billing Request- 00101501</t>
  </si>
  <si>
    <t>a6JHn2395156</t>
  </si>
  <si>
    <t>Billing Request- 00101503</t>
  </si>
  <si>
    <t>a6JHn6700634</t>
  </si>
  <si>
    <t>Billing Request- 00101504</t>
  </si>
  <si>
    <t>Billing Request- 00101505</t>
  </si>
  <si>
    <t>Billing Request- 00101506</t>
  </si>
  <si>
    <t>Billing Request- 00101508</t>
  </si>
  <si>
    <t>Billing Request- 00101509</t>
  </si>
  <si>
    <t>Billing Request- 00101510</t>
  </si>
  <si>
    <t>Billing Request- 00101511</t>
  </si>
  <si>
    <t>Billing Request- 00101512</t>
  </si>
  <si>
    <t>a6JHn6229204</t>
  </si>
  <si>
    <t>a6JHn6934489</t>
  </si>
  <si>
    <t>Billing Request- 00101518</t>
  </si>
  <si>
    <t>a6Jat6775594</t>
  </si>
  <si>
    <t>Billing Request- 00101520</t>
  </si>
  <si>
    <t>Billing Request- 00101521</t>
  </si>
  <si>
    <t>Billing Request- 00101522</t>
  </si>
  <si>
    <t>Billing Request- 00101524</t>
  </si>
  <si>
    <t>Billing Request- 00101527</t>
  </si>
  <si>
    <t>Billing Request- 00101530</t>
  </si>
  <si>
    <t>a6JHn5159767</t>
  </si>
  <si>
    <t>Billing Request- 00101531</t>
  </si>
  <si>
    <t>a6Jat8043067</t>
  </si>
  <si>
    <t>Billing Request- 00101532</t>
  </si>
  <si>
    <t>Billing Request- 00101534</t>
  </si>
  <si>
    <t>Billing Request- 00101535</t>
  </si>
  <si>
    <t>Billing Request- 00101537</t>
  </si>
  <si>
    <t>Billing Request- 00101538</t>
  </si>
  <si>
    <t>Billing Request- 00101540</t>
  </si>
  <si>
    <t>Billing Request- 00101541</t>
  </si>
  <si>
    <t>Billing Request- 00101543</t>
  </si>
  <si>
    <t>Billing Request- 00101545</t>
  </si>
  <si>
    <t>Billing Request- 00101547</t>
  </si>
  <si>
    <t>Billing Request- 00101548</t>
  </si>
  <si>
    <t>Billing Request- 00101551</t>
  </si>
  <si>
    <t>Billing Request- 00101552</t>
  </si>
  <si>
    <t>Billing Request- 00101553</t>
  </si>
  <si>
    <t>Billing Request- 00101555</t>
  </si>
  <si>
    <t>Billing Request- 00101557</t>
  </si>
  <si>
    <t>Billing Request- 00101558</t>
  </si>
  <si>
    <t>Billing Request- 00101560</t>
  </si>
  <si>
    <t>Billing Request- 00101561</t>
  </si>
  <si>
    <t>Billing Request- 00101564</t>
  </si>
  <si>
    <t>Billing Request- 00101565</t>
  </si>
  <si>
    <t>Billing Request- 00101567</t>
  </si>
  <si>
    <t>Billing Request- 00101570</t>
  </si>
  <si>
    <t>Billing Request- 00101571</t>
  </si>
  <si>
    <t>Billing Request- 00101572</t>
  </si>
  <si>
    <t>Billing Request- 00101574</t>
  </si>
  <si>
    <t>Billing Request- 00101580</t>
  </si>
  <si>
    <t>Billing Request- 00101582</t>
  </si>
  <si>
    <t>Billing Request- 00101584</t>
  </si>
  <si>
    <t>Billing Request- 00101585</t>
  </si>
  <si>
    <t>Billing Request- 00101586</t>
  </si>
  <si>
    <t>Billing Request- 00101587</t>
  </si>
  <si>
    <t>Billing Request- 00101589</t>
  </si>
  <si>
    <t>Billing Request- 00101592</t>
  </si>
  <si>
    <t>Billing Request- 00101595</t>
  </si>
  <si>
    <t>Billing Request- 00101596</t>
  </si>
  <si>
    <t>Billing Request- 00101597</t>
  </si>
  <si>
    <t>Billing Request- 00101601</t>
  </si>
  <si>
    <t>Billing Request- 00101604</t>
  </si>
  <si>
    <t>Billing Request- 00101605</t>
  </si>
  <si>
    <t>Billing Request- 00101607</t>
  </si>
  <si>
    <t>Billing Request- 00101608</t>
  </si>
  <si>
    <t>Billing Request- 00101611</t>
  </si>
  <si>
    <t>Billing Request- 00101613</t>
  </si>
  <si>
    <t>Billing Request- 00101616</t>
  </si>
  <si>
    <t>Billing Request- 00101618</t>
  </si>
  <si>
    <t>Billing Request- 00101622</t>
  </si>
  <si>
    <t>Billing Request- 00101623</t>
  </si>
  <si>
    <t>Billing Request- 00101625</t>
  </si>
  <si>
    <t>Billing Request- 00101626</t>
  </si>
  <si>
    <t>Billing Request- 00101629</t>
  </si>
  <si>
    <t>Billing Request- 00101633</t>
  </si>
  <si>
    <t>a6JXt9346305</t>
  </si>
  <si>
    <t>Billing Request- 00101634</t>
  </si>
  <si>
    <t>a6JHn2580427</t>
  </si>
  <si>
    <t>Billing Request- 00101636</t>
  </si>
  <si>
    <t>Billing Request- 00101637</t>
  </si>
  <si>
    <t>Billing Request- 00101638</t>
  </si>
  <si>
    <t>Billing Request- 00101643</t>
  </si>
  <si>
    <t>Billing Request- 00101646</t>
  </si>
  <si>
    <t>Billing Request- 00101649</t>
  </si>
  <si>
    <t>Billing Request- 00101651</t>
  </si>
  <si>
    <t>Billing Request- 00101652</t>
  </si>
  <si>
    <t>Billing Request- 00101655</t>
  </si>
  <si>
    <t>Billing Request- 00101658</t>
  </si>
  <si>
    <t>Billing Request- 00101660</t>
  </si>
  <si>
    <t>Billing Request- 00101662</t>
  </si>
  <si>
    <t>a6Jat6976722</t>
  </si>
  <si>
    <t>Billing Request- 00101667</t>
  </si>
  <si>
    <t>Billing Request- 00101670</t>
  </si>
  <si>
    <t>Billing Request- 00101671</t>
  </si>
  <si>
    <t>Billing Request- 00101672</t>
  </si>
  <si>
    <t>a6JXt1788429</t>
  </si>
  <si>
    <t>a6JHn9465658</t>
  </si>
  <si>
    <t>Billing Request- 00101674</t>
  </si>
  <si>
    <t>a6JXt3039067</t>
  </si>
  <si>
    <t>Billing Request- 00101676</t>
  </si>
  <si>
    <t>Billing Request- 00101678</t>
  </si>
  <si>
    <t>Billing Request- 00101680</t>
  </si>
  <si>
    <t>Billing Request- 00101682</t>
  </si>
  <si>
    <t>Billing Request- 00101683</t>
  </si>
  <si>
    <t>Billing Request- 00101686</t>
  </si>
  <si>
    <t>Billing Request- 00101687</t>
  </si>
  <si>
    <t>Billing Request- 00101688</t>
  </si>
  <si>
    <t>Billing Request- 00101692</t>
  </si>
  <si>
    <t>Billing Request- 00101693</t>
  </si>
  <si>
    <t>Billing Request- 00101695</t>
  </si>
  <si>
    <t>a6JHn7826210</t>
  </si>
  <si>
    <t>Billing Request- 00101697</t>
  </si>
  <si>
    <t>Billing Request- 00101699</t>
  </si>
  <si>
    <t>a6JXt1523067</t>
  </si>
  <si>
    <t>a6JXt1206766</t>
  </si>
  <si>
    <t>Billing Request- 00101701</t>
  </si>
  <si>
    <t>a6Jat7386662</t>
  </si>
  <si>
    <t>Billing Request- 00101702</t>
  </si>
  <si>
    <t>Billing Request- 00101705</t>
  </si>
  <si>
    <t>Billing Request- 00101706</t>
  </si>
  <si>
    <t>a6JHn7861466</t>
  </si>
  <si>
    <t>Billing Request- 00101707</t>
  </si>
  <si>
    <t>Billing Request- 00101709</t>
  </si>
  <si>
    <t>Billing Request- 00101710</t>
  </si>
  <si>
    <t>Billing Request- 00101711</t>
  </si>
  <si>
    <t>Billing Request- 00101715</t>
  </si>
  <si>
    <t>a6JXt2509635</t>
  </si>
  <si>
    <t>Billing Request- 00101716</t>
  </si>
  <si>
    <t>a6Jat4944272</t>
  </si>
  <si>
    <t>Billing Request- 00101717</t>
  </si>
  <si>
    <t>Billing Request- 00101718</t>
  </si>
  <si>
    <t>Billing Request- 00101720</t>
  </si>
  <si>
    <t>Billing Request- 00101722</t>
  </si>
  <si>
    <t>Billing Request- 00101723</t>
  </si>
  <si>
    <t>a6JXt3964356</t>
  </si>
  <si>
    <t>Billing Request- 00101727</t>
  </si>
  <si>
    <t>a6Jat5437610</t>
  </si>
  <si>
    <t>a6JXt8203855</t>
  </si>
  <si>
    <t>Billing Request- 00101731</t>
  </si>
  <si>
    <t>Billing Request- 00101733</t>
  </si>
  <si>
    <t>Billing Request- 00101734</t>
  </si>
  <si>
    <t>a6JXt8415493</t>
  </si>
  <si>
    <t>Billing Request- 00101735</t>
  </si>
  <si>
    <t>a6Jat7925315</t>
  </si>
  <si>
    <t>a6Jat6160663</t>
  </si>
  <si>
    <t>Billing Request- 00101737</t>
  </si>
  <si>
    <t>Billing Request- 00101740</t>
  </si>
  <si>
    <t>a6Jat7797319</t>
  </si>
  <si>
    <t>Billing Request- 00101741</t>
  </si>
  <si>
    <t>Billing Request- 00101742</t>
  </si>
  <si>
    <t>Billing Request- 00101743</t>
  </si>
  <si>
    <t>Billing Request- 00101747</t>
  </si>
  <si>
    <t>Billing Request- 00101749</t>
  </si>
  <si>
    <t>a6Jat1117006</t>
  </si>
  <si>
    <t>Billing Request- 00101753</t>
  </si>
  <si>
    <t>a6JXt6981200</t>
  </si>
  <si>
    <t>Billing Request- 00101754</t>
  </si>
  <si>
    <t>a6JHn6002828</t>
  </si>
  <si>
    <t>a6JXt9769144</t>
  </si>
  <si>
    <t>a6JHn9445469</t>
  </si>
  <si>
    <t>a6Jat4877019</t>
  </si>
  <si>
    <t>Billing Request- 00101761</t>
  </si>
  <si>
    <t>Billing Request- 00101763</t>
  </si>
  <si>
    <t>a6Jat8407861</t>
  </si>
  <si>
    <t>Billing Request- 00101766</t>
  </si>
  <si>
    <t>Billing Request- 00101767</t>
  </si>
  <si>
    <t>Billing Request- 00101768</t>
  </si>
  <si>
    <t>Billing Request- 00101769</t>
  </si>
  <si>
    <t>a6JHn4921774</t>
  </si>
  <si>
    <t>Billing Request- 00101771</t>
  </si>
  <si>
    <t>Billing Request- 00101773</t>
  </si>
  <si>
    <t>Billing Request- 00101774</t>
  </si>
  <si>
    <t>Billing Request- 00101778</t>
  </si>
  <si>
    <t>Billing Request- 00101780</t>
  </si>
  <si>
    <t>a6JHn5363914</t>
  </si>
  <si>
    <t>Billing Request- 00101781</t>
  </si>
  <si>
    <t>a6JHn4022958</t>
  </si>
  <si>
    <t>Billing Request- 00101782</t>
  </si>
  <si>
    <t>a6JXt8201418</t>
  </si>
  <si>
    <t>Billing Request- 00101783</t>
  </si>
  <si>
    <t>a6JHn6970972</t>
  </si>
  <si>
    <t>Billing Request- 00101784</t>
  </si>
  <si>
    <t>a6JXt8295556</t>
  </si>
  <si>
    <t>Billing Request- 00101785</t>
  </si>
  <si>
    <t>a6JXt2732796</t>
  </si>
  <si>
    <t>Billing Request- 00101787</t>
  </si>
  <si>
    <t>Billing Request- 00101788</t>
  </si>
  <si>
    <t>a6JXt1560195</t>
  </si>
  <si>
    <t>Billing Request- 00101789</t>
  </si>
  <si>
    <t>a6Jat5941615</t>
  </si>
  <si>
    <t>Billing Request- 00101792</t>
  </si>
  <si>
    <t>Billing Request- 00101793</t>
  </si>
  <si>
    <t>Billing Request- 00101794</t>
  </si>
  <si>
    <t>Billing Request- 00101798</t>
  </si>
  <si>
    <t>Billing Request- 00101799</t>
  </si>
  <si>
    <t>a6JXt7412315</t>
  </si>
  <si>
    <t>Billing Request- 00101800</t>
  </si>
  <si>
    <t>Billing Request- 00101802</t>
  </si>
  <si>
    <t>Billing Request- 00101803</t>
  </si>
  <si>
    <t>Billing Request- 00101813</t>
  </si>
  <si>
    <t>Billing Request- 00101815</t>
  </si>
  <si>
    <t>Billing Request- 00101816</t>
  </si>
  <si>
    <t>Billing Request- 00101818</t>
  </si>
  <si>
    <t>Billing Request- 00101819</t>
  </si>
  <si>
    <t>Billing Request- 00101820</t>
  </si>
  <si>
    <t>Billing Request- 00101821</t>
  </si>
  <si>
    <t>Billing Request- 00101822</t>
  </si>
  <si>
    <t>Billing Request- 00101823</t>
  </si>
  <si>
    <t>Billing Request- 00101824</t>
  </si>
  <si>
    <t>a6JHn3800740</t>
  </si>
  <si>
    <t>Billing Request- 00101828</t>
  </si>
  <si>
    <t>Billing Request- 00101832</t>
  </si>
  <si>
    <t>a6JHn6416661</t>
  </si>
  <si>
    <t>Billing Request- 00101834</t>
  </si>
  <si>
    <t>a6JXt1323425</t>
  </si>
  <si>
    <t>Billing Request- 00101835</t>
  </si>
  <si>
    <t>Billing Request- 00101836</t>
  </si>
  <si>
    <t>a6JHn4721085</t>
  </si>
  <si>
    <t>Billing Request- 00101840</t>
  </si>
  <si>
    <t>Billing Request- 00101843</t>
  </si>
  <si>
    <t>Billing Request- 00101845</t>
  </si>
  <si>
    <t>Billing Request- 00101846</t>
  </si>
  <si>
    <t>Billing Request- 00101847</t>
  </si>
  <si>
    <t>Billing Request- 00101848</t>
  </si>
  <si>
    <t>Billing Request- 00101849</t>
  </si>
  <si>
    <t>Billing Request- 00101854</t>
  </si>
  <si>
    <t>a6JHn1207321</t>
  </si>
  <si>
    <t>a6Jat9856360</t>
  </si>
  <si>
    <t>Billing Request- 00101857</t>
  </si>
  <si>
    <t>a6Jat6041872</t>
  </si>
  <si>
    <t>Billing Request- 00101858</t>
  </si>
  <si>
    <t>a6JXt8294376</t>
  </si>
  <si>
    <t>Billing Request- 00101860</t>
  </si>
  <si>
    <t>a6Jat5379168</t>
  </si>
  <si>
    <t>Billing Request- 00101862</t>
  </si>
  <si>
    <t>Billing Request- 00101866</t>
  </si>
  <si>
    <t>Billing Request- 00101867</t>
  </si>
  <si>
    <t>Billing Request- 00101869</t>
  </si>
  <si>
    <t>a6JHn6397162</t>
  </si>
  <si>
    <t>Billing Request- 00101875</t>
  </si>
  <si>
    <t>a6JHn8004884</t>
  </si>
  <si>
    <t>Billing Request- 00101876</t>
  </si>
  <si>
    <t>Billing Request- 00101877</t>
  </si>
  <si>
    <t>Billing Request- 00101879</t>
  </si>
  <si>
    <t>Billing Request- 00101881</t>
  </si>
  <si>
    <t>Billing Request- 00101882</t>
  </si>
  <si>
    <t>Billing Request- 00101885</t>
  </si>
  <si>
    <t>Billing Request- 00101887</t>
  </si>
  <si>
    <t>Billing Request- 00101888</t>
  </si>
  <si>
    <t>Billing Request- 00101890</t>
  </si>
  <si>
    <t>Billing Request- 00101892</t>
  </si>
  <si>
    <t>Billing Request- 00101894</t>
  </si>
  <si>
    <t>Billing Request- 00101896</t>
  </si>
  <si>
    <t>Billing Request- 00101901</t>
  </si>
  <si>
    <t>a6JHn7309274</t>
  </si>
  <si>
    <t>Billing Request- 00101904</t>
  </si>
  <si>
    <t>a6JXt9107948</t>
  </si>
  <si>
    <t>Billing Request- 00101906</t>
  </si>
  <si>
    <t>Billing Request- 00101908</t>
  </si>
  <si>
    <t>Billing Request- 00101909</t>
  </si>
  <si>
    <t>Billing Request- 00101912</t>
  </si>
  <si>
    <t>Billing Request- 00101917</t>
  </si>
  <si>
    <t>a6JXt9249276</t>
  </si>
  <si>
    <t>a6JHn2130659</t>
  </si>
  <si>
    <t>Billing Request- 00101919</t>
  </si>
  <si>
    <t>a6JHn5546937</t>
  </si>
  <si>
    <t>Billing Request- 00101922</t>
  </si>
  <si>
    <t>Billing Request- 00101923</t>
  </si>
  <si>
    <t>Billing Request- 00101924</t>
  </si>
  <si>
    <t>Billing Request- 00101926</t>
  </si>
  <si>
    <t>Billing Request- 00101928</t>
  </si>
  <si>
    <t>Billing Request- 00101929</t>
  </si>
  <si>
    <t>Billing Request- 00101930</t>
  </si>
  <si>
    <t>Billing Request- 00101931</t>
  </si>
  <si>
    <t>Billing Request- 00101933</t>
  </si>
  <si>
    <t>Billing Request- 00101935</t>
  </si>
  <si>
    <t>Billing Request- 00101936</t>
  </si>
  <si>
    <t>Billing Request- 00101937</t>
  </si>
  <si>
    <t>Billing Request- 00101939</t>
  </si>
  <si>
    <t>Billing Request- 00101940</t>
  </si>
  <si>
    <t>Billing Request- 00101944</t>
  </si>
  <si>
    <t>Billing Request- 00101945</t>
  </si>
  <si>
    <t>Billing Request- 00101947</t>
  </si>
  <si>
    <t>a6JHn1118159</t>
  </si>
  <si>
    <t>Billing Request- 00101949</t>
  </si>
  <si>
    <t>Billing Request- 00101950</t>
  </si>
  <si>
    <t>Billing Request- 00101956</t>
  </si>
  <si>
    <t>Billing Request- 00101963</t>
  </si>
  <si>
    <t>Billing Request- 00101967</t>
  </si>
  <si>
    <t>Billing Request- 00101968</t>
  </si>
  <si>
    <t>Billing Request- 00101970</t>
  </si>
  <si>
    <t>Billing Request- 00101973</t>
  </si>
  <si>
    <t>a6Jat4916224</t>
  </si>
  <si>
    <t>Billing Request- 00101974</t>
  </si>
  <si>
    <t>a6Jat3496733</t>
  </si>
  <si>
    <t>Billing Request- 00101975</t>
  </si>
  <si>
    <t>a6Jat3248366</t>
  </si>
  <si>
    <t>Billing Request- 00101978</t>
  </si>
  <si>
    <t>Billing Request- 00101980</t>
  </si>
  <si>
    <t>Billing Request- 00101990</t>
  </si>
  <si>
    <t>Billing Request- 00101992</t>
  </si>
  <si>
    <t>Billing Request- 00101993</t>
  </si>
  <si>
    <t>Billing Request- 00101996</t>
  </si>
  <si>
    <t>Billing Request- 00101997</t>
  </si>
  <si>
    <t>Billing Request- 00101998</t>
  </si>
  <si>
    <t>Billing Request- 00102000</t>
  </si>
  <si>
    <t>Billing Request- 00102005</t>
  </si>
  <si>
    <t>Billing Request- 00102008</t>
  </si>
  <si>
    <t>Billing Request- 00102009</t>
  </si>
  <si>
    <t>Billing Request- 00102010</t>
  </si>
  <si>
    <t>Billing Request- 00102011</t>
  </si>
  <si>
    <t>Billing Request- 00102013</t>
  </si>
  <si>
    <t>Billing Request- 00102014</t>
  </si>
  <si>
    <t>Billing Request- 00102018</t>
  </si>
  <si>
    <t>Billing Request- 00102026</t>
  </si>
  <si>
    <t>Billing Request- 00102028</t>
  </si>
  <si>
    <t>Billing Request- 00102035</t>
  </si>
  <si>
    <t>Billing Request- 00102036</t>
  </si>
  <si>
    <t>a6JHn5518997</t>
  </si>
  <si>
    <t>Billing Request- 00102039</t>
  </si>
  <si>
    <t>Billing Request- 00102043</t>
  </si>
  <si>
    <t>Billing Request- 00102047</t>
  </si>
  <si>
    <t>a6JHn8179108</t>
  </si>
  <si>
    <t>Billing Request- 00102051</t>
  </si>
  <si>
    <t>a6JXt2910542</t>
  </si>
  <si>
    <t>Billing Request- 00102059</t>
  </si>
  <si>
    <t>Billing Request- 00102060</t>
  </si>
  <si>
    <t>Billing Request- 00102061</t>
  </si>
  <si>
    <t>Billing Request- 00102062</t>
  </si>
  <si>
    <t>a6Jat2223884</t>
  </si>
  <si>
    <t>Billing Request- 00102063</t>
  </si>
  <si>
    <t>a6JHn8742166</t>
  </si>
  <si>
    <t>a6JHn1871401</t>
  </si>
  <si>
    <t>Billing Request- 00102065</t>
  </si>
  <si>
    <t>a6Jat5077123</t>
  </si>
  <si>
    <t>Billing Request- 00102066</t>
  </si>
  <si>
    <t>Billing Request- 00102067</t>
  </si>
  <si>
    <t>Billing Request- 00102069</t>
  </si>
  <si>
    <t>Billing Request- 00102070</t>
  </si>
  <si>
    <t>a6JHn5696475</t>
  </si>
  <si>
    <t>Billing Request- 00102071</t>
  </si>
  <si>
    <t>Billing Request- 00102076</t>
  </si>
  <si>
    <t>Billing Request- 00102079</t>
  </si>
  <si>
    <t>Billing Request- 00102080</t>
  </si>
  <si>
    <t>Billing Request- 00102083</t>
  </si>
  <si>
    <t>a6JHn8154964</t>
  </si>
  <si>
    <t>Billing Request- 00102084</t>
  </si>
  <si>
    <t>a6Jat8661818</t>
  </si>
  <si>
    <t>a6Jat6352593</t>
  </si>
  <si>
    <t>Billing Request- 00102086</t>
  </si>
  <si>
    <t>a6Jat2227813</t>
  </si>
  <si>
    <t>Billing Request- 00102088</t>
  </si>
  <si>
    <t>Billing Request- 00102091</t>
  </si>
  <si>
    <t>Billing Request- 00102096</t>
  </si>
  <si>
    <t>Billing Request- 00102099</t>
  </si>
  <si>
    <t>a6JXt4404402</t>
  </si>
  <si>
    <t>a6Jat1215813</t>
  </si>
  <si>
    <t>Billing Request- 00102101</t>
  </si>
  <si>
    <t>a6Jat1059584</t>
  </si>
  <si>
    <t>Billing Request- 00102104</t>
  </si>
  <si>
    <t>a6JXt6085171</t>
  </si>
  <si>
    <t>Billing Request- 00102105</t>
  </si>
  <si>
    <t>Billing Request- 00102106</t>
  </si>
  <si>
    <t>Billing Request- 00102107</t>
  </si>
  <si>
    <t>Billing Request- 00102108</t>
  </si>
  <si>
    <t>Billing Request- 00102109</t>
  </si>
  <si>
    <t>Billing Request- 00102110</t>
  </si>
  <si>
    <t>Billing Request- 00102111</t>
  </si>
  <si>
    <t>Billing Request- 00102112</t>
  </si>
  <si>
    <t>Billing Request- 00102113</t>
  </si>
  <si>
    <t>Billing Request- 00102114</t>
  </si>
  <si>
    <t>Billing Request- 00102115</t>
  </si>
  <si>
    <t>Billing Request- 00102118</t>
  </si>
  <si>
    <t>Billing Request- 00102120</t>
  </si>
  <si>
    <t>Billing Request- 00102121</t>
  </si>
  <si>
    <t>a6JXt7165267</t>
  </si>
  <si>
    <t>Billing Request- 00102123</t>
  </si>
  <si>
    <t>Billing Request- 00102124</t>
  </si>
  <si>
    <t>a6Jat7987558</t>
  </si>
  <si>
    <t>a6JHn7122318</t>
  </si>
  <si>
    <t>Billing Request- 00102126</t>
  </si>
  <si>
    <t>Billing Request- 00102128</t>
  </si>
  <si>
    <t>a6JXt4290868</t>
  </si>
  <si>
    <t>Billing Request- 00102130</t>
  </si>
  <si>
    <t>a6JXt1081630</t>
  </si>
  <si>
    <t>Billing Request- 00102131</t>
  </si>
  <si>
    <t>a6JHn5442996</t>
  </si>
  <si>
    <t>Billing Request- 00102132</t>
  </si>
  <si>
    <t>Billing Request- 00102134</t>
  </si>
  <si>
    <t>a6Jat5354426</t>
  </si>
  <si>
    <t>a6JXt4689637</t>
  </si>
  <si>
    <t>Billing Request- 00102137</t>
  </si>
  <si>
    <t>Billing Request- 00102138</t>
  </si>
  <si>
    <t>Billing Request- 00102141</t>
  </si>
  <si>
    <t>Billing Request- 00102142</t>
  </si>
  <si>
    <t>Billing Request- 00102143</t>
  </si>
  <si>
    <t>Billing Request- 00102144</t>
  </si>
  <si>
    <t>Billing Request- 00102146</t>
  </si>
  <si>
    <t>Billing Request- 00102149</t>
  </si>
  <si>
    <t>Billing Request- 00102153</t>
  </si>
  <si>
    <t>Billing Request- 00102161</t>
  </si>
  <si>
    <t>Billing Request- 00102162</t>
  </si>
  <si>
    <t>Billing Request- 00102163</t>
  </si>
  <si>
    <t>Billing Request- 00102166</t>
  </si>
  <si>
    <t>Billing Request- 00102168</t>
  </si>
  <si>
    <t>a6Jat1732845</t>
  </si>
  <si>
    <t>Billing Request- 00102169</t>
  </si>
  <si>
    <t>Billing Request- 00102171</t>
  </si>
  <si>
    <t>a6Jat3261935</t>
  </si>
  <si>
    <t>Billing Request- 00102173</t>
  </si>
  <si>
    <t>a6JHn4357393</t>
  </si>
  <si>
    <t>Billing Request- 00102174</t>
  </si>
  <si>
    <t>a6JHn4656067</t>
  </si>
  <si>
    <t>Billing Request- 00102176</t>
  </si>
  <si>
    <t>Billing Request- 00102177</t>
  </si>
  <si>
    <t>Billing Request- 00102178</t>
  </si>
  <si>
    <t>a6Jat3038671</t>
  </si>
  <si>
    <t>Billing Request- 00102181</t>
  </si>
  <si>
    <t>a6JHn4651192</t>
  </si>
  <si>
    <t>Billing Request- 00102182</t>
  </si>
  <si>
    <t>a6JXt8191536</t>
  </si>
  <si>
    <t>Billing Request- 00102184</t>
  </si>
  <si>
    <t>a6JHn8597080</t>
  </si>
  <si>
    <t>Billing Request- 00102185</t>
  </si>
  <si>
    <t>Billing Request- 00102186</t>
  </si>
  <si>
    <t>Billing Request- 00102189</t>
  </si>
  <si>
    <t>Billing Request- 00102192</t>
  </si>
  <si>
    <t>Billing Request- 00102198</t>
  </si>
  <si>
    <t>Billing Request- 00102200</t>
  </si>
  <si>
    <t>Billing Request- 00102201</t>
  </si>
  <si>
    <t>Billing Request- 00102202</t>
  </si>
  <si>
    <t>Billing Request- 00102203</t>
  </si>
  <si>
    <t>Billing Request- 00102204</t>
  </si>
  <si>
    <t>Billing Request- 00102205</t>
  </si>
  <si>
    <t>Billing Request- 00102208</t>
  </si>
  <si>
    <t>Billing Request- 00102209</t>
  </si>
  <si>
    <t>Billing Request- 00102210</t>
  </si>
  <si>
    <t>Billing Request- 00102211</t>
  </si>
  <si>
    <t>Billing Request- 00102212</t>
  </si>
  <si>
    <t>Billing Request- 00102215</t>
  </si>
  <si>
    <t>a6JHn7280278</t>
  </si>
  <si>
    <t>a6JHn5257217</t>
  </si>
  <si>
    <t>Billing Request- 00102217</t>
  </si>
  <si>
    <t>Billing Request- 00102218</t>
  </si>
  <si>
    <t>Billing Request- 00102219</t>
  </si>
  <si>
    <t>a6JHn6990612</t>
  </si>
  <si>
    <t>Billing Request- 00102221</t>
  </si>
  <si>
    <t>a6JXt2320054</t>
  </si>
  <si>
    <t>a6JXt9419884</t>
  </si>
  <si>
    <t>Billing Request- 00102225</t>
  </si>
  <si>
    <t>Billing Request- 00102226</t>
  </si>
  <si>
    <t>a6JXt7816369</t>
  </si>
  <si>
    <t>Billing Request- 00102234</t>
  </si>
  <si>
    <t>Billing Request- 00102236</t>
  </si>
  <si>
    <t>Billing Request- 00102238</t>
  </si>
  <si>
    <t>Billing Request- 00102243</t>
  </si>
  <si>
    <t>Billing Request- 00102244</t>
  </si>
  <si>
    <t>Billing Request- 00102247</t>
  </si>
  <si>
    <t>a6JXt1749872</t>
  </si>
  <si>
    <t>Billing Request- 00102248</t>
  </si>
  <si>
    <t>a6JHn4426540</t>
  </si>
  <si>
    <t>Billing Request- 00102251</t>
  </si>
  <si>
    <t>a6JXt9563936</t>
  </si>
  <si>
    <t>Billing Request- 00102252</t>
  </si>
  <si>
    <t>a6Jat7990905</t>
  </si>
  <si>
    <t>a6JXt5648869</t>
  </si>
  <si>
    <t>Billing Request- 00102254</t>
  </si>
  <si>
    <t>a6JHn5125381</t>
  </si>
  <si>
    <t>Billing Request- 00102258</t>
  </si>
  <si>
    <t>Billing Request- 00102263</t>
  </si>
  <si>
    <t>Billing Request- 00102264</t>
  </si>
  <si>
    <t>Billing Request- 00102265</t>
  </si>
  <si>
    <t>Billing Request- 00102270</t>
  </si>
  <si>
    <t>Billing Request- 00102272</t>
  </si>
  <si>
    <t>Billing Request- 00102273</t>
  </si>
  <si>
    <t>Billing Request- 00102274</t>
  </si>
  <si>
    <t>Billing Request- 00102278</t>
  </si>
  <si>
    <t>Billing Request- 00102279</t>
  </si>
  <si>
    <t>Billing Request- 00102281</t>
  </si>
  <si>
    <t>a6JXt7276231</t>
  </si>
  <si>
    <t>Billing Request- 00102284</t>
  </si>
  <si>
    <t>a6JXt5403875</t>
  </si>
  <si>
    <t>Billing Request- 00102289</t>
  </si>
  <si>
    <t>Billing Request- 00102292</t>
  </si>
  <si>
    <t>a6Jat5496799</t>
  </si>
  <si>
    <t>Billing Request- 00102294</t>
  </si>
  <si>
    <t>a6JHn3573082</t>
  </si>
  <si>
    <t>Billing Request- 00102296</t>
  </si>
  <si>
    <t>a6Jat2267666</t>
  </si>
  <si>
    <t>Billing Request- 00102297</t>
  </si>
  <si>
    <t>a6Jat6589274</t>
  </si>
  <si>
    <t>Billing Request- 00102298</t>
  </si>
  <si>
    <t>a6Jat7287843</t>
  </si>
  <si>
    <t>Billing Request- 00102301</t>
  </si>
  <si>
    <t>a6Jat2249916</t>
  </si>
  <si>
    <t>Billing Request- 00102303</t>
  </si>
  <si>
    <t>Billing Request- 00102304</t>
  </si>
  <si>
    <t>Billing Request- 00102307</t>
  </si>
  <si>
    <t>Billing Request- 00102309</t>
  </si>
  <si>
    <t>Billing Request- 00102310</t>
  </si>
  <si>
    <t>Billing Request- 00102311</t>
  </si>
  <si>
    <t>Billing Request- 00102313</t>
  </si>
  <si>
    <t>Billing Request- 00102315</t>
  </si>
  <si>
    <t>Billing Request- 00102316</t>
  </si>
  <si>
    <t>Billing Request- 00102317</t>
  </si>
  <si>
    <t>Billing Request- 00102318</t>
  </si>
  <si>
    <t>a6JHn6445840</t>
  </si>
  <si>
    <t>Billing Request- 00102319</t>
  </si>
  <si>
    <t>a6Jat6091391</t>
  </si>
  <si>
    <t>Billing Request- 00102321</t>
  </si>
  <si>
    <t>Billing Request- 00102322</t>
  </si>
  <si>
    <t>Billing Request- 00102323</t>
  </si>
  <si>
    <t>Billing Request- 00102324</t>
  </si>
  <si>
    <t>Billing Request- 00102326</t>
  </si>
  <si>
    <t>a6JHn7284497</t>
  </si>
  <si>
    <t>Billing Request- 00102328</t>
  </si>
  <si>
    <t>a6Jat7826089</t>
  </si>
  <si>
    <t>Billing Request- 00102330</t>
  </si>
  <si>
    <t>a6Jat7691200</t>
  </si>
  <si>
    <t>Billing Request- 00102331</t>
  </si>
  <si>
    <t>Billing Request- 00102334</t>
  </si>
  <si>
    <t>Billing Request- 00102335</t>
  </si>
  <si>
    <t>a6Jat3209870</t>
  </si>
  <si>
    <t>Billing Request- 00102336</t>
  </si>
  <si>
    <t>Billing Request- 00102337</t>
  </si>
  <si>
    <t>a6JXt8504725</t>
  </si>
  <si>
    <t>a6Jat8151198</t>
  </si>
  <si>
    <t>a6JXt9917509</t>
  </si>
  <si>
    <t>Billing Request- 00102346</t>
  </si>
  <si>
    <t>a6JXt2730412</t>
  </si>
  <si>
    <t>Billing Request- 00102347</t>
  </si>
  <si>
    <t>a6Jat8829012</t>
  </si>
  <si>
    <t>Billing Request- 00102348</t>
  </si>
  <si>
    <t>a6Jat7912974</t>
  </si>
  <si>
    <t>Billing Request- 00102350</t>
  </si>
  <si>
    <t>a6JHn8758452</t>
  </si>
  <si>
    <t>Billing Request- 00102351</t>
  </si>
  <si>
    <t>a6JXt1721598</t>
  </si>
  <si>
    <t>Billing Request- 00102354</t>
  </si>
  <si>
    <t>a6Jat2418154</t>
  </si>
  <si>
    <t>Billing Request- 00102355</t>
  </si>
  <si>
    <t>Billing Request- 00102358</t>
  </si>
  <si>
    <t>a6Jat6053211</t>
  </si>
  <si>
    <t>Billing Request- 00102362</t>
  </si>
  <si>
    <t>a6Jat5650251</t>
  </si>
  <si>
    <t>Billing Request- 00102363</t>
  </si>
  <si>
    <t>a6JHn4324036</t>
  </si>
  <si>
    <t>a6JXt4492872</t>
  </si>
  <si>
    <t>Billing Request- 00102368</t>
  </si>
  <si>
    <t>Billing Request- 00102371</t>
  </si>
  <si>
    <t>Billing Request- 00102374</t>
  </si>
  <si>
    <t>Billing Request- 00102375</t>
  </si>
  <si>
    <t>Billing Request- 00102378</t>
  </si>
  <si>
    <t>Billing Request- 00102381</t>
  </si>
  <si>
    <t>a6JHn7501644</t>
  </si>
  <si>
    <t>Billing Request- 00102382</t>
  </si>
  <si>
    <t>Billing Request- 00102383</t>
  </si>
  <si>
    <t>a6JXt1611999</t>
  </si>
  <si>
    <t>Billing Request- 00102388</t>
  </si>
  <si>
    <t>a6JHn7333508</t>
  </si>
  <si>
    <t>Billing Request- 00102390</t>
  </si>
  <si>
    <t>Billing Request- 00102392</t>
  </si>
  <si>
    <t>Billing Request- 00102393</t>
  </si>
  <si>
    <t>Billing Request- 00102395</t>
  </si>
  <si>
    <t>Billing Request- 00102400</t>
  </si>
  <si>
    <t>Billing Request- 00102403</t>
  </si>
  <si>
    <t>Billing Request- 00102405</t>
  </si>
  <si>
    <t>a6JHn5454764</t>
  </si>
  <si>
    <t>Billing Request- 00102409</t>
  </si>
  <si>
    <t>a6JHn1203290</t>
  </si>
  <si>
    <t>Billing Request- 00102411</t>
  </si>
  <si>
    <t>a6Jat9060974</t>
  </si>
  <si>
    <t>Billing Request- 00102415</t>
  </si>
  <si>
    <t>a6Jat6219672</t>
  </si>
  <si>
    <t>Billing Request- 00102416</t>
  </si>
  <si>
    <t>a6JXt8656484</t>
  </si>
  <si>
    <t>Billing Request- 00102417</t>
  </si>
  <si>
    <t>a6Jat4289611</t>
  </si>
  <si>
    <t>a6JHn8604021</t>
  </si>
  <si>
    <t>Billing Request- 00102420</t>
  </si>
  <si>
    <t>Billing Request- 00102421</t>
  </si>
  <si>
    <t>Billing Request- 00102422</t>
  </si>
  <si>
    <t>Billing Request- 00102424</t>
  </si>
  <si>
    <t>Billing Request- 00102429</t>
  </si>
  <si>
    <t>Billing Request- 00102433</t>
  </si>
  <si>
    <t>Billing Request- 00102434</t>
  </si>
  <si>
    <t>Billing Request- 00102436</t>
  </si>
  <si>
    <t>Billing Request- 00102437</t>
  </si>
  <si>
    <t>Billing Request- 00102438</t>
  </si>
  <si>
    <t>Billing Request- 00102442</t>
  </si>
  <si>
    <t>a6JXt3452038</t>
  </si>
  <si>
    <t>Billing Request- 00102444</t>
  </si>
  <si>
    <t>Billing Request- 00102445</t>
  </si>
  <si>
    <t>Billing Request- 00102446</t>
  </si>
  <si>
    <t>Billing Request- 00102449</t>
  </si>
  <si>
    <t>Billing Request- 00102450</t>
  </si>
  <si>
    <t>a6Jat7844188</t>
  </si>
  <si>
    <t>Billing Request- 00102454</t>
  </si>
  <si>
    <t>Billing Request- 00102455</t>
  </si>
  <si>
    <t>Billing Request- 00102456</t>
  </si>
  <si>
    <t>Billing Request- 00102457</t>
  </si>
  <si>
    <t>Billing Request- 00102459</t>
  </si>
  <si>
    <t>Billing Request- 00102461</t>
  </si>
  <si>
    <t>Billing Request- 00102465</t>
  </si>
  <si>
    <t>Billing Request- 00102466</t>
  </si>
  <si>
    <t>Billing Request- 00102467</t>
  </si>
  <si>
    <t>a6JXt1143494</t>
  </si>
  <si>
    <t>Billing Request- 00102468</t>
  </si>
  <si>
    <t>a6JXt5238782</t>
  </si>
  <si>
    <t>Billing Request- 00102469</t>
  </si>
  <si>
    <t>a6JHn5778306</t>
  </si>
  <si>
    <t>Billing Request- 00102470</t>
  </si>
  <si>
    <t>Billing Request- 00102472</t>
  </si>
  <si>
    <t>Billing Request- 00102474</t>
  </si>
  <si>
    <t>Billing Request- 00102475</t>
  </si>
  <si>
    <t>Billing Request- 00102478</t>
  </si>
  <si>
    <t>Billing Request- 00102479</t>
  </si>
  <si>
    <t>Billing Request- 00102480</t>
  </si>
  <si>
    <t>Billing Request- 00102481</t>
  </si>
  <si>
    <t>Billing Request- 00102482</t>
  </si>
  <si>
    <t>Billing Request- 00102485</t>
  </si>
  <si>
    <t>Billing Request- 00102486</t>
  </si>
  <si>
    <t>Billing Request- 00102488</t>
  </si>
  <si>
    <t>Billing Request- 00102491</t>
  </si>
  <si>
    <t>Billing Request- 00102492</t>
  </si>
  <si>
    <t>Billing Request- 00102493</t>
  </si>
  <si>
    <t>a6JXt9390674</t>
  </si>
  <si>
    <t>Billing Request- 00102498</t>
  </si>
  <si>
    <t>a6JXt7168683</t>
  </si>
  <si>
    <t>Billing Request- 00102501</t>
  </si>
  <si>
    <t>Billing Request- 00102503</t>
  </si>
  <si>
    <t>a6Jat9327575</t>
  </si>
  <si>
    <t>Billing Request- 00102504</t>
  </si>
  <si>
    <t>Billing Request- 00102506</t>
  </si>
  <si>
    <t>Billing Request- 00102508</t>
  </si>
  <si>
    <t>Billing Request- 00102509</t>
  </si>
  <si>
    <t>Billing Request- 00102510</t>
  </si>
  <si>
    <t>a6JXt8327108</t>
  </si>
  <si>
    <t>a6JXt1952169</t>
  </si>
  <si>
    <t>a6JXt1139487</t>
  </si>
  <si>
    <t>Billing Request- 00102516</t>
  </si>
  <si>
    <t>a6JXt5698305</t>
  </si>
  <si>
    <t>a6JHn6526237</t>
  </si>
  <si>
    <t>Billing Request- 00102520</t>
  </si>
  <si>
    <t>Billing Request- 00102523</t>
  </si>
  <si>
    <t>Billing Request- 00102525</t>
  </si>
  <si>
    <t>a6Jat5769239</t>
  </si>
  <si>
    <t>Billing Request- 00102527</t>
  </si>
  <si>
    <t>a6JHn6816943</t>
  </si>
  <si>
    <t>Billing Request- 00102528</t>
  </si>
  <si>
    <t>Billing Request- 00102531</t>
  </si>
  <si>
    <t>Billing Request- 00102539</t>
  </si>
  <si>
    <t>Billing Request- 00102543</t>
  </si>
  <si>
    <t>Billing Request- 00102545</t>
  </si>
  <si>
    <t>Billing Request- 00102546</t>
  </si>
  <si>
    <t>Billing Request- 00102547</t>
  </si>
  <si>
    <t>Billing Request- 00102550</t>
  </si>
  <si>
    <t>Billing Request- 00102552</t>
  </si>
  <si>
    <t>Billing Request- 00102553</t>
  </si>
  <si>
    <t>Billing Request- 00102554</t>
  </si>
  <si>
    <t>Billing Request- 00102557</t>
  </si>
  <si>
    <t>Billing Request- 00102560</t>
  </si>
  <si>
    <t>Billing Request- 00102562</t>
  </si>
  <si>
    <t>Billing Request- 00102566</t>
  </si>
  <si>
    <t>Billing Request- 00102569</t>
  </si>
  <si>
    <t>Billing Request- 00102570</t>
  </si>
  <si>
    <t>Billing Request- 00102573</t>
  </si>
  <si>
    <t>Billing Request- 00102576</t>
  </si>
  <si>
    <t>Billing Request- 00102577</t>
  </si>
  <si>
    <t>Billing Request- 00102579</t>
  </si>
  <si>
    <t>Billing Request- 00102581</t>
  </si>
  <si>
    <t>Billing Request- 00102582</t>
  </si>
  <si>
    <t>Billing Request- 00102584</t>
  </si>
  <si>
    <t>Billing Request- 00102585</t>
  </si>
  <si>
    <t>Billing Request- 00102587</t>
  </si>
  <si>
    <t>Billing Request- 00102589</t>
  </si>
  <si>
    <t>a6JHn2256482</t>
  </si>
  <si>
    <t>a6Jat6257631</t>
  </si>
  <si>
    <t>Billing Request- 00102594</t>
  </si>
  <si>
    <t>a6JXt5657275</t>
  </si>
  <si>
    <t>Billing Request- 00102595</t>
  </si>
  <si>
    <t>Billing Request- 00102599</t>
  </si>
  <si>
    <t>Billing Request- 00102600</t>
  </si>
  <si>
    <t>Billing Request- 00102602</t>
  </si>
  <si>
    <t>Billing Request- 00102603</t>
  </si>
  <si>
    <t>Billing Request- 00102604</t>
  </si>
  <si>
    <t>Billing Request- 00102608</t>
  </si>
  <si>
    <t>a6Jat7701498</t>
  </si>
  <si>
    <t>Billing Request- 00102611</t>
  </si>
  <si>
    <t>a6Jat1592991</t>
  </si>
  <si>
    <t>Billing Request- 00102612</t>
  </si>
  <si>
    <t>Billing Request- 00102615</t>
  </si>
  <si>
    <t>Billing Request- 00102620</t>
  </si>
  <si>
    <t>a6Jat8880304</t>
  </si>
  <si>
    <t>Billing Request- 00102623</t>
  </si>
  <si>
    <t>a6JHn7078282</t>
  </si>
  <si>
    <t>Billing Request- 00102626</t>
  </si>
  <si>
    <t>a6JHn4437446</t>
  </si>
  <si>
    <t>Billing Request- 00102627</t>
  </si>
  <si>
    <t>a6Jat3077730</t>
  </si>
  <si>
    <t>Billing Request- 00102628</t>
  </si>
  <si>
    <t>a6Jat7934867</t>
  </si>
  <si>
    <t>Billing Request- 00102629</t>
  </si>
  <si>
    <t>a6JHn2532862</t>
  </si>
  <si>
    <t>Billing Request- 00102630</t>
  </si>
  <si>
    <t>a6JXt7136216</t>
  </si>
  <si>
    <t>Billing Request- 00102631</t>
  </si>
  <si>
    <t>a6JHn5277210</t>
  </si>
  <si>
    <t>Billing Request- 00102632</t>
  </si>
  <si>
    <t>a6JXt9429827</t>
  </si>
  <si>
    <t>Billing Request- 00102634</t>
  </si>
  <si>
    <t>Billing Request- 00102636</t>
  </si>
  <si>
    <t>a6Jat6967140</t>
  </si>
  <si>
    <t>Billing Request- 00102637</t>
  </si>
  <si>
    <t>Billing Request- 00102641</t>
  </si>
  <si>
    <t>Billing Request- 00102645</t>
  </si>
  <si>
    <t>Billing Request- 00102646</t>
  </si>
  <si>
    <t>a6JXt1550711</t>
  </si>
  <si>
    <t>Billing Request- 00102649</t>
  </si>
  <si>
    <t>a6Jat2064889</t>
  </si>
  <si>
    <t>Billing Request- 00102650</t>
  </si>
  <si>
    <t>a6JHn9522296</t>
  </si>
  <si>
    <t>Billing Request- 00102651</t>
  </si>
  <si>
    <t>Billing Request- 00102652</t>
  </si>
  <si>
    <t>a6JHn7028224</t>
  </si>
  <si>
    <t>a6JHn7349822</t>
  </si>
  <si>
    <t>Billing Request- 00102665</t>
  </si>
  <si>
    <t>Billing Request- 00102668</t>
  </si>
  <si>
    <t>a6JXt9144961</t>
  </si>
  <si>
    <t>a6Jat2621834</t>
  </si>
  <si>
    <t>Billing Request- 00102671</t>
  </si>
  <si>
    <t>a6JHn9454622</t>
  </si>
  <si>
    <t>Billing Request- 00102672</t>
  </si>
  <si>
    <t>a6Jat9287783</t>
  </si>
  <si>
    <t>Billing Request- 00102674</t>
  </si>
  <si>
    <t>Billing Request- 00102675</t>
  </si>
  <si>
    <t>Billing Request- 00102678</t>
  </si>
  <si>
    <t>Billing Request- 00102680</t>
  </si>
  <si>
    <t>a6Jat4456472</t>
  </si>
  <si>
    <t>Billing Request- 00102681</t>
  </si>
  <si>
    <t>a6JXt2154595</t>
  </si>
  <si>
    <t>Billing Request- 00102682</t>
  </si>
  <si>
    <t>a6Jat9374197</t>
  </si>
  <si>
    <t>Billing Request- 00102683</t>
  </si>
  <si>
    <t>a6JHn5292254</t>
  </si>
  <si>
    <t>a6JHn7335498</t>
  </si>
  <si>
    <t>Billing Request- 00102688</t>
  </si>
  <si>
    <t>Billing Request- 00102689</t>
  </si>
  <si>
    <t>Billing Request- 00102690</t>
  </si>
  <si>
    <t>Billing Request- 00102692</t>
  </si>
  <si>
    <t>a6Jat7312675</t>
  </si>
  <si>
    <t>Billing Request- 00102694</t>
  </si>
  <si>
    <t>a6Jat7608160</t>
  </si>
  <si>
    <t>Billing Request- 00102699</t>
  </si>
  <si>
    <t>Billing Request- 00102700</t>
  </si>
  <si>
    <t>Billing Request- 00102703</t>
  </si>
  <si>
    <t>Billing Request- 00102705</t>
  </si>
  <si>
    <t>Billing Request- 00102706</t>
  </si>
  <si>
    <t>Billing Request- 00102708</t>
  </si>
  <si>
    <t>Billing Request- 00102709</t>
  </si>
  <si>
    <t>Billing Request- 00102710</t>
  </si>
  <si>
    <t>Billing Request- 00102712</t>
  </si>
  <si>
    <t>Billing Request- 00102715</t>
  </si>
  <si>
    <t>Billing Request- 00102716</t>
  </si>
  <si>
    <t>Billing Request- 00102717</t>
  </si>
  <si>
    <t>Billing Request- 00102720</t>
  </si>
  <si>
    <t>Billing Request- 00102721</t>
  </si>
  <si>
    <t>Billing Request- 00102722</t>
  </si>
  <si>
    <t>Billing Request- 00102723</t>
  </si>
  <si>
    <t>Billing Request- 00102725</t>
  </si>
  <si>
    <t>Billing Request- 00102726</t>
  </si>
  <si>
    <t>Billing Request- 00102728</t>
  </si>
  <si>
    <t>a6JXt1564961</t>
  </si>
  <si>
    <t>Billing Request- 00102730</t>
  </si>
  <si>
    <t>Billing Request- 00102736</t>
  </si>
  <si>
    <t>Billing Request- 00102737</t>
  </si>
  <si>
    <t>Billing Request- 00102741</t>
  </si>
  <si>
    <t>Billing Request- 00102742</t>
  </si>
  <si>
    <t>Billing Request- 00102743</t>
  </si>
  <si>
    <t>Billing Request- 00102744</t>
  </si>
  <si>
    <t>Billing Request- 00102745</t>
  </si>
  <si>
    <t>Billing Request- 00102746</t>
  </si>
  <si>
    <t>a6Jat9234577</t>
  </si>
  <si>
    <t>Billing Request- 00102747</t>
  </si>
  <si>
    <t>a6Jat9328820</t>
  </si>
  <si>
    <t>a6JHn8300462</t>
  </si>
  <si>
    <t>a6JHn7958538</t>
  </si>
  <si>
    <t>a6JXt1852536</t>
  </si>
  <si>
    <t>Billing Request- 00102752</t>
  </si>
  <si>
    <t>Billing Request- 00102753</t>
  </si>
  <si>
    <t>Billing Request- 00102755</t>
  </si>
  <si>
    <t>Billing Request- 00102757</t>
  </si>
  <si>
    <t>Billing Request- 00102758</t>
  </si>
  <si>
    <t>Billing Request- 00102760</t>
  </si>
  <si>
    <t>Billing Request- 00102761</t>
  </si>
  <si>
    <t>a6JXt2071668</t>
  </si>
  <si>
    <t>Billing Request- 00102763</t>
  </si>
  <si>
    <t>Billing Request- 00102766</t>
  </si>
  <si>
    <t>a6Jat1907844</t>
  </si>
  <si>
    <t>Billing Request- 00102767</t>
  </si>
  <si>
    <t>Billing Request- 00102770</t>
  </si>
  <si>
    <t>a6JHn7859329</t>
  </si>
  <si>
    <t>Billing Request- 00102772</t>
  </si>
  <si>
    <t>a6Jat2607065</t>
  </si>
  <si>
    <t>Billing Request- 00102773</t>
  </si>
  <si>
    <t>a6JXt2367704</t>
  </si>
  <si>
    <t>Billing Request- 00102779</t>
  </si>
  <si>
    <t>Billing Request- 00102782</t>
  </si>
  <si>
    <t>Billing Request- 00102784</t>
  </si>
  <si>
    <t>Billing Request- 00102788</t>
  </si>
  <si>
    <t>Billing Request- 00102790</t>
  </si>
  <si>
    <t>Billing Request- 00102791</t>
  </si>
  <si>
    <t>Billing Request- 00102792</t>
  </si>
  <si>
    <t>Billing Request- 00102793</t>
  </si>
  <si>
    <t>Billing Request- 00102796</t>
  </si>
  <si>
    <t>Billing Request- 00102797</t>
  </si>
  <si>
    <t>Billing Request- 00102799</t>
  </si>
  <si>
    <t>Billing Request- 00102801</t>
  </si>
  <si>
    <t>Billing Request- 00102802</t>
  </si>
  <si>
    <t>Billing Request- 00102803</t>
  </si>
  <si>
    <t>Billing Request- 00102804</t>
  </si>
  <si>
    <t>a6JXt4945943</t>
  </si>
  <si>
    <t>Billing Request- 00102807</t>
  </si>
  <si>
    <t>Billing Request- 00102809</t>
  </si>
  <si>
    <t>Billing Request- 00102811</t>
  </si>
  <si>
    <t>Billing Request- 00102813</t>
  </si>
  <si>
    <t>Billing Request- 00102814</t>
  </si>
  <si>
    <t>Billing Request- 00102815</t>
  </si>
  <si>
    <t>Billing Request- 00102816</t>
  </si>
  <si>
    <t>Billing Request- 00102818</t>
  </si>
  <si>
    <t>Billing Request- 00102821</t>
  </si>
  <si>
    <t>Billing Request- 00102823</t>
  </si>
  <si>
    <t>Billing Request- 00102825</t>
  </si>
  <si>
    <t>Billing Request- 00102831</t>
  </si>
  <si>
    <t>a6JXt2243239</t>
  </si>
  <si>
    <t>Billing Request- 00102832</t>
  </si>
  <si>
    <t>a6JXt2707604</t>
  </si>
  <si>
    <t>a6Jat2650440</t>
  </si>
  <si>
    <t>Billing Request- 00102834</t>
  </si>
  <si>
    <t>Billing Request- 00102835</t>
  </si>
  <si>
    <t>Billing Request- 00102836</t>
  </si>
  <si>
    <t>Billing Request- 00102837</t>
  </si>
  <si>
    <t>Billing Request- 00102838</t>
  </si>
  <si>
    <t>Billing Request- 00102839</t>
  </si>
  <si>
    <t>Billing Request- 00102840</t>
  </si>
  <si>
    <t>a6JHn4924753</t>
  </si>
  <si>
    <t>Billing Request- 00102842</t>
  </si>
  <si>
    <t>Billing Request- 00102843</t>
  </si>
  <si>
    <t>Billing Request- 00102845</t>
  </si>
  <si>
    <t>a6JXt7702476</t>
  </si>
  <si>
    <t>Billing Request- 00102846</t>
  </si>
  <si>
    <t>Billing Request- 00102848</t>
  </si>
  <si>
    <t>a6JXt6945631</t>
  </si>
  <si>
    <t>a6JHn4848331</t>
  </si>
  <si>
    <t>Billing Request- 00102850</t>
  </si>
  <si>
    <t>a6Jat3359997</t>
  </si>
  <si>
    <t>Billing Request- 00102851</t>
  </si>
  <si>
    <t>a6JXt3893887</t>
  </si>
  <si>
    <t>a6Jat2179945</t>
  </si>
  <si>
    <t>Billing Request- 00102854</t>
  </si>
  <si>
    <t>a6JHn6609114</t>
  </si>
  <si>
    <t>Billing Request- 00102856</t>
  </si>
  <si>
    <t>Billing Request- 00102857</t>
  </si>
  <si>
    <t>Billing Request- 00102860</t>
  </si>
  <si>
    <t>Billing Request- 00102861</t>
  </si>
  <si>
    <t>Billing Request- 00102862</t>
  </si>
  <si>
    <t>Billing Request- 00102863</t>
  </si>
  <si>
    <t>Billing Request- 00102864</t>
  </si>
  <si>
    <t>Billing Request- 00102866</t>
  </si>
  <si>
    <t>Billing Request- 00102868</t>
  </si>
  <si>
    <t>Billing Request- 00102871</t>
  </si>
  <si>
    <t>Billing Request- 00102872</t>
  </si>
  <si>
    <t>Billing Request- 00102874</t>
  </si>
  <si>
    <t>Billing Request- 00102878</t>
  </si>
  <si>
    <t>Billing Request- 00102884</t>
  </si>
  <si>
    <t>a6JHn3011908</t>
  </si>
  <si>
    <t>a6JXt2430612</t>
  </si>
  <si>
    <t>Billing Request- 00102888</t>
  </si>
  <si>
    <t>Billing Request- 00102889</t>
  </si>
  <si>
    <t>Billing Request- 00102890</t>
  </si>
  <si>
    <t>Billing Request- 00102892</t>
  </si>
  <si>
    <t>Billing Request- 00102895</t>
  </si>
  <si>
    <t>Billing Request- 00102896</t>
  </si>
  <si>
    <t>a6JXt9911449</t>
  </si>
  <si>
    <t>Billing Request- 00102897</t>
  </si>
  <si>
    <t>a6JXt5439172</t>
  </si>
  <si>
    <t>Billing Request- 00102898</t>
  </si>
  <si>
    <t>a6JXt9507289</t>
  </si>
  <si>
    <t>Billing Request- 00102899</t>
  </si>
  <si>
    <t>a6Jat8372728</t>
  </si>
  <si>
    <t>Billing Request- 00102901</t>
  </si>
  <si>
    <t>Billing Request- 00102902</t>
  </si>
  <si>
    <t>Billing Request- 00102903</t>
  </si>
  <si>
    <t>a6JXt3262103</t>
  </si>
  <si>
    <t>a6Jat8663942</t>
  </si>
  <si>
    <t>Billing Request- 00102905</t>
  </si>
  <si>
    <t>a6Jat1688945</t>
  </si>
  <si>
    <t>Billing Request- 00102907</t>
  </si>
  <si>
    <t>Billing Request- 00102909</t>
  </si>
  <si>
    <t>Billing Request- 00102911</t>
  </si>
  <si>
    <t>Billing Request- 00102912</t>
  </si>
  <si>
    <t>Billing Request- 00102913</t>
  </si>
  <si>
    <t>Billing Request- 00102916</t>
  </si>
  <si>
    <t>Billing Request- 00102918</t>
  </si>
  <si>
    <t>Billing Request- 00102921</t>
  </si>
  <si>
    <t>Billing Request- 00102922</t>
  </si>
  <si>
    <t>Billing Request- 00102923</t>
  </si>
  <si>
    <t>Billing Request- 00102927</t>
  </si>
  <si>
    <t>Billing Request- 00102928</t>
  </si>
  <si>
    <t>Billing Request- 00102929</t>
  </si>
  <si>
    <t>Billing Request- 00102930</t>
  </si>
  <si>
    <t>Billing Request- 00102932</t>
  </si>
  <si>
    <t>Billing Request- 00102935</t>
  </si>
  <si>
    <t>a6JHn6890588</t>
  </si>
  <si>
    <t>Billing Request- 00102936</t>
  </si>
  <si>
    <t>Billing Request- 00102937</t>
  </si>
  <si>
    <t>a6JXt8551752</t>
  </si>
  <si>
    <t>Billing Request- 00102938</t>
  </si>
  <si>
    <t>a6JXt6738192</t>
  </si>
  <si>
    <t>a6JXt9714211</t>
  </si>
  <si>
    <t>Billing Request- 00102941</t>
  </si>
  <si>
    <t>Billing Request- 00102943</t>
  </si>
  <si>
    <t>Billing Request- 00102944</t>
  </si>
  <si>
    <t>Billing Request- 00102945</t>
  </si>
  <si>
    <t>Billing Request- 00102946</t>
  </si>
  <si>
    <t>Billing Request- 00102947</t>
  </si>
  <si>
    <t>Billing Request- 00102948</t>
  </si>
  <si>
    <t>Billing Request- 00102949</t>
  </si>
  <si>
    <t>Billing Request- 00102950</t>
  </si>
  <si>
    <t>Billing Request- 00102951</t>
  </si>
  <si>
    <t>Billing Request- 00102954</t>
  </si>
  <si>
    <t>Billing Request- 00102955</t>
  </si>
  <si>
    <t>Billing Request- 00102958</t>
  </si>
  <si>
    <t>Billing Request- 00102959</t>
  </si>
  <si>
    <t>Billing Request- 00102962</t>
  </si>
  <si>
    <t>a6JHn8938211</t>
  </si>
  <si>
    <t>Billing Request- 00102963</t>
  </si>
  <si>
    <t>Billing Request- 00102965</t>
  </si>
  <si>
    <t>Billing Request- 00102966</t>
  </si>
  <si>
    <t>Billing Request- 00102967</t>
  </si>
  <si>
    <t>Billing Request- 00102969</t>
  </si>
  <si>
    <t>Billing Request- 00102971</t>
  </si>
  <si>
    <t>Billing Request- 00102973</t>
  </si>
  <si>
    <t>a6Jat4836380</t>
  </si>
  <si>
    <t>Billing Request- 00102975</t>
  </si>
  <si>
    <t>a6JXt3188785</t>
  </si>
  <si>
    <t>Billing Request- 00102981</t>
  </si>
  <si>
    <t>Billing Request- 00102983</t>
  </si>
  <si>
    <t>Billing Request- 00102987</t>
  </si>
  <si>
    <t>a6JXt6435975</t>
  </si>
  <si>
    <t>a6Jat5153601</t>
  </si>
  <si>
    <t>Billing Request- 00102989</t>
  </si>
  <si>
    <t>Billing Request- 00102990</t>
  </si>
  <si>
    <t>a6JHn4608129</t>
  </si>
  <si>
    <t>Billing Request- 00102994</t>
  </si>
  <si>
    <t>a6JXt2328461</t>
  </si>
  <si>
    <t>Billing Request- 00102995</t>
  </si>
  <si>
    <t>a6JXt9069161</t>
  </si>
  <si>
    <t>Billing Request- 00102997</t>
  </si>
  <si>
    <t>a6JXt9718692</t>
  </si>
  <si>
    <t>Billing Request- 00103004</t>
  </si>
  <si>
    <t>Billing Request- 00103006</t>
  </si>
  <si>
    <t>Billing Request- 00103007</t>
  </si>
  <si>
    <t>Billing Request- 00103011</t>
  </si>
  <si>
    <t>Billing Request- 00103012</t>
  </si>
  <si>
    <t>Billing Request- 00103018</t>
  </si>
  <si>
    <t>Billing Request- 00103021</t>
  </si>
  <si>
    <t>a6Jat7281373</t>
  </si>
  <si>
    <t>Billing Request- 00103023</t>
  </si>
  <si>
    <t>a6JXt8039553</t>
  </si>
  <si>
    <t>Billing Request- 00103024</t>
  </si>
  <si>
    <t>a6JXt6141927</t>
  </si>
  <si>
    <t>Billing Request- 00103026</t>
  </si>
  <si>
    <t>Billing Request- 00103027</t>
  </si>
  <si>
    <t>a6Jat2071418</t>
  </si>
  <si>
    <t>Billing Request- 00103034</t>
  </si>
  <si>
    <t>a6Jat2803233</t>
  </si>
  <si>
    <t>Billing Request- 00103036</t>
  </si>
  <si>
    <t>a6JHn2341310</t>
  </si>
  <si>
    <t>a6JHn1232204</t>
  </si>
  <si>
    <t>Billing Request- 00103041</t>
  </si>
  <si>
    <t>Billing Request- 00103042</t>
  </si>
  <si>
    <t>Billing Request- 00103043</t>
  </si>
  <si>
    <t>Billing Request- 00103045</t>
  </si>
  <si>
    <t>Billing Request- 00103048</t>
  </si>
  <si>
    <t>Billing Request- 00103049</t>
  </si>
  <si>
    <t>a6JHn6498821</t>
  </si>
  <si>
    <t>Billing Request- 00103052</t>
  </si>
  <si>
    <t>a6JXt9087865</t>
  </si>
  <si>
    <t>Billing Request- 00103056</t>
  </si>
  <si>
    <t>Billing Request- 00103057</t>
  </si>
  <si>
    <t>Billing Request- 00103058</t>
  </si>
  <si>
    <t>Billing Request- 00103061</t>
  </si>
  <si>
    <t>Billing Request- 00103063</t>
  </si>
  <si>
    <t>Billing Request- 00103066</t>
  </si>
  <si>
    <t>a6JXt2419895</t>
  </si>
  <si>
    <t>Billing Request- 00103067</t>
  </si>
  <si>
    <t>a6JXt5635519</t>
  </si>
  <si>
    <t>Billing Request- 00103068</t>
  </si>
  <si>
    <t>Billing Request- 00103069</t>
  </si>
  <si>
    <t>a6JXt4833760</t>
  </si>
  <si>
    <t>Billing Request- 00103071</t>
  </si>
  <si>
    <t>Billing Request- 00103073</t>
  </si>
  <si>
    <t>a6JHn6793356</t>
  </si>
  <si>
    <t>Billing Request- 00103075</t>
  </si>
  <si>
    <t>a6Jat6454293</t>
  </si>
  <si>
    <t>Billing Request- 00103077</t>
  </si>
  <si>
    <t>Billing Request- 00103079</t>
  </si>
  <si>
    <t>Billing Request- 00103081</t>
  </si>
  <si>
    <t>Billing Request- 00103083</t>
  </si>
  <si>
    <t>Billing Request- 00103086</t>
  </si>
  <si>
    <t>Billing Request- 00103089</t>
  </si>
  <si>
    <t>Billing Request- 00103092</t>
  </si>
  <si>
    <t>Billing Request- 00103093</t>
  </si>
  <si>
    <t>a6JXt5186332</t>
  </si>
  <si>
    <t>Billing Request- 00103094</t>
  </si>
  <si>
    <t>a6JHn3546156</t>
  </si>
  <si>
    <t>Billing Request- 00103095</t>
  </si>
  <si>
    <t>a6Jat2238779</t>
  </si>
  <si>
    <t>Billing Request- 00103096</t>
  </si>
  <si>
    <t>a6JXt5511285</t>
  </si>
  <si>
    <t>Billing Request- 00103100</t>
  </si>
  <si>
    <t>a6JXt7116865</t>
  </si>
  <si>
    <t>Billing Request- 00103101</t>
  </si>
  <si>
    <t>a6JHn7423351</t>
  </si>
  <si>
    <t>a6Jat3346371</t>
  </si>
  <si>
    <t>Billing Request- 00103103</t>
  </si>
  <si>
    <t>Billing Request- 00103106</t>
  </si>
  <si>
    <t>Billing Request- 00103109</t>
  </si>
  <si>
    <t>Billing Request- 00103110</t>
  </si>
  <si>
    <t>Billing Request- 00103111</t>
  </si>
  <si>
    <t>Billing Request- 00103112</t>
  </si>
  <si>
    <t>Billing Request- 00103117</t>
  </si>
  <si>
    <t>Billing Request- 00103120</t>
  </si>
  <si>
    <t>Billing Request- 00103122</t>
  </si>
  <si>
    <t>Billing Request- 00103124</t>
  </si>
  <si>
    <t>a6JXt9922855</t>
  </si>
  <si>
    <t>Billing Request- 00103125</t>
  </si>
  <si>
    <t>a6JHn2748663</t>
  </si>
  <si>
    <t>Billing Request- 00103126</t>
  </si>
  <si>
    <t>Billing Request- 00103127</t>
  </si>
  <si>
    <t>Billing Request- 00103129</t>
  </si>
  <si>
    <t>Billing Request- 00103133</t>
  </si>
  <si>
    <t>a6Jat2435092</t>
  </si>
  <si>
    <t>Billing Request- 00103136</t>
  </si>
  <si>
    <t>a6Jat8232531</t>
  </si>
  <si>
    <t>Billing Request- 00103137</t>
  </si>
  <si>
    <t>a6JXt8326379</t>
  </si>
  <si>
    <t>a6JXt6263495</t>
  </si>
  <si>
    <t>Billing Request- 00103139</t>
  </si>
  <si>
    <t>a6JHn8371274</t>
  </si>
  <si>
    <t>Billing Request- 00103140</t>
  </si>
  <si>
    <t>Billing Request- 00103142</t>
  </si>
  <si>
    <t>Billing Request- 00103143</t>
  </si>
  <si>
    <t>a6JHn3554558</t>
  </si>
  <si>
    <t>Billing Request- 00103145</t>
  </si>
  <si>
    <t>a6JHn7955364</t>
  </si>
  <si>
    <t>a6JXt6628763</t>
  </si>
  <si>
    <t>Billing Request- 00103147</t>
  </si>
  <si>
    <t>Billing Request- 00103148</t>
  </si>
  <si>
    <t>Billing Request- 00103149</t>
  </si>
  <si>
    <t>Billing Request- 00103150</t>
  </si>
  <si>
    <t>Billing Request- 00103151</t>
  </si>
  <si>
    <t>Billing Request- 00103153</t>
  </si>
  <si>
    <t>Billing Request- 00103154</t>
  </si>
  <si>
    <t>Billing Request- 00103157</t>
  </si>
  <si>
    <t>Billing Request- 00103160</t>
  </si>
  <si>
    <t>Billing Request- 00103164</t>
  </si>
  <si>
    <t>Billing Request- 00103165</t>
  </si>
  <si>
    <t>Billing Request- 00103166</t>
  </si>
  <si>
    <t>Billing Request- 00103167</t>
  </si>
  <si>
    <t>Billing Request- 00103171</t>
  </si>
  <si>
    <t>a6JHn1356297</t>
  </si>
  <si>
    <t>Billing Request- 00103172</t>
  </si>
  <si>
    <t>a6JXt9336813</t>
  </si>
  <si>
    <t>Billing Request- 00103175</t>
  </si>
  <si>
    <t>Billing Request- 00103176</t>
  </si>
  <si>
    <t>Billing Request- 00103177</t>
  </si>
  <si>
    <t>a6Jat6833015</t>
  </si>
  <si>
    <t>Billing Request- 00103180</t>
  </si>
  <si>
    <t>Billing Request- 00103182</t>
  </si>
  <si>
    <t>Billing Request- 00103183</t>
  </si>
  <si>
    <t>Billing Request- 00103184</t>
  </si>
  <si>
    <t>Billing Request- 00103186</t>
  </si>
  <si>
    <t>a6JXt8863701</t>
  </si>
  <si>
    <t>Billing Request- 00103188</t>
  </si>
  <si>
    <t>Billing Request- 00103189</t>
  </si>
  <si>
    <t>Billing Request- 00103192</t>
  </si>
  <si>
    <t>Billing Request- 00103193</t>
  </si>
  <si>
    <t>Billing Request- 00103195</t>
  </si>
  <si>
    <t>Billing Request- 00103196</t>
  </si>
  <si>
    <t>Billing Request- 00103198</t>
  </si>
  <si>
    <t>a6JHn9740624</t>
  </si>
  <si>
    <t>Billing Request- 00103202</t>
  </si>
  <si>
    <t>Billing Request- 00103203</t>
  </si>
  <si>
    <t>a6JHn1656427</t>
  </si>
  <si>
    <t>Billing Request- 00103205</t>
  </si>
  <si>
    <t>a6JHn5189926</t>
  </si>
  <si>
    <t>Billing Request- 00103206</t>
  </si>
  <si>
    <t>a6JXt1701296</t>
  </si>
  <si>
    <t>Billing Request- 00103208</t>
  </si>
  <si>
    <t>a6Jat2149024</t>
  </si>
  <si>
    <t>Billing Request- 00103209</t>
  </si>
  <si>
    <t>Billing Request- 00103210</t>
  </si>
  <si>
    <t>Billing Request- 00103211</t>
  </si>
  <si>
    <t>Billing Request- 00103212</t>
  </si>
  <si>
    <t>Billing Request- 00103213</t>
  </si>
  <si>
    <t>Billing Request- 00103215</t>
  </si>
  <si>
    <t>Billing Request- 00103218</t>
  </si>
  <si>
    <t>Billing Request- 00103219</t>
  </si>
  <si>
    <t>Billing Request- 00103221</t>
  </si>
  <si>
    <t>Billing Request- 00103222</t>
  </si>
  <si>
    <t>Billing Request- 00103226</t>
  </si>
  <si>
    <t>a6JHn3958594</t>
  </si>
  <si>
    <t>Billing Request- 00103230</t>
  </si>
  <si>
    <t>a6JXt6218945</t>
  </si>
  <si>
    <t>Billing Request- 00103234</t>
  </si>
  <si>
    <t>Billing Request- 00103237</t>
  </si>
  <si>
    <t>a6Jat6793696</t>
  </si>
  <si>
    <t>Billing Request- 00103242</t>
  </si>
  <si>
    <t>Billing Request- 00103243</t>
  </si>
  <si>
    <t>Billing Request- 00103245</t>
  </si>
  <si>
    <t>Billing Request- 00103248</t>
  </si>
  <si>
    <t>a6JXt4432778</t>
  </si>
  <si>
    <t>Billing Request- 00103249</t>
  </si>
  <si>
    <t>a6Jat1641726</t>
  </si>
  <si>
    <t>Billing Request- 00103250</t>
  </si>
  <si>
    <t>a6JXt3737845</t>
  </si>
  <si>
    <t>Billing Request- 00103253</t>
  </si>
  <si>
    <t>a6JXt1619634</t>
  </si>
  <si>
    <t>Billing Request- 00103254</t>
  </si>
  <si>
    <t>a6JHn1158805</t>
  </si>
  <si>
    <t>Billing Request- 00103259</t>
  </si>
  <si>
    <t>Billing Request- 00103260</t>
  </si>
  <si>
    <t>Billing Request- 00103262</t>
  </si>
  <si>
    <t>Billing Request- 00103263</t>
  </si>
  <si>
    <t>Billing Request- 00103264</t>
  </si>
  <si>
    <t>Billing Request- 00103266</t>
  </si>
  <si>
    <t>Billing Request- 00103268</t>
  </si>
  <si>
    <t>Billing Request- 00103269</t>
  </si>
  <si>
    <t>Billing Request- 00103270</t>
  </si>
  <si>
    <t>Billing Request- 00103273</t>
  </si>
  <si>
    <t>Billing Request- 00103275</t>
  </si>
  <si>
    <t>Billing Request- 00103276</t>
  </si>
  <si>
    <t>Billing Request- 00103283</t>
  </si>
  <si>
    <t>Billing Request- 00103286</t>
  </si>
  <si>
    <t>Billing Request- 00103291</t>
  </si>
  <si>
    <t>Billing Request- 00103293</t>
  </si>
  <si>
    <t>Billing Request- 00103294</t>
  </si>
  <si>
    <t>Billing Request- 00103295</t>
  </si>
  <si>
    <t>Billing Request- 00103298</t>
  </si>
  <si>
    <t>Billing Request- 00103300</t>
  </si>
  <si>
    <t>Billing Request- 00103301</t>
  </si>
  <si>
    <t>a6JXt1304979</t>
  </si>
  <si>
    <t>a6JXt7316280</t>
  </si>
  <si>
    <t>Billing Request- 00103310</t>
  </si>
  <si>
    <t>Billing Request- 00103311</t>
  </si>
  <si>
    <t>Billing Request- 00103314</t>
  </si>
  <si>
    <t>Billing Request- 00103315</t>
  </si>
  <si>
    <t>Billing Request- 00103318</t>
  </si>
  <si>
    <t>Billing Request- 00103320</t>
  </si>
  <si>
    <t>Billing Request- 00103322</t>
  </si>
  <si>
    <t>Billing Request- 00103323</t>
  </si>
  <si>
    <t>Billing Request- 00103325</t>
  </si>
  <si>
    <t>a6Jat4954062</t>
  </si>
  <si>
    <t>Billing Request- 00103326</t>
  </si>
  <si>
    <t>a6JXt3211698</t>
  </si>
  <si>
    <t>Billing Request- 00103327</t>
  </si>
  <si>
    <t>Billing Request- 00103328</t>
  </si>
  <si>
    <t>Billing Request- 00103331</t>
  </si>
  <si>
    <t>Billing Request- 00103333</t>
  </si>
  <si>
    <t>Billing Request- 00103336</t>
  </si>
  <si>
    <t>Billing Request- 00103337</t>
  </si>
  <si>
    <t>Billing Request- 00103338</t>
  </si>
  <si>
    <t>Billing Request- 00103340</t>
  </si>
  <si>
    <t>Billing Request- 00103341</t>
  </si>
  <si>
    <t>Billing Request- 00103343</t>
  </si>
  <si>
    <t>Billing Request- 00103344</t>
  </si>
  <si>
    <t>Billing Request- 00103345</t>
  </si>
  <si>
    <t>Billing Request- 00103346</t>
  </si>
  <si>
    <t>Billing Request- 00103347</t>
  </si>
  <si>
    <t>Billing Request- 00103349</t>
  </si>
  <si>
    <t>a6Jat5264203</t>
  </si>
  <si>
    <t>Billing Request- 00103353</t>
  </si>
  <si>
    <t>Billing Request- 00103361</t>
  </si>
  <si>
    <t>Billing Request- 00103362</t>
  </si>
  <si>
    <t>a6JXt9839713</t>
  </si>
  <si>
    <t>Billing Request- 00103363</t>
  </si>
  <si>
    <t>a6JHn5033996</t>
  </si>
  <si>
    <t>Billing Request- 00103364</t>
  </si>
  <si>
    <t>Billing Request- 00103367</t>
  </si>
  <si>
    <t>Billing Request- 00103368</t>
  </si>
  <si>
    <t>a6JXt3884191</t>
  </si>
  <si>
    <t>Billing Request- 00103372</t>
  </si>
  <si>
    <t>Billing Request- 00103374</t>
  </si>
  <si>
    <t>Billing Request- 00103376</t>
  </si>
  <si>
    <t>a6JXt4753691</t>
  </si>
  <si>
    <t>Billing Request- 00103381</t>
  </si>
  <si>
    <t>Billing Request- 00103387</t>
  </si>
  <si>
    <t>Billing Request- 00103388</t>
  </si>
  <si>
    <t>Billing Request- 00103389</t>
  </si>
  <si>
    <t>Billing Request- 00103395</t>
  </si>
  <si>
    <t>Billing Request- 00103396</t>
  </si>
  <si>
    <t>Billing Request- 00103397</t>
  </si>
  <si>
    <t>Billing Request- 00103399</t>
  </si>
  <si>
    <t>a6JHn9032177</t>
  </si>
  <si>
    <t>Billing Request- 00103401</t>
  </si>
  <si>
    <t>Billing Request- 00103402</t>
  </si>
  <si>
    <t>Billing Request- 00103404</t>
  </si>
  <si>
    <t>Billing Request- 00103405</t>
  </si>
  <si>
    <t>Billing Request- 00103406</t>
  </si>
  <si>
    <t>Billing Request- 00103407</t>
  </si>
  <si>
    <t>Billing Request- 00103410</t>
  </si>
  <si>
    <t>Billing Request- 00103412</t>
  </si>
  <si>
    <t>Billing Request- 00103413</t>
  </si>
  <si>
    <t>Billing Request- 00103416</t>
  </si>
  <si>
    <t>a6JXt2959175</t>
  </si>
  <si>
    <t>Billing Request- 00103417</t>
  </si>
  <si>
    <t>a6JHn8471444</t>
  </si>
  <si>
    <t>a6JHn7549426</t>
  </si>
  <si>
    <t>Billing Request- 00103421</t>
  </si>
  <si>
    <t>a6Jat1165496</t>
  </si>
  <si>
    <t>Billing Request- 00103423</t>
  </si>
  <si>
    <t>a6JHn1521984</t>
  </si>
  <si>
    <t>Billing Request- 00103424</t>
  </si>
  <si>
    <t>Billing Request- 00103432</t>
  </si>
  <si>
    <t>Billing Request- 00103433</t>
  </si>
  <si>
    <t>Billing Request- 00103434</t>
  </si>
  <si>
    <t>Billing Request- 00103435</t>
  </si>
  <si>
    <t>a6Jat9834338</t>
  </si>
  <si>
    <t>Billing Request- 00103438</t>
  </si>
  <si>
    <t>a6JHn1302191</t>
  </si>
  <si>
    <t>Billing Request- 00103439</t>
  </si>
  <si>
    <t>a6Jat9620008</t>
  </si>
  <si>
    <t>Billing Request- 00103443</t>
  </si>
  <si>
    <t>Billing Request- 00103444</t>
  </si>
  <si>
    <t>Billing Request- 00103447</t>
  </si>
  <si>
    <t>Billing Request- 00103449</t>
  </si>
  <si>
    <t>Billing Request- 00103451</t>
  </si>
  <si>
    <t>Billing Request- 00103452</t>
  </si>
  <si>
    <t>Billing Request- 00103454</t>
  </si>
  <si>
    <t>Billing Request- 00103456</t>
  </si>
  <si>
    <t>Billing Request- 00103460</t>
  </si>
  <si>
    <t>Billing Request- 00103461</t>
  </si>
  <si>
    <t>Billing Request- 00103462</t>
  </si>
  <si>
    <t>Billing Request- 00103463</t>
  </si>
  <si>
    <t>Billing Request- 00103464</t>
  </si>
  <si>
    <t>a6Jat7768461</t>
  </si>
  <si>
    <t>Billing Request- 00103467</t>
  </si>
  <si>
    <t>a6JXt2771823</t>
  </si>
  <si>
    <t>a6JHn7653299</t>
  </si>
  <si>
    <t>a6Jat3485914</t>
  </si>
  <si>
    <t>Billing Request- 00103471</t>
  </si>
  <si>
    <t>a6JHn7534892</t>
  </si>
  <si>
    <t>Billing Request- 00103475</t>
  </si>
  <si>
    <t>Billing Request- 00103477</t>
  </si>
  <si>
    <t>a6JHn3748049</t>
  </si>
  <si>
    <t>a6JHn1225799</t>
  </si>
  <si>
    <t>Billing Request- 00103480</t>
  </si>
  <si>
    <t>a6JHn2708399</t>
  </si>
  <si>
    <t>Billing Request- 00103482</t>
  </si>
  <si>
    <t>a6JXt4406862</t>
  </si>
  <si>
    <t>Billing Request- 00103485</t>
  </si>
  <si>
    <t>Billing Request- 00103486</t>
  </si>
  <si>
    <t>Billing Request- 00103487</t>
  </si>
  <si>
    <t>Billing Request- 00103491</t>
  </si>
  <si>
    <t>Billing Request- 00103496</t>
  </si>
  <si>
    <t>Billing Request- 00103504</t>
  </si>
  <si>
    <t>Billing Request- 00103507</t>
  </si>
  <si>
    <t>Billing Request- 00103509</t>
  </si>
  <si>
    <t>Billing Request- 00103510</t>
  </si>
  <si>
    <t>Billing Request- 00103512</t>
  </si>
  <si>
    <t>Billing Request- 00103513</t>
  </si>
  <si>
    <t>Billing Request- 00103515</t>
  </si>
  <si>
    <t>Billing Request- 00103517</t>
  </si>
  <si>
    <t>Billing Request- 00103518</t>
  </si>
  <si>
    <t>Billing Request- 00103522</t>
  </si>
  <si>
    <t>Billing Request- 00103525</t>
  </si>
  <si>
    <t>Billing Request- 00103527</t>
  </si>
  <si>
    <t>Billing Request- 00103528</t>
  </si>
  <si>
    <t>Billing Request- 00103531</t>
  </si>
  <si>
    <t>Billing Request- 00103532</t>
  </si>
  <si>
    <t>Billing Request- 00103534</t>
  </si>
  <si>
    <t>Billing Request- 00103535</t>
  </si>
  <si>
    <t>Billing Request- 00103537</t>
  </si>
  <si>
    <t>Billing Request- 00103538</t>
  </si>
  <si>
    <t>Billing Request- 00103539</t>
  </si>
  <si>
    <t>Billing Request- 00103542</t>
  </si>
  <si>
    <t>Billing Request- 00103545</t>
  </si>
  <si>
    <t>Billing Request- 00103546</t>
  </si>
  <si>
    <t>Billing Request- 00103547</t>
  </si>
  <si>
    <t>Billing Request- 00103552</t>
  </si>
  <si>
    <t>a6Jat6663356</t>
  </si>
  <si>
    <t>Billing Request- 00103553</t>
  </si>
  <si>
    <t>a6JHn4117525</t>
  </si>
  <si>
    <t>a6Jat1212947</t>
  </si>
  <si>
    <t>Billing Request- 00103555</t>
  </si>
  <si>
    <t>a6Jat4395587</t>
  </si>
  <si>
    <t>Billing Request- 00103556</t>
  </si>
  <si>
    <t>Billing Request- 00103557</t>
  </si>
  <si>
    <t>a6JXt8873233</t>
  </si>
  <si>
    <t>a6JHn9675099</t>
  </si>
  <si>
    <t>Billing Request- 00103560</t>
  </si>
  <si>
    <t>Billing Request- 00103561</t>
  </si>
  <si>
    <t>a6Jat8386580</t>
  </si>
  <si>
    <t>Billing Request- 00103562</t>
  </si>
  <si>
    <t>a6Jat7453261</t>
  </si>
  <si>
    <t>a6Jat2982431</t>
  </si>
  <si>
    <t>Billing Request- 00103566</t>
  </si>
  <si>
    <t>Billing Request- 00103567</t>
  </si>
  <si>
    <t>Billing Request- 00103568</t>
  </si>
  <si>
    <t>a6JHn2354261</t>
  </si>
  <si>
    <t>Billing Request- 00103571</t>
  </si>
  <si>
    <t>Billing Request- 00103573</t>
  </si>
  <si>
    <t>Billing Request- 00103574</t>
  </si>
  <si>
    <t>a6JHn4899115</t>
  </si>
  <si>
    <t>Billing Request- 00103575</t>
  </si>
  <si>
    <t>a6JXt3775364</t>
  </si>
  <si>
    <t>Billing Request- 00103576</t>
  </si>
  <si>
    <t>a6JXt4050694</t>
  </si>
  <si>
    <t>Billing Request- 00103578</t>
  </si>
  <si>
    <t>a6Jat9304244</t>
  </si>
  <si>
    <t>Billing Request- 00103579</t>
  </si>
  <si>
    <t>a6Jat2610670</t>
  </si>
  <si>
    <t>Billing Request- 00103580</t>
  </si>
  <si>
    <t>a6JHn1318851</t>
  </si>
  <si>
    <t>Billing Request- 00103581</t>
  </si>
  <si>
    <t>a6Jat8983535</t>
  </si>
  <si>
    <t>Billing Request- 00103583</t>
  </si>
  <si>
    <t>Billing Request- 00103585</t>
  </si>
  <si>
    <t>Billing Request- 00103586</t>
  </si>
  <si>
    <t>Billing Request- 00103588</t>
  </si>
  <si>
    <t>Billing Request- 00103590</t>
  </si>
  <si>
    <t>Billing Request- 00103593</t>
  </si>
  <si>
    <t>Billing Request- 00103599</t>
  </si>
  <si>
    <t>a6Jat9818262</t>
  </si>
  <si>
    <t>Billing Request- 00103600</t>
  </si>
  <si>
    <t>a6JHn8394812</t>
  </si>
  <si>
    <t>a6JXt3797723</t>
  </si>
  <si>
    <t>Billing Request- 00103603</t>
  </si>
  <si>
    <t>Billing Request- 00103606</t>
  </si>
  <si>
    <t>Billing Request- 00103609</t>
  </si>
  <si>
    <t>Billing Request- 00103610</t>
  </si>
  <si>
    <t>Billing Request- 00103611</t>
  </si>
  <si>
    <t>Billing Request- 00103612</t>
  </si>
  <si>
    <t>Billing Request- 00103622</t>
  </si>
  <si>
    <t>Billing Request- 00103623</t>
  </si>
  <si>
    <t>Billing Request- 00103626</t>
  </si>
  <si>
    <t>Billing Request- 00103627</t>
  </si>
  <si>
    <t>Billing Request- 00103628</t>
  </si>
  <si>
    <t>Billing Request- 00103629</t>
  </si>
  <si>
    <t>Billing Request- 00103630</t>
  </si>
  <si>
    <t>Billing Request- 00103631</t>
  </si>
  <si>
    <t>Billing Request- 00103633</t>
  </si>
  <si>
    <t>Billing Request- 00103634</t>
  </si>
  <si>
    <t>Billing Request- 00103636</t>
  </si>
  <si>
    <t>a6JXt6325559</t>
  </si>
  <si>
    <t>Billing Request- 00103637</t>
  </si>
  <si>
    <t>Billing Request- 00103638</t>
  </si>
  <si>
    <t>Billing Request- 00103644</t>
  </si>
  <si>
    <t>Billing Request- 00103645</t>
  </si>
  <si>
    <t>Billing Request- 00103647</t>
  </si>
  <si>
    <t>Billing Request- 00103650</t>
  </si>
  <si>
    <t>Billing Request- 00103654</t>
  </si>
  <si>
    <t>Billing Request- 00103655</t>
  </si>
  <si>
    <t>Billing Request- 00103656</t>
  </si>
  <si>
    <t>Billing Request- 00103658</t>
  </si>
  <si>
    <t>Billing Request- 00103659</t>
  </si>
  <si>
    <t>Billing Request- 00103660</t>
  </si>
  <si>
    <t>Billing Request- 00103662</t>
  </si>
  <si>
    <t>Billing Request- 00103663</t>
  </si>
  <si>
    <t>Billing Request- 00103664</t>
  </si>
  <si>
    <t>a6JHn9080911</t>
  </si>
  <si>
    <t>Billing Request- 00103665</t>
  </si>
  <si>
    <t>Billing Request- 00103666</t>
  </si>
  <si>
    <t>Billing Request- 00103667</t>
  </si>
  <si>
    <t>Billing Request- 00103668</t>
  </si>
  <si>
    <t>Billing Request- 00103670</t>
  </si>
  <si>
    <t>Billing Request- 00103672</t>
  </si>
  <si>
    <t>Billing Request- 00103674</t>
  </si>
  <si>
    <t>Billing Request- 00103676</t>
  </si>
  <si>
    <t>Billing Request- 00103677</t>
  </si>
  <si>
    <t>Billing Request- 00103678</t>
  </si>
  <si>
    <t>a6Jat5839348</t>
  </si>
  <si>
    <t>Billing Request- 00103679</t>
  </si>
  <si>
    <t>a6JXt7548852</t>
  </si>
  <si>
    <t>Billing Request- 00103680</t>
  </si>
  <si>
    <t>a6JXt5885856</t>
  </si>
  <si>
    <t>Billing Request- 00103682</t>
  </si>
  <si>
    <t>a6JHn6846155</t>
  </si>
  <si>
    <t>Billing Request- 00103683</t>
  </si>
  <si>
    <t>a6Jat4961827</t>
  </si>
  <si>
    <t>Billing Request- 00103684</t>
  </si>
  <si>
    <t>a6Jat5551822</t>
  </si>
  <si>
    <t>a6Jat3217627</t>
  </si>
  <si>
    <t>Billing Request- 00103687</t>
  </si>
  <si>
    <t>a6JXt8154368</t>
  </si>
  <si>
    <t>Billing Request- 00103688</t>
  </si>
  <si>
    <t>Billing Request- 00103689</t>
  </si>
  <si>
    <t>Billing Request- 00103691</t>
  </si>
  <si>
    <t>Billing Request- 00103692</t>
  </si>
  <si>
    <t>Billing Request- 00103694</t>
  </si>
  <si>
    <t>Billing Request- 00103695</t>
  </si>
  <si>
    <t>Billing Request- 00103699</t>
  </si>
  <si>
    <t>a6JXt3733001</t>
  </si>
  <si>
    <t>Billing Request- 00103700</t>
  </si>
  <si>
    <t>Billing Request- 00103702</t>
  </si>
  <si>
    <t>a6Jat9059352</t>
  </si>
  <si>
    <t>Billing Request- 00103704</t>
  </si>
  <si>
    <t>Billing Request- 00103706</t>
  </si>
  <si>
    <t>Billing Request- 00103708</t>
  </si>
  <si>
    <t>Billing Request- 00103709</t>
  </si>
  <si>
    <t>Billing Request- 00103711</t>
  </si>
  <si>
    <t>a6JXt8226904</t>
  </si>
  <si>
    <t>Billing Request- 00103714</t>
  </si>
  <si>
    <t>Billing Request- 00103718</t>
  </si>
  <si>
    <t>Billing Request- 00103719</t>
  </si>
  <si>
    <t>Billing Request- 00103721</t>
  </si>
  <si>
    <t>Billing Request- 00103722</t>
  </si>
  <si>
    <t>Billing Request- 00103727</t>
  </si>
  <si>
    <t>Billing Request- 00103730</t>
  </si>
  <si>
    <t>Billing Request- 00103732</t>
  </si>
  <si>
    <t>Billing Request- 00103733</t>
  </si>
  <si>
    <t>Billing Request- 00103734</t>
  </si>
  <si>
    <t>Billing Request- 00103740</t>
  </si>
  <si>
    <t>Billing Request- 00103742</t>
  </si>
  <si>
    <t>Billing Request- 00103743</t>
  </si>
  <si>
    <t>Billing Request- 00103745</t>
  </si>
  <si>
    <t>Billing Request- 00103747</t>
  </si>
  <si>
    <t>Billing Request- 00103748</t>
  </si>
  <si>
    <t>Billing Request- 00103751</t>
  </si>
  <si>
    <t>Billing Request- 00103755</t>
  </si>
  <si>
    <t>Billing Request- 00103757</t>
  </si>
  <si>
    <t>a6JHn2750066</t>
  </si>
  <si>
    <t>Billing Request- 00103762</t>
  </si>
  <si>
    <t>a6JXt1137475</t>
  </si>
  <si>
    <t>Billing Request- 00103766</t>
  </si>
  <si>
    <t>Billing Request- 00103767</t>
  </si>
  <si>
    <t>Billing Request- 00103771</t>
  </si>
  <si>
    <t>Billing Request- 00103773</t>
  </si>
  <si>
    <t>Billing Request- 00103775</t>
  </si>
  <si>
    <t>a6Jat2191736</t>
  </si>
  <si>
    <t>Billing Request- 00103780</t>
  </si>
  <si>
    <t>Billing Request- 00103781</t>
  </si>
  <si>
    <t>Billing Request- 00103782</t>
  </si>
  <si>
    <t>Billing Request- 00103785</t>
  </si>
  <si>
    <t>Billing Request- 00103786</t>
  </si>
  <si>
    <t>Billing Request- 00103789</t>
  </si>
  <si>
    <t>a6JXt6432017</t>
  </si>
  <si>
    <t>Billing Request- 00103790</t>
  </si>
  <si>
    <t>Billing Request- 00103795</t>
  </si>
  <si>
    <t>Billing Request- 00103796</t>
  </si>
  <si>
    <t>Billing Request- 00103797</t>
  </si>
  <si>
    <t>Billing Request- 00103798</t>
  </si>
  <si>
    <t>Billing Request- 00103799</t>
  </si>
  <si>
    <t>a6JHn1332821</t>
  </si>
  <si>
    <t>Billing Request- 00103803</t>
  </si>
  <si>
    <t>Billing Request- 00103804</t>
  </si>
  <si>
    <t>Billing Request- 00103806</t>
  </si>
  <si>
    <t>Billing Request- 00103809</t>
  </si>
  <si>
    <t>Billing Request- 00103810</t>
  </si>
  <si>
    <t>Billing Request- 00103811</t>
  </si>
  <si>
    <t>Billing Request- 00103813</t>
  </si>
  <si>
    <t>a6Jat5372731</t>
  </si>
  <si>
    <t>Billing Request- 00103814</t>
  </si>
  <si>
    <t>Billing Request- 00103815</t>
  </si>
  <si>
    <t>Billing Request- 00103816</t>
  </si>
  <si>
    <t>Billing Request- 00103819</t>
  </si>
  <si>
    <t>Billing Request- 00103820</t>
  </si>
  <si>
    <t>Billing Request- 00103824</t>
  </si>
  <si>
    <t>Billing Request- 00103825</t>
  </si>
  <si>
    <t>a6JHn3425111</t>
  </si>
  <si>
    <t>a6JHn3691106</t>
  </si>
  <si>
    <t>Billing Request- 00103831</t>
  </si>
  <si>
    <t>a6JXt6846066</t>
  </si>
  <si>
    <t>Billing Request- 00103832</t>
  </si>
  <si>
    <t>Billing Request- 00103834</t>
  </si>
  <si>
    <t>Billing Request- 00103836</t>
  </si>
  <si>
    <t>Billing Request- 00103838</t>
  </si>
  <si>
    <t>Billing Request- 00103839</t>
  </si>
  <si>
    <t>Billing Request- 00103844</t>
  </si>
  <si>
    <t>Billing Request- 00103846</t>
  </si>
  <si>
    <t>Billing Request- 00103847</t>
  </si>
  <si>
    <t>Billing Request- 00103848</t>
  </si>
  <si>
    <t>Billing Request- 00103849</t>
  </si>
  <si>
    <t>Billing Request- 00103857</t>
  </si>
  <si>
    <t>Billing Request- 00103858</t>
  </si>
  <si>
    <t>Billing Request- 00103859</t>
  </si>
  <si>
    <t>Billing Request- 00103860</t>
  </si>
  <si>
    <t>Billing Request- 00103863</t>
  </si>
  <si>
    <t>Billing Request- 00103864</t>
  </si>
  <si>
    <t>Billing Request- 00103865</t>
  </si>
  <si>
    <t>Billing Request- 00103866</t>
  </si>
  <si>
    <t>a6Jat6812234</t>
  </si>
  <si>
    <t>Billing Request- 00103867</t>
  </si>
  <si>
    <t>Billing Request- 00103868</t>
  </si>
  <si>
    <t>a6JXt9472602</t>
  </si>
  <si>
    <t>a6JHn4543054</t>
  </si>
  <si>
    <t>Billing Request- 00103870</t>
  </si>
  <si>
    <t>a6Jat9468355</t>
  </si>
  <si>
    <t>Billing Request- 00103872</t>
  </si>
  <si>
    <t>a6Jat5682128</t>
  </si>
  <si>
    <t>Billing Request- 00103873</t>
  </si>
  <si>
    <t>a6JXt3219164</t>
  </si>
  <si>
    <t>Billing Request- 00103874</t>
  </si>
  <si>
    <t>Billing Request- 00103875</t>
  </si>
  <si>
    <t>Billing Request- 00103877</t>
  </si>
  <si>
    <t>Billing Request- 00103878</t>
  </si>
  <si>
    <t>Billing Request- 00103881</t>
  </si>
  <si>
    <t>Billing Request- 00103882</t>
  </si>
  <si>
    <t>a6Jat8849130</t>
  </si>
  <si>
    <t>Billing Request- 00103885</t>
  </si>
  <si>
    <t>a6Jat3658314</t>
  </si>
  <si>
    <t>Billing Request- 00103886</t>
  </si>
  <si>
    <t>a6Jat6324160</t>
  </si>
  <si>
    <t>a6JHn6324124</t>
  </si>
  <si>
    <t>Billing Request- 00103888</t>
  </si>
  <si>
    <t>Billing Request- 00103889</t>
  </si>
  <si>
    <t>a6JXt4901744</t>
  </si>
  <si>
    <t>Billing Request- 00103890</t>
  </si>
  <si>
    <t>Billing Request- 00103892</t>
  </si>
  <si>
    <t>Billing Request- 00103894</t>
  </si>
  <si>
    <t>Billing Request- 00103895</t>
  </si>
  <si>
    <t>Billing Request- 00103897</t>
  </si>
  <si>
    <t>Billing Request- 00103899</t>
  </si>
  <si>
    <t>Billing Request- 00103902</t>
  </si>
  <si>
    <t>Billing Request- 00103905</t>
  </si>
  <si>
    <t>Billing Request- 00103906</t>
  </si>
  <si>
    <t>Billing Request- 00103908</t>
  </si>
  <si>
    <t>Billing Request- 00103911</t>
  </si>
  <si>
    <t>a6Jat5277208</t>
  </si>
  <si>
    <t>Billing Request- 00103912</t>
  </si>
  <si>
    <t>Billing Request- 00103914</t>
  </si>
  <si>
    <t>a6JXt3018097</t>
  </si>
  <si>
    <t>Billing Request- 00103915</t>
  </si>
  <si>
    <t>a6Jat2275012</t>
  </si>
  <si>
    <t>Billing Request- 00103916</t>
  </si>
  <si>
    <t>a6JXt8106959</t>
  </si>
  <si>
    <t>Billing Request- 00103917</t>
  </si>
  <si>
    <t>a6JXt3364632</t>
  </si>
  <si>
    <t>Billing Request- 00103918</t>
  </si>
  <si>
    <t>a6JXt4172705</t>
  </si>
  <si>
    <t>Billing Request- 00103919</t>
  </si>
  <si>
    <t>a6Jat2098676</t>
  </si>
  <si>
    <t>Billing Request- 00103920</t>
  </si>
  <si>
    <t>a6JXt1032310</t>
  </si>
  <si>
    <t>Billing Request- 00103921</t>
  </si>
  <si>
    <t>a6Jat7563184</t>
  </si>
  <si>
    <t>Billing Request- 00103924</t>
  </si>
  <si>
    <t>a6JXt3113030</t>
  </si>
  <si>
    <t>Billing Request- 00103926</t>
  </si>
  <si>
    <t>a6JHn6232838</t>
  </si>
  <si>
    <t>Billing Request- 00103931</t>
  </si>
  <si>
    <t>a6JHn4288833</t>
  </si>
  <si>
    <t>Billing Request- 00103934</t>
  </si>
  <si>
    <t>a6JXt3181923</t>
  </si>
  <si>
    <t>a6JHn7984311</t>
  </si>
  <si>
    <t>Billing Request- 00103936</t>
  </si>
  <si>
    <t>a6JXt1457944</t>
  </si>
  <si>
    <t>Billing Request- 00103938</t>
  </si>
  <si>
    <t>a6Jat7234644</t>
  </si>
  <si>
    <t>Billing Request- 00103939</t>
  </si>
  <si>
    <t>a6JXt1292587</t>
  </si>
  <si>
    <t>Billing Request- 00103941</t>
  </si>
  <si>
    <t>Billing Request- 00103946</t>
  </si>
  <si>
    <t>Billing Request- 00103952</t>
  </si>
  <si>
    <t>Billing Request- 00103953</t>
  </si>
  <si>
    <t>Billing Request- 00103954</t>
  </si>
  <si>
    <t>Billing Request- 00103956</t>
  </si>
  <si>
    <t>Billing Request- 00103957</t>
  </si>
  <si>
    <t>Billing Request- 00103959</t>
  </si>
  <si>
    <t>Billing Request- 00103962</t>
  </si>
  <si>
    <t>Billing Request- 00103963</t>
  </si>
  <si>
    <t>a6JXt3128792</t>
  </si>
  <si>
    <t>a6JXt8315457</t>
  </si>
  <si>
    <t>Billing Request- 00103967</t>
  </si>
  <si>
    <t>Billing Request- 00103968</t>
  </si>
  <si>
    <t>Billing Request- 00103970</t>
  </si>
  <si>
    <t>Billing Request- 00103971</t>
  </si>
  <si>
    <t>Billing Request- 00103972</t>
  </si>
  <si>
    <t>Billing Request- 00103973</t>
  </si>
  <si>
    <t>Billing Request- 00103980</t>
  </si>
  <si>
    <t>a6Jat6179878</t>
  </si>
  <si>
    <t>Billing Request- 00103981</t>
  </si>
  <si>
    <t>Billing Request- 00103982</t>
  </si>
  <si>
    <t>Billing Request- 00103983</t>
  </si>
  <si>
    <t>Billing Request- 00103989</t>
  </si>
  <si>
    <t>Billing Request- 00103990</t>
  </si>
  <si>
    <t>Billing Request- 00103992</t>
  </si>
  <si>
    <t>a6JXt6577986</t>
  </si>
  <si>
    <t>Billing Request- 00103994</t>
  </si>
  <si>
    <t>a6JHn3887765</t>
  </si>
  <si>
    <t>Billing Request- 00103997</t>
  </si>
  <si>
    <t>Billing Request- 00104000</t>
  </si>
  <si>
    <t>a6Jat4987333</t>
  </si>
  <si>
    <t>Billing Request- 00104001</t>
  </si>
  <si>
    <t>a6JHn2449914</t>
  </si>
  <si>
    <t>Billing Request- 00104003</t>
  </si>
  <si>
    <t>Billing Request- 00104005</t>
  </si>
  <si>
    <t>Billing Request- 00104007</t>
  </si>
  <si>
    <t>Billing Request- 00104008</t>
  </si>
  <si>
    <t>Billing Request- 00104010</t>
  </si>
  <si>
    <t>Billing Request- 00104011</t>
  </si>
  <si>
    <t>Billing Request- 00104013</t>
  </si>
  <si>
    <t>a6Jat5408606</t>
  </si>
  <si>
    <t>Billing Request- 00104015</t>
  </si>
  <si>
    <t>Billing Request- 00104016</t>
  </si>
  <si>
    <t>Billing Request- 00104017</t>
  </si>
  <si>
    <t>a6JHn6452424</t>
  </si>
  <si>
    <t>Billing Request- 00104018</t>
  </si>
  <si>
    <t>a6JXt7813299</t>
  </si>
  <si>
    <t>Billing Request- 00104021</t>
  </si>
  <si>
    <t>a6JXt2262112</t>
  </si>
  <si>
    <t>Billing Request- 00104022</t>
  </si>
  <si>
    <t>a6JXt6829413</t>
  </si>
  <si>
    <t>Billing Request- 00104023</t>
  </si>
  <si>
    <t>Billing Request- 00104024</t>
  </si>
  <si>
    <t>Billing Request- 00104026</t>
  </si>
  <si>
    <t>Billing Request- 00104028</t>
  </si>
  <si>
    <t>Billing Request- 00104029</t>
  </si>
  <si>
    <t>Billing Request- 00104031</t>
  </si>
  <si>
    <t>Billing Request- 00104032</t>
  </si>
  <si>
    <t>Billing Request- 00104033</t>
  </si>
  <si>
    <t>Billing Request- 00104034</t>
  </si>
  <si>
    <t>Billing Request- 00104035</t>
  </si>
  <si>
    <t>a6JHn3362392</t>
  </si>
  <si>
    <t>Billing Request- 00104036</t>
  </si>
  <si>
    <t>a6JXt8587744</t>
  </si>
  <si>
    <t>Billing Request- 00104038</t>
  </si>
  <si>
    <t>Billing Request- 00104039</t>
  </si>
  <si>
    <t>a6Jat5937075</t>
  </si>
  <si>
    <t>Billing Request- 00104040</t>
  </si>
  <si>
    <t>Billing Request- 00104043</t>
  </si>
  <si>
    <t>a6JXt5525937</t>
  </si>
  <si>
    <t>Billing Request- 00104044</t>
  </si>
  <si>
    <t>a6JHn7222910</t>
  </si>
  <si>
    <t>Billing Request- 00104046</t>
  </si>
  <si>
    <t>Billing Request- 00104047</t>
  </si>
  <si>
    <t>Billing Request- 00104048</t>
  </si>
  <si>
    <t>Billing Request- 00104049</t>
  </si>
  <si>
    <t>a6JHn7209986</t>
  </si>
  <si>
    <t>Billing Request- 00104057</t>
  </si>
  <si>
    <t>Billing Request- 00104059</t>
  </si>
  <si>
    <t>Billing Request- 00104060</t>
  </si>
  <si>
    <t>Billing Request- 00104061</t>
  </si>
  <si>
    <t>Billing Request- 00104062</t>
  </si>
  <si>
    <t>a6Jat4884626</t>
  </si>
  <si>
    <t>Billing Request- 00104064</t>
  </si>
  <si>
    <t>Billing Request- 00104066</t>
  </si>
  <si>
    <t>Billing Request- 00104069</t>
  </si>
  <si>
    <t>Billing Request- 00104071</t>
  </si>
  <si>
    <t>a6JXt1551595</t>
  </si>
  <si>
    <t>Billing Request- 00104076</t>
  </si>
  <si>
    <t>Billing Request- 00104079</t>
  </si>
  <si>
    <t>Billing Request- 00104080</t>
  </si>
  <si>
    <t>Billing Request- 00104083</t>
  </si>
  <si>
    <t>Billing Request- 00104084</t>
  </si>
  <si>
    <t>a6JXt5516273</t>
  </si>
  <si>
    <t>Billing Request- 00104088</t>
  </si>
  <si>
    <t>Billing Request- 00104089</t>
  </si>
  <si>
    <t>Billing Request- 00104090</t>
  </si>
  <si>
    <t>Billing Request- 00104094</t>
  </si>
  <si>
    <t>Billing Request- 00104096</t>
  </si>
  <si>
    <t>Billing Request- 00104097</t>
  </si>
  <si>
    <t>Billing Request- 00104100</t>
  </si>
  <si>
    <t>Billing Request- 00104105</t>
  </si>
  <si>
    <t>Billing Request- 00104106</t>
  </si>
  <si>
    <t>Billing Request- 00104108</t>
  </si>
  <si>
    <t>Billing Request- 00104111</t>
  </si>
  <si>
    <t>Billing Request- 00104113</t>
  </si>
  <si>
    <t>Billing Request- 00104114</t>
  </si>
  <si>
    <t>Billing Request- 00104116</t>
  </si>
  <si>
    <t>Billing Request- 00104117</t>
  </si>
  <si>
    <t>Billing Request- 00104119</t>
  </si>
  <si>
    <t>Billing Request- 00104120</t>
  </si>
  <si>
    <t>Billing Request- 00104121</t>
  </si>
  <si>
    <t>Billing Request- 00104123</t>
  </si>
  <si>
    <t>Billing Request- 00104128</t>
  </si>
  <si>
    <t>Billing Request- 00104129</t>
  </si>
  <si>
    <t>Billing Request- 00104130</t>
  </si>
  <si>
    <t>Billing Request- 00104136</t>
  </si>
  <si>
    <t>a6JHn2547571</t>
  </si>
  <si>
    <t>Billing Request- 00104139</t>
  </si>
  <si>
    <t>Billing Request- 00104145</t>
  </si>
  <si>
    <t>a6JHn6479715</t>
  </si>
  <si>
    <t>Billing Request- 00104146</t>
  </si>
  <si>
    <t>a6Jat6325701</t>
  </si>
  <si>
    <t>a6JXt5387900</t>
  </si>
  <si>
    <t>Billing Request- 00104148</t>
  </si>
  <si>
    <t>a6JXt3588769</t>
  </si>
  <si>
    <t>Billing Request- 00104149</t>
  </si>
  <si>
    <t>a6JHn7470157</t>
  </si>
  <si>
    <t>Billing Request- 00104150</t>
  </si>
  <si>
    <t>a6JXt5121914</t>
  </si>
  <si>
    <t>Billing Request- 00104152</t>
  </si>
  <si>
    <t>Billing Request- 00104155</t>
  </si>
  <si>
    <t>Billing Request- 00104159</t>
  </si>
  <si>
    <t>a6JHn2877401</t>
  </si>
  <si>
    <t>Billing Request- 00104160</t>
  </si>
  <si>
    <t>Billing Request- 00104161</t>
  </si>
  <si>
    <t>a6Jat6525685</t>
  </si>
  <si>
    <t>Billing Request- 00104162</t>
  </si>
  <si>
    <t>a6JHn5247749</t>
  </si>
  <si>
    <t>Billing Request- 00104163</t>
  </si>
  <si>
    <t>Billing Request- 00104164</t>
  </si>
  <si>
    <t>Billing Request- 00104166</t>
  </si>
  <si>
    <t>Billing Request- 00104169</t>
  </si>
  <si>
    <t>Billing Request- 00104170</t>
  </si>
  <si>
    <t>Billing Request- 00104171</t>
  </si>
  <si>
    <t>Billing Request- 00104172</t>
  </si>
  <si>
    <t>Billing Request- 00104173</t>
  </si>
  <si>
    <t>Billing Request- 00104174</t>
  </si>
  <si>
    <t>Billing Request- 00104177</t>
  </si>
  <si>
    <t>Billing Request- 00104179</t>
  </si>
  <si>
    <t>Billing Request- 00104181</t>
  </si>
  <si>
    <t>Billing Request- 00104184</t>
  </si>
  <si>
    <t>Billing Request- 00104185</t>
  </si>
  <si>
    <t>Billing Request- 00104186</t>
  </si>
  <si>
    <t>Billing Request- 00104187</t>
  </si>
  <si>
    <t>a6JHn6785176</t>
  </si>
  <si>
    <t>Billing Request- 00104190</t>
  </si>
  <si>
    <t>Billing Request- 00104191</t>
  </si>
  <si>
    <t>Billing Request- 00104193</t>
  </si>
  <si>
    <t>Billing Request- 00104194</t>
  </si>
  <si>
    <t>Billing Request- 00104195</t>
  </si>
  <si>
    <t>Billing Request- 00104201</t>
  </si>
  <si>
    <t>Billing Request- 00104204</t>
  </si>
  <si>
    <t>Billing Request- 00104205</t>
  </si>
  <si>
    <t>a6Jat4134640</t>
  </si>
  <si>
    <t>Billing Request- 00104208</t>
  </si>
  <si>
    <t>a6JXt4697461</t>
  </si>
  <si>
    <t>Billing Request- 00104212</t>
  </si>
  <si>
    <t>Billing Request- 00104216</t>
  </si>
  <si>
    <t>Billing Request- 00104217</t>
  </si>
  <si>
    <t>Billing Request- 00104219</t>
  </si>
  <si>
    <t>Billing Request- 00104220</t>
  </si>
  <si>
    <t>Billing Request- 00104223</t>
  </si>
  <si>
    <t>Billing Request- 00104224</t>
  </si>
  <si>
    <t>Billing Request- 00104226</t>
  </si>
  <si>
    <t>Billing Request- 00104229</t>
  </si>
  <si>
    <t>a6JHn6866258</t>
  </si>
  <si>
    <t>Billing Request- 00104230</t>
  </si>
  <si>
    <t>Billing Request- 00104231</t>
  </si>
  <si>
    <t>a6JXt4426237</t>
  </si>
  <si>
    <t>Billing Request- 00104232</t>
  </si>
  <si>
    <t>a6Jat7463692</t>
  </si>
  <si>
    <t>Billing Request- 00104233</t>
  </si>
  <si>
    <t>Billing Request- 00104235</t>
  </si>
  <si>
    <t>Billing Request- 00104237</t>
  </si>
  <si>
    <t>a6JXt4207283</t>
  </si>
  <si>
    <t>Billing Request- 00104238</t>
  </si>
  <si>
    <t>a6Jat6231345</t>
  </si>
  <si>
    <t>Billing Request- 00104241</t>
  </si>
  <si>
    <t>a6JXt3980562</t>
  </si>
  <si>
    <t>Billing Request- 00104246</t>
  </si>
  <si>
    <t>Billing Request- 00104247</t>
  </si>
  <si>
    <t>a6JXt5869098</t>
  </si>
  <si>
    <t>Billing Request- 00104248</t>
  </si>
  <si>
    <t>a6JHn6712412</t>
  </si>
  <si>
    <t>Billing Request- 00104249</t>
  </si>
  <si>
    <t>a6JHn4244888</t>
  </si>
  <si>
    <t>Billing Request- 00104256</t>
  </si>
  <si>
    <t>Billing Request- 00104259</t>
  </si>
  <si>
    <t>a6JXt7775901</t>
  </si>
  <si>
    <t>a6Jat3588068</t>
  </si>
  <si>
    <t>Billing Request- 00104261</t>
  </si>
  <si>
    <t>a6JXt7934202</t>
  </si>
  <si>
    <t>Billing Request- 00104265</t>
  </si>
  <si>
    <t>a6JHn8928125</t>
  </si>
  <si>
    <t>Billing Request- 00104267</t>
  </si>
  <si>
    <t>Billing Request- 00104268</t>
  </si>
  <si>
    <t>Billing Request- 00104273</t>
  </si>
  <si>
    <t>Billing Request- 00104275</t>
  </si>
  <si>
    <t>Billing Request- 00104281</t>
  </si>
  <si>
    <t>Billing Request- 00104282</t>
  </si>
  <si>
    <t>Billing Request- 00104286</t>
  </si>
  <si>
    <t>a6Jat1699056</t>
  </si>
  <si>
    <t>Billing Request- 00104289</t>
  </si>
  <si>
    <t>a6JHn8089838</t>
  </si>
  <si>
    <t>Billing Request- 00104293</t>
  </si>
  <si>
    <t>Billing Request- 00104295</t>
  </si>
  <si>
    <t>Billing Request- 00104296</t>
  </si>
  <si>
    <t>Billing Request- 00104297</t>
  </si>
  <si>
    <t>Billing Request- 00104299</t>
  </si>
  <si>
    <t>Billing Request- 00104301</t>
  </si>
  <si>
    <t>Billing Request- 00104303</t>
  </si>
  <si>
    <t>Billing Request- 00104304</t>
  </si>
  <si>
    <t>Billing Request- 00104305</t>
  </si>
  <si>
    <t>a6Jat5851455</t>
  </si>
  <si>
    <t>Billing Request- 00104310</t>
  </si>
  <si>
    <t>Billing Request- 00104311</t>
  </si>
  <si>
    <t>a6Jat6883822</t>
  </si>
  <si>
    <t>Billing Request- 00104312</t>
  </si>
  <si>
    <t>a6JHn9503169</t>
  </si>
  <si>
    <t>a6JHn3933318</t>
  </si>
  <si>
    <t>Billing Request- 00104315</t>
  </si>
  <si>
    <t>a6Jat7419285</t>
  </si>
  <si>
    <t>Billing Request- 00104316</t>
  </si>
  <si>
    <t>a6JHn7462043</t>
  </si>
  <si>
    <t>Billing Request- 00104319</t>
  </si>
  <si>
    <t>a6JHn8759448</t>
  </si>
  <si>
    <t>Billing Request- 00104326</t>
  </si>
  <si>
    <t>Billing Request- 00104329</t>
  </si>
  <si>
    <t>Billing Request- 00104331</t>
  </si>
  <si>
    <t>Billing Request- 00104332</t>
  </si>
  <si>
    <t>Billing Request- 00104333</t>
  </si>
  <si>
    <t>Billing Request- 00104335</t>
  </si>
  <si>
    <t>Billing Request- 00104337</t>
  </si>
  <si>
    <t>Billing Request- 00104342</t>
  </si>
  <si>
    <t>Billing Request- 00104343</t>
  </si>
  <si>
    <t>Billing Request- 00104345</t>
  </si>
  <si>
    <t>Billing Request- 00104347</t>
  </si>
  <si>
    <t>Billing Request- 00104348</t>
  </si>
  <si>
    <t>Billing Request- 00104349</t>
  </si>
  <si>
    <t>Billing Request- 00104353</t>
  </si>
  <si>
    <t>Billing Request- 00104354</t>
  </si>
  <si>
    <t>a6JXt7674593</t>
  </si>
  <si>
    <t>Billing Request- 00104356</t>
  </si>
  <si>
    <t>Billing Request- 00104357</t>
  </si>
  <si>
    <t>Billing Request- 00104366</t>
  </si>
  <si>
    <t>a6JHn6960712</t>
  </si>
  <si>
    <t>a6Jat5518821</t>
  </si>
  <si>
    <t>Billing Request- 00104370</t>
  </si>
  <si>
    <t>a6JHn3804005</t>
  </si>
  <si>
    <t>Billing Request- 00104371</t>
  </si>
  <si>
    <t>a6JXt9070866</t>
  </si>
  <si>
    <t>Billing Request- 00104372</t>
  </si>
  <si>
    <t>a6Jat1079967</t>
  </si>
  <si>
    <t>Billing Request- 00104374</t>
  </si>
  <si>
    <t>Billing Request- 00104375</t>
  </si>
  <si>
    <t>a6JHn3520509</t>
  </si>
  <si>
    <t>a6Jat1180747</t>
  </si>
  <si>
    <t>Billing Request- 00104377</t>
  </si>
  <si>
    <t>a6JHn9855482</t>
  </si>
  <si>
    <t>a6Jat5791625</t>
  </si>
  <si>
    <t>Billing Request- 00104380</t>
  </si>
  <si>
    <t>a6Jat4433503</t>
  </si>
  <si>
    <t>Billing Request- 00104382</t>
  </si>
  <si>
    <t>a6JXt3623491</t>
  </si>
  <si>
    <t>Billing Request- 00104385</t>
  </si>
  <si>
    <t>Billing Request- 00104389</t>
  </si>
  <si>
    <t>Billing Request- 00104391</t>
  </si>
  <si>
    <t>Billing Request- 00104393</t>
  </si>
  <si>
    <t>Billing Request- 00104396</t>
  </si>
  <si>
    <t>Billing Request- 00104398</t>
  </si>
  <si>
    <t>a6JHn6186407</t>
  </si>
  <si>
    <t>Billing Request- 00104401</t>
  </si>
  <si>
    <t>a6Jat1357191</t>
  </si>
  <si>
    <t>a6Jat7107418</t>
  </si>
  <si>
    <t>a6JXt9761179</t>
  </si>
  <si>
    <t>Billing Request- 00104405</t>
  </si>
  <si>
    <t>a6Jat5710797</t>
  </si>
  <si>
    <t>Billing Request- 00104406</t>
  </si>
  <si>
    <t>a6Jat7877393</t>
  </si>
  <si>
    <t>Billing Request- 00104408</t>
  </si>
  <si>
    <t>Billing Request- 00104409</t>
  </si>
  <si>
    <t>Billing Request- 00104411</t>
  </si>
  <si>
    <t>Billing Request- 00104416</t>
  </si>
  <si>
    <t>Billing Request- 00104417</t>
  </si>
  <si>
    <t>Billing Request- 00104418</t>
  </si>
  <si>
    <t>Billing Request- 00104420</t>
  </si>
  <si>
    <t>Billing Request- 00104422</t>
  </si>
  <si>
    <t>Billing Request- 00104428</t>
  </si>
  <si>
    <t>Billing Request- 00104429</t>
  </si>
  <si>
    <t>Billing Request- 00104431</t>
  </si>
  <si>
    <t>Billing Request- 00104432</t>
  </si>
  <si>
    <t>Billing Request- 00104433</t>
  </si>
  <si>
    <t>Billing Request- 00104434</t>
  </si>
  <si>
    <t>Billing Request- 00104436</t>
  </si>
  <si>
    <t>a6JHn7134775</t>
  </si>
  <si>
    <t>a6JHn9478371</t>
  </si>
  <si>
    <t>Billing Request- 00104439</t>
  </si>
  <si>
    <t>Billing Request- 00104443</t>
  </si>
  <si>
    <t>a6JXt9481156</t>
  </si>
  <si>
    <t>Billing Request- 00104444</t>
  </si>
  <si>
    <t>a6JXt6442637</t>
  </si>
  <si>
    <t>Billing Request- 00104449</t>
  </si>
  <si>
    <t>Billing Request- 00104453</t>
  </si>
  <si>
    <t>Billing Request- 00104456</t>
  </si>
  <si>
    <t>Billing Request- 00104457</t>
  </si>
  <si>
    <t>Billing Request- 00104458</t>
  </si>
  <si>
    <t>Billing Request- 00104460</t>
  </si>
  <si>
    <t>Billing Request- 00104462</t>
  </si>
  <si>
    <t>Billing Request- 00104464</t>
  </si>
  <si>
    <t>a6JXt8093863</t>
  </si>
  <si>
    <t>Billing Request- 00104467</t>
  </si>
  <si>
    <t>Billing Request- 00104468</t>
  </si>
  <si>
    <t>Billing Request- 00104470</t>
  </si>
  <si>
    <t>Billing Request- 00104471</t>
  </si>
  <si>
    <t>Billing Request- 00104473</t>
  </si>
  <si>
    <t>Billing Request- 00104475</t>
  </si>
  <si>
    <t>Billing Request- 00104476</t>
  </si>
  <si>
    <t>Billing Request- 00104481</t>
  </si>
  <si>
    <t>Billing Request- 00104482</t>
  </si>
  <si>
    <t>Billing Request- 00104484</t>
  </si>
  <si>
    <t>Billing Request- 00104485</t>
  </si>
  <si>
    <t>Billing Request- 00104486</t>
  </si>
  <si>
    <t>Billing Request- 00104487</t>
  </si>
  <si>
    <t>Billing Request- 00104489</t>
  </si>
  <si>
    <t>Billing Request- 00104492</t>
  </si>
  <si>
    <t>Billing Request- 00104497</t>
  </si>
  <si>
    <t>Billing Request- 00104499</t>
  </si>
  <si>
    <t>Billing Request- 00104505</t>
  </si>
  <si>
    <t>Billing Request- 00104508</t>
  </si>
  <si>
    <t>a6JXt4289405</t>
  </si>
  <si>
    <t>a6JHn9970640</t>
  </si>
  <si>
    <t>a6JHn8117210</t>
  </si>
  <si>
    <t>a6JXt9505402</t>
  </si>
  <si>
    <t>Billing Request- 00104515</t>
  </si>
  <si>
    <t>Billing Request- 00104518</t>
  </si>
  <si>
    <t>a6Jat2875733</t>
  </si>
  <si>
    <t>Billing Request- 00104521</t>
  </si>
  <si>
    <t>a6JHn1788784</t>
  </si>
  <si>
    <t>Billing Request- 00104522</t>
  </si>
  <si>
    <t>Billing Request- 00104524</t>
  </si>
  <si>
    <t>a6JXt7670460</t>
  </si>
  <si>
    <t>Billing Request- 00104526</t>
  </si>
  <si>
    <t>a6JHn5307766</t>
  </si>
  <si>
    <t>Billing Request- 00104527</t>
  </si>
  <si>
    <t>a6JHn7109877</t>
  </si>
  <si>
    <t>a6JHn4352239</t>
  </si>
  <si>
    <t>Billing Request- 00104529</t>
  </si>
  <si>
    <t>Billing Request- 00104532</t>
  </si>
  <si>
    <t>Billing Request- 00104533</t>
  </si>
  <si>
    <t>Billing Request- 00104534</t>
  </si>
  <si>
    <t>Billing Request- 00104535</t>
  </si>
  <si>
    <t>Billing Request- 00104537</t>
  </si>
  <si>
    <t>Billing Request- 00104538</t>
  </si>
  <si>
    <t>Billing Request- 00104541</t>
  </si>
  <si>
    <t>Billing Request- 00104543</t>
  </si>
  <si>
    <t>a6JXt5778850</t>
  </si>
  <si>
    <t>Billing Request- 00104545</t>
  </si>
  <si>
    <t>Billing Request- 00104546</t>
  </si>
  <si>
    <t>Billing Request- 00104547</t>
  </si>
  <si>
    <t>Billing Request- 00104548</t>
  </si>
  <si>
    <t>Billing Request- 00104552</t>
  </si>
  <si>
    <t>Billing Request- 00104553</t>
  </si>
  <si>
    <t>Billing Request- 00104554</t>
  </si>
  <si>
    <t>Billing Request- 00104556</t>
  </si>
  <si>
    <t>Billing Request- 00104558</t>
  </si>
  <si>
    <t>Billing Request- 00104561</t>
  </si>
  <si>
    <t>Billing Request- 00104562</t>
  </si>
  <si>
    <t>Billing Request- 00104563</t>
  </si>
  <si>
    <t>Billing Request- 00104565</t>
  </si>
  <si>
    <t>Billing Request- 00104566</t>
  </si>
  <si>
    <t>Billing Request- 00104567</t>
  </si>
  <si>
    <t>Billing Request- 00104569</t>
  </si>
  <si>
    <t>Billing Request- 00104570</t>
  </si>
  <si>
    <t>Billing Request- 00104577</t>
  </si>
  <si>
    <t>Billing Request- 00104579</t>
  </si>
  <si>
    <t>Billing Request- 00104582</t>
  </si>
  <si>
    <t>Billing Request- 00104585</t>
  </si>
  <si>
    <t>a6Jat8663029</t>
  </si>
  <si>
    <t>Billing Request- 00104586</t>
  </si>
  <si>
    <t>a6JXt5991331</t>
  </si>
  <si>
    <t>Billing Request- 00104587</t>
  </si>
  <si>
    <t>a6JHn2102278</t>
  </si>
  <si>
    <t>Billing Request- 00104588</t>
  </si>
  <si>
    <t>a6JXt8071758</t>
  </si>
  <si>
    <t>Billing Request- 00104589</t>
  </si>
  <si>
    <t>a6JXt4840865</t>
  </si>
  <si>
    <t>Billing Request- 00104591</t>
  </si>
  <si>
    <t>a6JXt3147673</t>
  </si>
  <si>
    <t>Billing Request- 00104593</t>
  </si>
  <si>
    <t>a6JHn7771417</t>
  </si>
  <si>
    <t>Billing Request- 00104594</t>
  </si>
  <si>
    <t>a6JXt5339258</t>
  </si>
  <si>
    <t>Billing Request- 00104595</t>
  </si>
  <si>
    <t>a6JXt7961835</t>
  </si>
  <si>
    <t>a6Jat3700844</t>
  </si>
  <si>
    <t>Billing Request- 00104598</t>
  </si>
  <si>
    <t>Billing Request- 00104601</t>
  </si>
  <si>
    <t>Billing Request- 00104602</t>
  </si>
  <si>
    <t>Billing Request- 00104603</t>
  </si>
  <si>
    <t>Billing Request- 00104604</t>
  </si>
  <si>
    <t>Billing Request- 00104607</t>
  </si>
  <si>
    <t>Billing Request- 00104608</t>
  </si>
  <si>
    <t>Billing Request- 00104609</t>
  </si>
  <si>
    <t>Billing Request- 00104615</t>
  </si>
  <si>
    <t>Billing Request- 00104617</t>
  </si>
  <si>
    <t>Billing Request- 00104618</t>
  </si>
  <si>
    <t>Billing Request- 00104620</t>
  </si>
  <si>
    <t>Billing Request- 00104624</t>
  </si>
  <si>
    <t>Billing Request- 00104629</t>
  </si>
  <si>
    <t>Billing Request- 00104630</t>
  </si>
  <si>
    <t>Billing Request- 00104631</t>
  </si>
  <si>
    <t>Billing Request- 00104633</t>
  </si>
  <si>
    <t>Billing Request- 00104635</t>
  </si>
  <si>
    <t>Billing Request- 00104637</t>
  </si>
  <si>
    <t>Billing Request- 00104638</t>
  </si>
  <si>
    <t>Billing Request- 00104639</t>
  </si>
  <si>
    <t>Billing Request- 00104640</t>
  </si>
  <si>
    <t>Billing Request- 00104641</t>
  </si>
  <si>
    <t>Billing Request- 00104643</t>
  </si>
  <si>
    <t>a6Jat2904765</t>
  </si>
  <si>
    <t>Billing Request- 00104644</t>
  </si>
  <si>
    <t>Billing Request- 00104647</t>
  </si>
  <si>
    <t>Billing Request- 00104649</t>
  </si>
  <si>
    <t>Billing Request- 00104653</t>
  </si>
  <si>
    <t>Billing Request- 00104654</t>
  </si>
  <si>
    <t>Billing Request- 00104656</t>
  </si>
  <si>
    <t>Billing Request- 00104660</t>
  </si>
  <si>
    <t>Billing Request- 00104661</t>
  </si>
  <si>
    <t>Billing Request- 00104662</t>
  </si>
  <si>
    <t>Billing Request- 00104663</t>
  </si>
  <si>
    <t>Billing Request- 00104664</t>
  </si>
  <si>
    <t>Billing Request- 00104665</t>
  </si>
  <si>
    <t>Billing Request- 00104666</t>
  </si>
  <si>
    <t>Billing Request- 00104669</t>
  </si>
  <si>
    <t>Billing Request- 00104673</t>
  </si>
  <si>
    <t>Billing Request- 00104674</t>
  </si>
  <si>
    <t>Billing Request- 00104675</t>
  </si>
  <si>
    <t>Billing Request- 00104678</t>
  </si>
  <si>
    <t>Billing Request- 00104681</t>
  </si>
  <si>
    <t>Billing Request- 00104682</t>
  </si>
  <si>
    <t>Billing Request- 00104684</t>
  </si>
  <si>
    <t>a6Jat9173069</t>
  </si>
  <si>
    <t>Billing Request- 00104685</t>
  </si>
  <si>
    <t>Billing Request- 00104688</t>
  </si>
  <si>
    <t>Billing Request- 00104690</t>
  </si>
  <si>
    <t>Billing Request- 00104694</t>
  </si>
  <si>
    <t>Billing Request- 00104695</t>
  </si>
  <si>
    <t>Billing Request- 00104696</t>
  </si>
  <si>
    <t>a6JHn3843577</t>
  </si>
  <si>
    <t>Billing Request- 00104701</t>
  </si>
  <si>
    <t>a6JXt9976440</t>
  </si>
  <si>
    <t>a6Jat5874943</t>
  </si>
  <si>
    <t>Billing Request- 00104703</t>
  </si>
  <si>
    <t>a6Jat5401887</t>
  </si>
  <si>
    <t>Billing Request- 00104705</t>
  </si>
  <si>
    <t>Billing Request- 00104706</t>
  </si>
  <si>
    <t>Billing Request- 00104707</t>
  </si>
  <si>
    <t>Billing Request- 00104709</t>
  </si>
  <si>
    <t>a6Jat8700500</t>
  </si>
  <si>
    <t>a6Jat5793422</t>
  </si>
  <si>
    <t>Billing Request- 00104711</t>
  </si>
  <si>
    <t>a6JHn9767553</t>
  </si>
  <si>
    <t>a6Jat3244212</t>
  </si>
  <si>
    <t>Billing Request- 00104713</t>
  </si>
  <si>
    <t>Billing Request- 00104715</t>
  </si>
  <si>
    <t>Billing Request- 00104716</t>
  </si>
  <si>
    <t>Billing Request- 00104717</t>
  </si>
  <si>
    <t>Billing Request- 00104719</t>
  </si>
  <si>
    <t>Billing Request- 00104721</t>
  </si>
  <si>
    <t>Billing Request- 00104726</t>
  </si>
  <si>
    <t>Billing Request- 00104727</t>
  </si>
  <si>
    <t>Billing Request- 00104728</t>
  </si>
  <si>
    <t>Billing Request- 00104732</t>
  </si>
  <si>
    <t>Billing Request- 00104733</t>
  </si>
  <si>
    <t>Billing Request- 00104735</t>
  </si>
  <si>
    <t>a6JHn5298112</t>
  </si>
  <si>
    <t>Billing Request- 00104741</t>
  </si>
  <si>
    <t>Billing Request- 00104746</t>
  </si>
  <si>
    <t>Billing Request- 00104747</t>
  </si>
  <si>
    <t>Billing Request- 00104749</t>
  </si>
  <si>
    <t>Billing Request- 00104753</t>
  </si>
  <si>
    <t>Billing Request- 00104755</t>
  </si>
  <si>
    <t>Billing Request- 00104756</t>
  </si>
  <si>
    <t>Billing Request- 00104757</t>
  </si>
  <si>
    <t>Billing Request- 00104759</t>
  </si>
  <si>
    <t>Billing Request- 00104763</t>
  </si>
  <si>
    <t>Billing Request- 00104764</t>
  </si>
  <si>
    <t>Billing Request- 00104765</t>
  </si>
  <si>
    <t>Billing Request- 00104768</t>
  </si>
  <si>
    <t>Billing Request- 00104769</t>
  </si>
  <si>
    <t>Billing Request- 00104773</t>
  </si>
  <si>
    <t>Billing Request- 00104774</t>
  </si>
  <si>
    <t>Billing Request- 00104777</t>
  </si>
  <si>
    <t>a6JHn5953507</t>
  </si>
  <si>
    <t>Billing Request- 00104779</t>
  </si>
  <si>
    <t>a6JHn9750567</t>
  </si>
  <si>
    <t>Billing Request- 00104783</t>
  </si>
  <si>
    <t>Billing Request- 00104786</t>
  </si>
  <si>
    <t>Billing Request- 00104788</t>
  </si>
  <si>
    <t>Billing Request- 00104789</t>
  </si>
  <si>
    <t>Billing Request- 00104790</t>
  </si>
  <si>
    <t>a6Jat6845639</t>
  </si>
  <si>
    <t>Billing Request- 00104799</t>
  </si>
  <si>
    <t>Billing Request- 00104801</t>
  </si>
  <si>
    <t>Billing Request- 00104802</t>
  </si>
  <si>
    <t>Billing Request- 00104803</t>
  </si>
  <si>
    <t>Billing Request- 00104805</t>
  </si>
  <si>
    <t>Billing Request- 00104811</t>
  </si>
  <si>
    <t>Billing Request- 00104812</t>
  </si>
  <si>
    <t>Billing Request- 00104813</t>
  </si>
  <si>
    <t>a6JXt4120277</t>
  </si>
  <si>
    <t>Billing Request- 00104818</t>
  </si>
  <si>
    <t>Billing Request- 00104822</t>
  </si>
  <si>
    <t>Billing Request- 00104824</t>
  </si>
  <si>
    <t>a6Jat1196070</t>
  </si>
  <si>
    <t>Billing Request- 00104825</t>
  </si>
  <si>
    <t>Billing Request- 00104829</t>
  </si>
  <si>
    <t>Billing Request- 00104832</t>
  </si>
  <si>
    <t>Billing Request- 00104834</t>
  </si>
  <si>
    <t>Billing Request- 00104835</t>
  </si>
  <si>
    <t>Billing Request- 00104836</t>
  </si>
  <si>
    <t>Billing Request- 00104837</t>
  </si>
  <si>
    <t>Billing Request- 00104841</t>
  </si>
  <si>
    <t>Billing Request- 00104843</t>
  </si>
  <si>
    <t>Billing Request- 00104844</t>
  </si>
  <si>
    <t>Billing Request- 00104845</t>
  </si>
  <si>
    <t>Billing Request- 00104846</t>
  </si>
  <si>
    <t>Billing Request- 00104847</t>
  </si>
  <si>
    <t>Billing Request- 00104850</t>
  </si>
  <si>
    <t>Billing Request- 00104851</t>
  </si>
  <si>
    <t>Billing Request- 00104852</t>
  </si>
  <si>
    <t>Billing Request- 00104855</t>
  </si>
  <si>
    <t>Billing Request- 00104856</t>
  </si>
  <si>
    <t>Billing Request- 00104862</t>
  </si>
  <si>
    <t>Billing Request- 00104863</t>
  </si>
  <si>
    <t>Billing Request- 00104865</t>
  </si>
  <si>
    <t>Billing Request- 00104867</t>
  </si>
  <si>
    <t>Billing Request- 00104868</t>
  </si>
  <si>
    <t>Billing Request- 00104869</t>
  </si>
  <si>
    <t>Billing Request- 00104874</t>
  </si>
  <si>
    <t>Billing Request- 00104875</t>
  </si>
  <si>
    <t>Billing Request- 00104879</t>
  </si>
  <si>
    <t>Billing Request- 00104881</t>
  </si>
  <si>
    <t>Billing Request- 00104882</t>
  </si>
  <si>
    <t>Billing Request- 00104883</t>
  </si>
  <si>
    <t>Billing Request- 00104885</t>
  </si>
  <si>
    <t>Billing Request- 00104886</t>
  </si>
  <si>
    <t>Billing Request- 00104888</t>
  </si>
  <si>
    <t>Billing Request- 00104889</t>
  </si>
  <si>
    <t>Billing Request- 00104890</t>
  </si>
  <si>
    <t>Billing Request- 00104891</t>
  </si>
  <si>
    <t>Billing Request- 00104894</t>
  </si>
  <si>
    <t>Billing Request- 00104896</t>
  </si>
  <si>
    <t>Billing Request- 00104900</t>
  </si>
  <si>
    <t>Billing Request- 00104901</t>
  </si>
  <si>
    <t>Billing Request- 00104903</t>
  </si>
  <si>
    <t>Billing Request- 00104906</t>
  </si>
  <si>
    <t>Billing Request- 00104908</t>
  </si>
  <si>
    <t>Billing Request- 00104911</t>
  </si>
  <si>
    <t>Billing Request- 00104912</t>
  </si>
  <si>
    <t>Billing Request- 00104915</t>
  </si>
  <si>
    <t>Billing Request- 00104916</t>
  </si>
  <si>
    <t>Billing Request- 00104917</t>
  </si>
  <si>
    <t>Billing Request- 00104918</t>
  </si>
  <si>
    <t>Billing Request- 00104919</t>
  </si>
  <si>
    <t>Billing Request- 00104921</t>
  </si>
  <si>
    <t>Billing Request- 00104923</t>
  </si>
  <si>
    <t>Billing Request- 00104924</t>
  </si>
  <si>
    <t>Billing Request- 00104925</t>
  </si>
  <si>
    <t>Billing Request- 00104926</t>
  </si>
  <si>
    <t>Billing Request- 00104931</t>
  </si>
  <si>
    <t>Billing Request- 00104934</t>
  </si>
  <si>
    <t>Billing Request- 00104937</t>
  </si>
  <si>
    <t>Billing Request- 00104942</t>
  </si>
  <si>
    <t>Billing Request- 00104944</t>
  </si>
  <si>
    <t>Billing Request- 00104946</t>
  </si>
  <si>
    <t>Billing Request- 00104949</t>
  </si>
  <si>
    <t>Billing Request- 00104950</t>
  </si>
  <si>
    <t>Billing Request- 00104951</t>
  </si>
  <si>
    <t>Billing Request- 00104958</t>
  </si>
  <si>
    <t>Billing Request- 00104959</t>
  </si>
  <si>
    <t>Billing Request- 00104961</t>
  </si>
  <si>
    <t>Billing Request- 00104962</t>
  </si>
  <si>
    <t>Billing Request- 00104963</t>
  </si>
  <si>
    <t>Billing Request- 00104968</t>
  </si>
  <si>
    <t>Billing Request- 00104970</t>
  </si>
  <si>
    <t>Billing Request- 00104973</t>
  </si>
  <si>
    <t>Billing Request- 00104974</t>
  </si>
  <si>
    <t>Billing Request- 00104976</t>
  </si>
  <si>
    <t>Billing Request- 00104977</t>
  </si>
  <si>
    <t>Billing Request- 00104978</t>
  </si>
  <si>
    <t>Billing Request- 00104979</t>
  </si>
  <si>
    <t>Billing Request- 00104980</t>
  </si>
  <si>
    <t>Billing Request- 00104981</t>
  </si>
  <si>
    <t>Billing Request- 00104983</t>
  </si>
  <si>
    <t>Billing Request- 00104984</t>
  </si>
  <si>
    <t>Billing Request- 00104985</t>
  </si>
  <si>
    <t>Billing Request- 00104987</t>
  </si>
  <si>
    <t>Billing Request- 00104990</t>
  </si>
  <si>
    <t>Billing Request- 00104992</t>
  </si>
  <si>
    <t>Billing Request- 00104993</t>
  </si>
  <si>
    <t>Billing Request- 00104994</t>
  </si>
  <si>
    <t>Billing Request- 00104995</t>
  </si>
  <si>
    <t>Billing Request- 00104998</t>
  </si>
  <si>
    <t>Billing Request- 00104999</t>
  </si>
  <si>
    <t>a6JXt5918715</t>
  </si>
  <si>
    <t>a6Jat7377459</t>
  </si>
  <si>
    <t>a6JXt3871230</t>
  </si>
  <si>
    <t>a6Jat4842788</t>
  </si>
  <si>
    <t>a6Jat3320821</t>
  </si>
  <si>
    <t>a6JXt8852574</t>
  </si>
  <si>
    <t>Billing Request- 00100010</t>
  </si>
  <si>
    <t>a6JHn8294150</t>
  </si>
  <si>
    <t>a6Jat3564217</t>
  </si>
  <si>
    <t>a6JHn5017343</t>
  </si>
  <si>
    <t>a6JXt3770370</t>
  </si>
  <si>
    <t>Billing Request- 00100014</t>
  </si>
  <si>
    <t>a6Jat5159166</t>
  </si>
  <si>
    <t>Billing Request- 00100015</t>
  </si>
  <si>
    <t>a6Jat2130789</t>
  </si>
  <si>
    <t>Billing Request- 00100016</t>
  </si>
  <si>
    <t>a6JXt8930103</t>
  </si>
  <si>
    <t>a6Jat5673212</t>
  </si>
  <si>
    <t>Billing Request- 00100019</t>
  </si>
  <si>
    <t>a6Jat3790237</t>
  </si>
  <si>
    <t>a6JHn5785687</t>
  </si>
  <si>
    <t>Billing Request- 00100023</t>
  </si>
  <si>
    <t>a6JXt2677407</t>
  </si>
  <si>
    <t>Billing Request- 00100026</t>
  </si>
  <si>
    <t>a6Jat5682940</t>
  </si>
  <si>
    <t>a6JXt5453786</t>
  </si>
  <si>
    <t>a6JHn1744682</t>
  </si>
  <si>
    <t>a6JHn6266630</t>
  </si>
  <si>
    <t>Billing Request- 00100036</t>
  </si>
  <si>
    <t>a6JXt7361002</t>
  </si>
  <si>
    <t>a6JXt6406444</t>
  </si>
  <si>
    <t>a6JHn2566777</t>
  </si>
  <si>
    <t>a6Jat8640615</t>
  </si>
  <si>
    <t>Billing Request- 00100041</t>
  </si>
  <si>
    <t>a6JXt6323376</t>
  </si>
  <si>
    <t>a6JXt5652512</t>
  </si>
  <si>
    <t>Billing Request- 00100045</t>
  </si>
  <si>
    <t>a6JXt4700025</t>
  </si>
  <si>
    <t>Billing Request- 00100046</t>
  </si>
  <si>
    <t>a6JXt9961107</t>
  </si>
  <si>
    <t>a6Jat8628588</t>
  </si>
  <si>
    <t>a6JHn4761823</t>
  </si>
  <si>
    <t>a6Jat4656838</t>
  </si>
  <si>
    <t>Billing Request- 00100051</t>
  </si>
  <si>
    <t>a6JXt3030966</t>
  </si>
  <si>
    <t>a6JHn2770648</t>
  </si>
  <si>
    <t>a6JHn8799287</t>
  </si>
  <si>
    <t>a6JXt7358385</t>
  </si>
  <si>
    <t>Billing Request- 00100056</t>
  </si>
  <si>
    <t>a6Jat2561176</t>
  </si>
  <si>
    <t>a6JHn6902401</t>
  </si>
  <si>
    <t>Billing Request- 00100062</t>
  </si>
  <si>
    <t>Billing Request- 00100064</t>
  </si>
  <si>
    <t>Billing Request- 00100068</t>
  </si>
  <si>
    <t>a6JHn6591986</t>
  </si>
  <si>
    <t>a6JXt1615675</t>
  </si>
  <si>
    <t>a6JHn1909393</t>
  </si>
  <si>
    <t>a6JXt9132114</t>
  </si>
  <si>
    <t>a6Jat8741810</t>
  </si>
  <si>
    <t>Billing Request- 00100073</t>
  </si>
  <si>
    <t>a6Jat8663605</t>
  </si>
  <si>
    <t>a6JHn1043037</t>
  </si>
  <si>
    <t>a6JHn6398528</t>
  </si>
  <si>
    <t>Billing Request- 00100077</t>
  </si>
  <si>
    <t>a6Jat3418526</t>
  </si>
  <si>
    <t>a6JXt9952696</t>
  </si>
  <si>
    <t>a6JHn5195951</t>
  </si>
  <si>
    <t>Billing Request- 00100083</t>
  </si>
  <si>
    <t>a6JHn3294774</t>
  </si>
  <si>
    <t>a6JHn7970985</t>
  </si>
  <si>
    <t>a6JHn5951651</t>
  </si>
  <si>
    <t>Billing Request- 00100088</t>
  </si>
  <si>
    <t>Billing Request- 00100092</t>
  </si>
  <si>
    <t>Billing Request- 00100093</t>
  </si>
  <si>
    <t>a6Jat3211291</t>
  </si>
  <si>
    <t>Billing Request- 00100096</t>
  </si>
  <si>
    <t>a6Jat9035982</t>
  </si>
  <si>
    <t>Billing Request- 00100098</t>
  </si>
  <si>
    <t>a6JXt4607488</t>
  </si>
  <si>
    <t>a6JHn7279729</t>
  </si>
  <si>
    <t>a6JHn2738129</t>
  </si>
  <si>
    <t>a6JHn4794319</t>
  </si>
  <si>
    <t>Billing Request- 00100104</t>
  </si>
  <si>
    <t>a6JHn8043620</t>
  </si>
  <si>
    <t>Billing Request- 00100105</t>
  </si>
  <si>
    <t>a6JXt1834876</t>
  </si>
  <si>
    <t>Billing Request- 00100106</t>
  </si>
  <si>
    <t>a6JHn2860421</t>
  </si>
  <si>
    <t>a6Jat8309439</t>
  </si>
  <si>
    <t>a6JXt2913049</t>
  </si>
  <si>
    <t>a6Jat3564729</t>
  </si>
  <si>
    <t>a6Jat8377995</t>
  </si>
  <si>
    <t>Billing Request- 00100114</t>
  </si>
  <si>
    <t>a6Jat7186390</t>
  </si>
  <si>
    <t>a6Jat6394323</t>
  </si>
  <si>
    <t>a6JHn9792411</t>
  </si>
  <si>
    <t>a6JXt6614484</t>
  </si>
  <si>
    <t>a6Jat6869018</t>
  </si>
  <si>
    <t>a6Jat9831414</t>
  </si>
  <si>
    <t>a6Jat4800761</t>
  </si>
  <si>
    <t>a6JXt3198638</t>
  </si>
  <si>
    <t>Billing Request- 00100124</t>
  </si>
  <si>
    <t>a6JHn7227905</t>
  </si>
  <si>
    <t>a6Jat6625238</t>
  </si>
  <si>
    <t>a6Jat5293691</t>
  </si>
  <si>
    <t>a6JHn8669093</t>
  </si>
  <si>
    <t>Billing Request- 00100130</t>
  </si>
  <si>
    <t>a6JXt6568772</t>
  </si>
  <si>
    <t>a6JXt5474830</t>
  </si>
  <si>
    <t>a6JHn6142147</t>
  </si>
  <si>
    <t>a6JXt1962308</t>
  </si>
  <si>
    <t>a6JHn1583829</t>
  </si>
  <si>
    <t>a6JHn8448065</t>
  </si>
  <si>
    <t>a6Jat9372568</t>
  </si>
  <si>
    <t>a6JHn7189302</t>
  </si>
  <si>
    <t>a6JXt7891998</t>
  </si>
  <si>
    <t>Billing Request- 00100144</t>
  </si>
  <si>
    <t>a6JXt4052834</t>
  </si>
  <si>
    <t>a6Jat5440189</t>
  </si>
  <si>
    <t>a6JXt7813102</t>
  </si>
  <si>
    <t>a6Jat2624230</t>
  </si>
  <si>
    <t>a6JHn1816348</t>
  </si>
  <si>
    <t>a6JXt5692934</t>
  </si>
  <si>
    <t>a6JXt7734157</t>
  </si>
  <si>
    <t>a6Jat7180018</t>
  </si>
  <si>
    <t>Billing Request- 00100158</t>
  </si>
  <si>
    <t>a6JXt4817541</t>
  </si>
  <si>
    <t>a6JXt2843740</t>
  </si>
  <si>
    <t>a6JHn2044906</t>
  </si>
  <si>
    <t>a6JXt6743294</t>
  </si>
  <si>
    <t>a6JHn7619156</t>
  </si>
  <si>
    <t>a6Jat7826774</t>
  </si>
  <si>
    <t>a6Jat3937099</t>
  </si>
  <si>
    <t>a6JXt2800206</t>
  </si>
  <si>
    <t>Billing Request- 00100169</t>
  </si>
  <si>
    <t>a6JHn3726201</t>
  </si>
  <si>
    <t>a6JHn7435310</t>
  </si>
  <si>
    <t>a6JXt2983483</t>
  </si>
  <si>
    <t>a6JHn7166363</t>
  </si>
  <si>
    <t>Billing Request- 00100174</t>
  </si>
  <si>
    <t>a6JHn4664338</t>
  </si>
  <si>
    <t>a6JXt4391627</t>
  </si>
  <si>
    <t>Billing Request- 00100176</t>
  </si>
  <si>
    <t>a6JXt8473959</t>
  </si>
  <si>
    <t>Billing Request- 00100177</t>
  </si>
  <si>
    <t>a6Jat7642917</t>
  </si>
  <si>
    <t>a6Jat8920040</t>
  </si>
  <si>
    <t>a6JXt3231198</t>
  </si>
  <si>
    <t>a6JHn8115687</t>
  </si>
  <si>
    <t>a6JXt1262492</t>
  </si>
  <si>
    <t>a6Jat4645172</t>
  </si>
  <si>
    <t>a6JHn7225647</t>
  </si>
  <si>
    <t>Billing Request- 00100188</t>
  </si>
  <si>
    <t>Billing Request- 00100190</t>
  </si>
  <si>
    <t>a6JXt8650572</t>
  </si>
  <si>
    <t>Billing Request- 00100196</t>
  </si>
  <si>
    <t>a6JXt1531577</t>
  </si>
  <si>
    <t>a6JXt6557798</t>
  </si>
  <si>
    <t>a6JXt5703878</t>
  </si>
  <si>
    <t>a6JHn2290796</t>
  </si>
  <si>
    <t>a6Jat9401909</t>
  </si>
  <si>
    <t>a6Jat2233237</t>
  </si>
  <si>
    <t>Billing Request- 00100203</t>
  </si>
  <si>
    <t>a6JHn8461429</t>
  </si>
  <si>
    <t>a6Jat7058670</t>
  </si>
  <si>
    <t>Billing Request- 00100208</t>
  </si>
  <si>
    <t>a6JHn5889688</t>
  </si>
  <si>
    <t>Billing Request- 00100209</t>
  </si>
  <si>
    <t>a6JXt8017921</t>
  </si>
  <si>
    <t>Billing Request- 00100212</t>
  </si>
  <si>
    <t>a6JXt7704473</t>
  </si>
  <si>
    <t>a6JXt2930810</t>
  </si>
  <si>
    <t>Billing Request- 00100216</t>
  </si>
  <si>
    <t>a6JHn8751982</t>
  </si>
  <si>
    <t>a6Jat6837206</t>
  </si>
  <si>
    <t>a6Jat6123426</t>
  </si>
  <si>
    <t>Billing Request- 00100221</t>
  </si>
  <si>
    <t>a6JXt3906397</t>
  </si>
  <si>
    <t>a6JXt5152891</t>
  </si>
  <si>
    <t>a6JXt3824903</t>
  </si>
  <si>
    <t>Billing Request- 00100228</t>
  </si>
  <si>
    <t>a6Jat5652716</t>
  </si>
  <si>
    <t>Billing Request- 00100230</t>
  </si>
  <si>
    <t>a6Jat2562657</t>
  </si>
  <si>
    <t>Billing Request- 00100231</t>
  </si>
  <si>
    <t>a6JHn3191007</t>
  </si>
  <si>
    <t>a6Jat8403549</t>
  </si>
  <si>
    <t>a6Jat7047102</t>
  </si>
  <si>
    <t>a6JHn3217531</t>
  </si>
  <si>
    <t>Billing Request- 00100237</t>
  </si>
  <si>
    <t>a6Jat2454383</t>
  </si>
  <si>
    <t>a6JXt5780177</t>
  </si>
  <si>
    <t>a6Jat9302838</t>
  </si>
  <si>
    <t>a6JXt8060918</t>
  </si>
  <si>
    <t>Billing Request- 00100241</t>
  </si>
  <si>
    <t>a6Jat7676912</t>
  </si>
  <si>
    <t>Billing Request- 00100242</t>
  </si>
  <si>
    <t>a6JXt4409088</t>
  </si>
  <si>
    <t>a6Jat1971500</t>
  </si>
  <si>
    <t>Billing Request- 00100244</t>
  </si>
  <si>
    <t>a6Jat1212482</t>
  </si>
  <si>
    <t>a6JHn2980663</t>
  </si>
  <si>
    <t>Billing Request- 00100246</t>
  </si>
  <si>
    <t>a6Jat9382064</t>
  </si>
  <si>
    <t>a6JXt6367620</t>
  </si>
  <si>
    <t>Billing Request- 00100250</t>
  </si>
  <si>
    <t>a6JHn5069884</t>
  </si>
  <si>
    <t>a6Jat6812025</t>
  </si>
  <si>
    <t>a6Jat5694689</t>
  </si>
  <si>
    <t>Billing Request- 00100253</t>
  </si>
  <si>
    <t>a6JHn2255447</t>
  </si>
  <si>
    <t>Billing Request- 00100256</t>
  </si>
  <si>
    <t>a6Jat6103880</t>
  </si>
  <si>
    <t>Billing Request- 00100258</t>
  </si>
  <si>
    <t>a6Jat2034637</t>
  </si>
  <si>
    <t>Billing Request- 00100259</t>
  </si>
  <si>
    <t>a6JHn7626978</t>
  </si>
  <si>
    <t>Billing Request- 00100263</t>
  </si>
  <si>
    <t>Billing Request- 00100265</t>
  </si>
  <si>
    <t>Billing Request- 00100266</t>
  </si>
  <si>
    <t>a6JXt6986539</t>
  </si>
  <si>
    <t>Billing Request- 00100270</t>
  </si>
  <si>
    <t>a6JXt7569981</t>
  </si>
  <si>
    <t>Billing Request- 00100271</t>
  </si>
  <si>
    <t>a6Jat6818508</t>
  </si>
  <si>
    <t>a6JXt1021494</t>
  </si>
  <si>
    <t>Billing Request- 00100280</t>
  </si>
  <si>
    <t>a6JHn9984440</t>
  </si>
  <si>
    <t>a6Jat9767135</t>
  </si>
  <si>
    <t>a6JXt7739741</t>
  </si>
  <si>
    <t>a6JHn7992286</t>
  </si>
  <si>
    <t>a6Jat1512765</t>
  </si>
  <si>
    <t>a6JHn6012883</t>
  </si>
  <si>
    <t>Billing Request- 00100296</t>
  </si>
  <si>
    <t>a6JHn8022366</t>
  </si>
  <si>
    <t>a6JXt6036433</t>
  </si>
  <si>
    <t>a6Jat8894293</t>
  </si>
  <si>
    <t>Billing Request- 00100303</t>
  </si>
  <si>
    <t>a6JHn9223833</t>
  </si>
  <si>
    <t>a6JXt1367643</t>
  </si>
  <si>
    <t>a6JXt1815153</t>
  </si>
  <si>
    <t>a6JHn2760168</t>
  </si>
  <si>
    <t>a6Jat2852723</t>
  </si>
  <si>
    <t>Billing Request- 00100312</t>
  </si>
  <si>
    <t>a6Jat2909784</t>
  </si>
  <si>
    <t>Billing Request- 00100315</t>
  </si>
  <si>
    <t>Billing Request- 00100317</t>
  </si>
  <si>
    <t>Billing Request- 00100320</t>
  </si>
  <si>
    <t>a6JHn8500558</t>
  </si>
  <si>
    <t>Billing Request- 00100322</t>
  </si>
  <si>
    <t>Billing Request- 00100329</t>
  </si>
  <si>
    <t>a6JHn8593275</t>
  </si>
  <si>
    <t>Billing Request- 00100336</t>
  </si>
  <si>
    <t>a6Jat4084811</t>
  </si>
  <si>
    <t>Billing Request- 00100337</t>
  </si>
  <si>
    <t>a6JHn6554374</t>
  </si>
  <si>
    <t>a6JXt5090740</t>
  </si>
  <si>
    <t>a6JXt7290752</t>
  </si>
  <si>
    <t>a6Jat9945709</t>
  </si>
  <si>
    <t>a6JXt8302077</t>
  </si>
  <si>
    <t>Billing Request- 00100342</t>
  </si>
  <si>
    <t>a6JXt2181822</t>
  </si>
  <si>
    <t>a6Jat9973031</t>
  </si>
  <si>
    <t>a6JXt2451316</t>
  </si>
  <si>
    <t>Billing Request- 00100345</t>
  </si>
  <si>
    <t>a6JHn5948917</t>
  </si>
  <si>
    <t>a6JXt2428191</t>
  </si>
  <si>
    <t>a6JHn4260252</t>
  </si>
  <si>
    <t>a6JXt9173698</t>
  </si>
  <si>
    <t>a6JXt8316947</t>
  </si>
  <si>
    <t>a6JHn2825908</t>
  </si>
  <si>
    <t>a6JXt2265001</t>
  </si>
  <si>
    <t>Billing Request- 00100353</t>
  </si>
  <si>
    <t>a6JXt8920589</t>
  </si>
  <si>
    <t>a6JXt5007754</t>
  </si>
  <si>
    <t>a6Jat9667792</t>
  </si>
  <si>
    <t>Billing Request- 00100362</t>
  </si>
  <si>
    <t>a6JHn3394312</t>
  </si>
  <si>
    <t>Billing Request- 00100365</t>
  </si>
  <si>
    <t>a6JHn7396087</t>
  </si>
  <si>
    <t>a6JHn3998417</t>
  </si>
  <si>
    <t>a6Jat1633429</t>
  </si>
  <si>
    <t>Billing Request- 00100373</t>
  </si>
  <si>
    <t>a6Jat5380657</t>
  </si>
  <si>
    <t>Billing Request- 00100376</t>
  </si>
  <si>
    <t>a6JXt5196677</t>
  </si>
  <si>
    <t>Billing Request- 00100377</t>
  </si>
  <si>
    <t>Billing Request- 00100378</t>
  </si>
  <si>
    <t>Billing Request- 00100379</t>
  </si>
  <si>
    <t>a6Jat9371819</t>
  </si>
  <si>
    <t>Billing Request- 00100381</t>
  </si>
  <si>
    <t>a6JXt3932663</t>
  </si>
  <si>
    <t>a6JXt5357055</t>
  </si>
  <si>
    <t>Billing Request- 00100385</t>
  </si>
  <si>
    <t>a6Jat8251427</t>
  </si>
  <si>
    <t>Billing Request- 00100386</t>
  </si>
  <si>
    <t>a6JXt9673937</t>
  </si>
  <si>
    <t>Billing Request- 00100387</t>
  </si>
  <si>
    <t>a6Jat4614941</t>
  </si>
  <si>
    <t>a6JHn1332781</t>
  </si>
  <si>
    <t>Billing Request- 00100392</t>
  </si>
  <si>
    <t>a6JXt2343263</t>
  </si>
  <si>
    <t>a6Jat3202464</t>
  </si>
  <si>
    <t>a6JHn6824517</t>
  </si>
  <si>
    <t>Billing Request- 00100397</t>
  </si>
  <si>
    <t>a6Jat6769431</t>
  </si>
  <si>
    <t>Billing Request- 00100398</t>
  </si>
  <si>
    <t>a6JHn4879150</t>
  </si>
  <si>
    <t>Billing Request- 00100399</t>
  </si>
  <si>
    <t>a6JHn7347794</t>
  </si>
  <si>
    <t>a6JHn7927377</t>
  </si>
  <si>
    <t>a6JHn2345920</t>
  </si>
  <si>
    <t>Billing Request- 00100405</t>
  </si>
  <si>
    <t>a6JHn7528399</t>
  </si>
  <si>
    <t>Billing Request- 00100406</t>
  </si>
  <si>
    <t>a6JHn1873883</t>
  </si>
  <si>
    <t>Billing Request- 00100407</t>
  </si>
  <si>
    <t>a6Jat1704531</t>
  </si>
  <si>
    <t>Billing Request- 00100408</t>
  </si>
  <si>
    <t>a6JXt2007511</t>
  </si>
  <si>
    <t>Billing Request- 00100409</t>
  </si>
  <si>
    <t>a6JHn8360481</t>
  </si>
  <si>
    <t>a6JXt9222379</t>
  </si>
  <si>
    <t>Billing Request- 00100411</t>
  </si>
  <si>
    <t>a6JHn5418267</t>
  </si>
  <si>
    <t>a6JXt2062698</t>
  </si>
  <si>
    <t>a6JXt6402667</t>
  </si>
  <si>
    <t>a6JHn2341452</t>
  </si>
  <si>
    <t>a6JXt1682046</t>
  </si>
  <si>
    <t>a6Jat4001408</t>
  </si>
  <si>
    <t>a6Jat3798595</t>
  </si>
  <si>
    <t>a6JXt6446792</t>
  </si>
  <si>
    <t>Billing Request- 00100420</t>
  </si>
  <si>
    <t>a6JHn7039941</t>
  </si>
  <si>
    <t>Billing Request- 00100421</t>
  </si>
  <si>
    <t>a6JHn4722641</t>
  </si>
  <si>
    <t>a6Jat3322104</t>
  </si>
  <si>
    <t>Billing Request- 00100424</t>
  </si>
  <si>
    <t>a6JHn6837300</t>
  </si>
  <si>
    <t>Billing Request- 00100425</t>
  </si>
  <si>
    <t>a6JHn3509536</t>
  </si>
  <si>
    <t>a6JXt3187332</t>
  </si>
  <si>
    <t>a6JHn6425946</t>
  </si>
  <si>
    <t>a6JHn3839632</t>
  </si>
  <si>
    <t>a6Jat1914996</t>
  </si>
  <si>
    <t>a6JXt1729507</t>
  </si>
  <si>
    <t>a6JHn2040350</t>
  </si>
  <si>
    <t>Billing Request- 00100437</t>
  </si>
  <si>
    <t>a6JHn9736195</t>
  </si>
  <si>
    <t>a6Jat3651604</t>
  </si>
  <si>
    <t>a6JHn4874049</t>
  </si>
  <si>
    <t>a6JXt7273997</t>
  </si>
  <si>
    <t>a6JHn7929728</t>
  </si>
  <si>
    <t>a6Jat9399643</t>
  </si>
  <si>
    <t>a6JXt7443916</t>
  </si>
  <si>
    <t>a6Jat3719990</t>
  </si>
  <si>
    <t>a6Jat5246497</t>
  </si>
  <si>
    <t>Billing Request- 00100452</t>
  </si>
  <si>
    <t>a6JHn7881198</t>
  </si>
  <si>
    <t>a6JXt6855581</t>
  </si>
  <si>
    <t>a6JHn3976601</t>
  </si>
  <si>
    <t>a6JXt1976175</t>
  </si>
  <si>
    <t>a6JXt6936673</t>
  </si>
  <si>
    <t>a6Jat2983186</t>
  </si>
  <si>
    <t>Billing Request- 00100459</t>
  </si>
  <si>
    <t>a6Jat4375360</t>
  </si>
  <si>
    <t>a6JXt1488508</t>
  </si>
  <si>
    <t>a6JXt6622207</t>
  </si>
  <si>
    <t>a6JXt6565326</t>
  </si>
  <si>
    <t>a6JXt2960327</t>
  </si>
  <si>
    <t>a6Jat4191222</t>
  </si>
  <si>
    <t>Billing Request- 00100466</t>
  </si>
  <si>
    <t>a6JHn9763492</t>
  </si>
  <si>
    <t>a6JXt6242557</t>
  </si>
  <si>
    <t>a6Jat5574378</t>
  </si>
  <si>
    <t>a6Jat9950391</t>
  </si>
  <si>
    <t>Billing Request- 00100473</t>
  </si>
  <si>
    <t>a6JHn2893930</t>
  </si>
  <si>
    <t>Billing Request- 00100475</t>
  </si>
  <si>
    <t>a6JHn7439371</t>
  </si>
  <si>
    <t>Billing Request- 00100476</t>
  </si>
  <si>
    <t>a6JXt9164301</t>
  </si>
  <si>
    <t>a6JXt7357071</t>
  </si>
  <si>
    <t>Billing Request- 00100480</t>
  </si>
  <si>
    <t>a6Jat1014148</t>
  </si>
  <si>
    <t>a6JHn7401599</t>
  </si>
  <si>
    <t>a6JXt3106365</t>
  </si>
  <si>
    <t>a6JXt8872413</t>
  </si>
  <si>
    <t>a6JHn5369510</t>
  </si>
  <si>
    <t>a6JXt2289534</t>
  </si>
  <si>
    <t>Billing Request- 00100493</t>
  </si>
  <si>
    <t>Billing Request- 00100496</t>
  </si>
  <si>
    <t>Billing Request- 00100501</t>
  </si>
  <si>
    <t>a6JHn1314820</t>
  </si>
  <si>
    <t>a6JHn9021848</t>
  </si>
  <si>
    <t>a6Jat7445196</t>
  </si>
  <si>
    <t>Billing Request- 00100505</t>
  </si>
  <si>
    <t>a6Jat1425547</t>
  </si>
  <si>
    <t>a6JHn3499027</t>
  </si>
  <si>
    <t>a6Jat3190059</t>
  </si>
  <si>
    <t>a6Jat2915617</t>
  </si>
  <si>
    <t>a6JXt3304005</t>
  </si>
  <si>
    <t>Billing Request- 00100511</t>
  </si>
  <si>
    <t>a6JXt7206350</t>
  </si>
  <si>
    <t>Billing Request- 00100512</t>
  </si>
  <si>
    <t>a6JHn2354300</t>
  </si>
  <si>
    <t>Billing Request- 00100513</t>
  </si>
  <si>
    <t>a6JHn3128901</t>
  </si>
  <si>
    <t>a6JXt2476750</t>
  </si>
  <si>
    <t>a6JXt9515120</t>
  </si>
  <si>
    <t>a6Jat6464086</t>
  </si>
  <si>
    <t>a6JHn5524723</t>
  </si>
  <si>
    <t>a6Jat6764248</t>
  </si>
  <si>
    <t>a6Jat8943827</t>
  </si>
  <si>
    <t>Billing Request- 00100523</t>
  </si>
  <si>
    <t>a6JXt3499296</t>
  </si>
  <si>
    <t>Billing Request- 00100525</t>
  </si>
  <si>
    <t>a6JXt2522188</t>
  </si>
  <si>
    <t>Billing Request- 00100526</t>
  </si>
  <si>
    <t>a6Jat7800818</t>
  </si>
  <si>
    <t>Billing Request- 00100527</t>
  </si>
  <si>
    <t>a6Jat5975954</t>
  </si>
  <si>
    <t>a6JXt4434507</t>
  </si>
  <si>
    <t>a6JHn2290961</t>
  </si>
  <si>
    <t>a6JXt3215051</t>
  </si>
  <si>
    <t>Billing Request- 00100534</t>
  </si>
  <si>
    <t>a6JXt6635087</t>
  </si>
  <si>
    <t>a6JHn3881270</t>
  </si>
  <si>
    <t>a6Jat9981123</t>
  </si>
  <si>
    <t>a6Jat7787429</t>
  </si>
  <si>
    <t>a6JHn3467651</t>
  </si>
  <si>
    <t>a6JHn4283564</t>
  </si>
  <si>
    <t>Billing Request- 00100542</t>
  </si>
  <si>
    <t>a6JXt1940322</t>
  </si>
  <si>
    <t>Billing Request- 00100543</t>
  </si>
  <si>
    <t>a6JXt2469661</t>
  </si>
  <si>
    <t>a6Jat3409867</t>
  </si>
  <si>
    <t>a6JHn7954391</t>
  </si>
  <si>
    <t>a6JXt7069317</t>
  </si>
  <si>
    <t>Billing Request- 00100549</t>
  </si>
  <si>
    <t>a6JHn3732123</t>
  </si>
  <si>
    <t>a6JXt6972425</t>
  </si>
  <si>
    <t>Billing Request- 00100551</t>
  </si>
  <si>
    <t>a6Jat6412444</t>
  </si>
  <si>
    <t>a6JXt5721406</t>
  </si>
  <si>
    <t>a6JXt9818990</t>
  </si>
  <si>
    <t>Billing Request- 00100554</t>
  </si>
  <si>
    <t>a6JHn3332267</t>
  </si>
  <si>
    <t>Billing Request- 00100556</t>
  </si>
  <si>
    <t>a6Jat4294223</t>
  </si>
  <si>
    <t>a6Jat4446060</t>
  </si>
  <si>
    <t>Billing Request- 00100559</t>
  </si>
  <si>
    <t>a6JXt1072627</t>
  </si>
  <si>
    <t>a6JHn8115080</t>
  </si>
  <si>
    <t>Billing Request- 00100562</t>
  </si>
  <si>
    <t>a6JHn4789527</t>
  </si>
  <si>
    <t>a6JXt5579723</t>
  </si>
  <si>
    <t>a6Jat3258353</t>
  </si>
  <si>
    <t>Billing Request- 00100567</t>
  </si>
  <si>
    <t>a6JHn2633262</t>
  </si>
  <si>
    <t>a6JXt2098911</t>
  </si>
  <si>
    <t>a6JXt4454568</t>
  </si>
  <si>
    <t>Billing Request- 00100578</t>
  </si>
  <si>
    <t>a6JXt6257190</t>
  </si>
  <si>
    <t>a6JXt4129604</t>
  </si>
  <si>
    <t>Billing Request- 00100586</t>
  </si>
  <si>
    <t>a6JHn5266545</t>
  </si>
  <si>
    <t>a6JHn3431212</t>
  </si>
  <si>
    <t>Billing Request- 00100589</t>
  </si>
  <si>
    <t>a6Jat5989928</t>
  </si>
  <si>
    <t>a6JHn8903600</t>
  </si>
  <si>
    <t>Billing Request- 00100591</t>
  </si>
  <si>
    <t>a6JXt6482263</t>
  </si>
  <si>
    <t>a6JHn6263378</t>
  </si>
  <si>
    <t>a6JHn3504019</t>
  </si>
  <si>
    <t>a6Jat6584506</t>
  </si>
  <si>
    <t>a6JHn3378937</t>
  </si>
  <si>
    <t>a6JXt5425123</t>
  </si>
  <si>
    <t>a6Jat4072601</t>
  </si>
  <si>
    <t>Billing Request- 00100604</t>
  </si>
  <si>
    <t>a6JXt9140297</t>
  </si>
  <si>
    <t>a6JXt3046668</t>
  </si>
  <si>
    <t>a6Jat7398678</t>
  </si>
  <si>
    <t>a6JHn9600893</t>
  </si>
  <si>
    <t>a6JXt4126532</t>
  </si>
  <si>
    <t>Billing Request- 00100616</t>
  </si>
  <si>
    <t>a6JXt4157826</t>
  </si>
  <si>
    <t>Billing Request- 00100620</t>
  </si>
  <si>
    <t>a6JXt7572195</t>
  </si>
  <si>
    <t>Billing Request- 00100621</t>
  </si>
  <si>
    <t>a6JXt9185628</t>
  </si>
  <si>
    <t>a6Jat9516717</t>
  </si>
  <si>
    <t>Billing Request- 00100627</t>
  </si>
  <si>
    <t>a6JHn1783099</t>
  </si>
  <si>
    <t>a6Jat2776570</t>
  </si>
  <si>
    <t>Billing Request- 00100630</t>
  </si>
  <si>
    <t>a6JHn1110521</t>
  </si>
  <si>
    <t>a6JXt7069566</t>
  </si>
  <si>
    <t>a6Jat8282524</t>
  </si>
  <si>
    <t>a6JXt6105693</t>
  </si>
  <si>
    <t>Billing Request- 00100635</t>
  </si>
  <si>
    <t>a6JXt8417942</t>
  </si>
  <si>
    <t>a6Jat9732032</t>
  </si>
  <si>
    <t>a6JXt5340101</t>
  </si>
  <si>
    <t>a6Jat1800824</t>
  </si>
  <si>
    <t>Billing Request- 00100639</t>
  </si>
  <si>
    <t>a6JXt3348331</t>
  </si>
  <si>
    <t>a6JHn2374845</t>
  </si>
  <si>
    <t>a6JXt7623350</t>
  </si>
  <si>
    <t>a6JHn3170723</t>
  </si>
  <si>
    <t>a6Jat7855503</t>
  </si>
  <si>
    <t>Billing Request- 00100645</t>
  </si>
  <si>
    <t>a6Jat6849358</t>
  </si>
  <si>
    <t>Billing Request- 00100646</t>
  </si>
  <si>
    <t>a6JXt3228175</t>
  </si>
  <si>
    <t>Billing Request- 00100647</t>
  </si>
  <si>
    <t>a6JHn7496727</t>
  </si>
  <si>
    <t>Billing Request- 00100649</t>
  </si>
  <si>
    <t>a6Jat9753576</t>
  </si>
  <si>
    <t>Billing Request- 00100650</t>
  </si>
  <si>
    <t>a6Jat5115227</t>
  </si>
  <si>
    <t>Billing Request- 00100651</t>
  </si>
  <si>
    <t>a6JHn4028421</t>
  </si>
  <si>
    <t>a6Jat3587505</t>
  </si>
  <si>
    <t>a6Jat7926017</t>
  </si>
  <si>
    <t>a6Jat5515751</t>
  </si>
  <si>
    <t>a6JXt4413440</t>
  </si>
  <si>
    <t>a6JXt5852800</t>
  </si>
  <si>
    <t>Billing Request- 00100659</t>
  </si>
  <si>
    <t>a6JHn4537478</t>
  </si>
  <si>
    <t>a6Jat8714152</t>
  </si>
  <si>
    <t>a6JHn9203667</t>
  </si>
  <si>
    <t>a6JXt7005668</t>
  </si>
  <si>
    <t>Billing Request- 00100663</t>
  </si>
  <si>
    <t>a6JXt7003240</t>
  </si>
  <si>
    <t>a6JXt3944885</t>
  </si>
  <si>
    <t>Billing Request- 00100668</t>
  </si>
  <si>
    <t>a6JHn6305659</t>
  </si>
  <si>
    <t>Billing Request- 00100673</t>
  </si>
  <si>
    <t>a6JHn7399761</t>
  </si>
  <si>
    <t>a6JXt2699161</t>
  </si>
  <si>
    <t>a6JXt4248312</t>
  </si>
  <si>
    <t>a6Jat2014873</t>
  </si>
  <si>
    <t>Billing Request- 00100677</t>
  </si>
  <si>
    <t>a6JHn5883242</t>
  </si>
  <si>
    <t>a6JHn8024541</t>
  </si>
  <si>
    <t>a6JHn4575870</t>
  </si>
  <si>
    <t>Billing Request- 00100682</t>
  </si>
  <si>
    <t>a6JHn3924009</t>
  </si>
  <si>
    <t>a6JXt4172607</t>
  </si>
  <si>
    <t>a6JHn4932320</t>
  </si>
  <si>
    <t>a6JHn8457561</t>
  </si>
  <si>
    <t>a6JHn6318720</t>
  </si>
  <si>
    <t>a6JXt9603205</t>
  </si>
  <si>
    <t>Billing Request- 00100692</t>
  </si>
  <si>
    <t>a6Jat6523752</t>
  </si>
  <si>
    <t>a6JHn7774826</t>
  </si>
  <si>
    <t>a6JHn4921224</t>
  </si>
  <si>
    <t>Billing Request- 00100695</t>
  </si>
  <si>
    <t>a6JXt8007639</t>
  </si>
  <si>
    <t>a6JHn5761669</t>
  </si>
  <si>
    <t>Billing Request- 00100702</t>
  </si>
  <si>
    <t>a6Jat7698083</t>
  </si>
  <si>
    <t>a6Jat5830358</t>
  </si>
  <si>
    <t>Billing Request- 00100704</t>
  </si>
  <si>
    <t>a6JHn7453607</t>
  </si>
  <si>
    <t>Billing Request- 00100705</t>
  </si>
  <si>
    <t>a6JXt2119776</t>
  </si>
  <si>
    <t>a6Jat7655090</t>
  </si>
  <si>
    <t>a6JXt5065012</t>
  </si>
  <si>
    <t>a6JXt7557366</t>
  </si>
  <si>
    <t>Billing Request- 00100711</t>
  </si>
  <si>
    <t>a6Jat5189267</t>
  </si>
  <si>
    <t>Billing Request- 00100714</t>
  </si>
  <si>
    <t>a6Jat2107569</t>
  </si>
  <si>
    <t>a6JXt6334600</t>
  </si>
  <si>
    <t>a6Jat4902479</t>
  </si>
  <si>
    <t>a6Jat1874208</t>
  </si>
  <si>
    <t>Billing Request- 00100723</t>
  </si>
  <si>
    <t>a6Jat5561067</t>
  </si>
  <si>
    <t>a6JHn1332374</t>
  </si>
  <si>
    <t>a6JHn7293920</t>
  </si>
  <si>
    <t>a6JXt7279004</t>
  </si>
  <si>
    <t>a6Jat3088386</t>
  </si>
  <si>
    <t>Billing Request- 00100728</t>
  </si>
  <si>
    <t>a6JHn1968122</t>
  </si>
  <si>
    <t>a6JXt3472414</t>
  </si>
  <si>
    <t>a6Jat4322233</t>
  </si>
  <si>
    <t>a6Jat5351203</t>
  </si>
  <si>
    <t>Billing Request- 00100737</t>
  </si>
  <si>
    <t>a6JHn5019771</t>
  </si>
  <si>
    <t>Billing Request- 00100738</t>
  </si>
  <si>
    <t>a6JHn3329735</t>
  </si>
  <si>
    <t>a6Jat7456854</t>
  </si>
  <si>
    <t>Billing Request- 00100742</t>
  </si>
  <si>
    <t>a6JXt8831655</t>
  </si>
  <si>
    <t>a6Jat2769487</t>
  </si>
  <si>
    <t>a6JXt3065243</t>
  </si>
  <si>
    <t>a6JXt7403032</t>
  </si>
  <si>
    <t>a6JHn7124083</t>
  </si>
  <si>
    <t>Billing Request- 00100748</t>
  </si>
  <si>
    <t>a6Jat9385800</t>
  </si>
  <si>
    <t>a6Jat5587772</t>
  </si>
  <si>
    <t>Billing Request- 00100751</t>
  </si>
  <si>
    <t>Billing Request- 00100753</t>
  </si>
  <si>
    <t>a6JXt3893851</t>
  </si>
  <si>
    <t>Billing Request- 00100758</t>
  </si>
  <si>
    <t>a6JXt9196731</t>
  </si>
  <si>
    <t>a6JHn3064357</t>
  </si>
  <si>
    <t>Billing Request- 00100761</t>
  </si>
  <si>
    <t>a6JHn6250195</t>
  </si>
  <si>
    <t>a6JXt4231751</t>
  </si>
  <si>
    <t>a6Jat5531949</t>
  </si>
  <si>
    <t>Billing Request- 00100766</t>
  </si>
  <si>
    <t>a6Jat4787716</t>
  </si>
  <si>
    <t>a6JHn9214437</t>
  </si>
  <si>
    <t>a6JHn9426008</t>
  </si>
  <si>
    <t>a6Jat2333367</t>
  </si>
  <si>
    <t>a6JXt1122310</t>
  </si>
  <si>
    <t>Billing Request- 00100775</t>
  </si>
  <si>
    <t>a6Jat6670004</t>
  </si>
  <si>
    <t>Billing Request- 00100777</t>
  </si>
  <si>
    <t>a6Jat6867356</t>
  </si>
  <si>
    <t>a6JHn3715129</t>
  </si>
  <si>
    <t>a6JHn6556840</t>
  </si>
  <si>
    <t>Billing Request- 00100781</t>
  </si>
  <si>
    <t>a6JXt3137987</t>
  </si>
  <si>
    <t>a6JHn9388623</t>
  </si>
  <si>
    <t>Billing Request- 00100783</t>
  </si>
  <si>
    <t>a6JHn2386047</t>
  </si>
  <si>
    <t>Billing Request- 00100786</t>
  </si>
  <si>
    <t>a6JXt4882711</t>
  </si>
  <si>
    <t>a6Jat6556810</t>
  </si>
  <si>
    <t>a6Jat3189181</t>
  </si>
  <si>
    <t>a6Jat5859627</t>
  </si>
  <si>
    <t>a6JHn7547256</t>
  </si>
  <si>
    <t>a6JHn7192640</t>
  </si>
  <si>
    <t>Billing Request- 00100798</t>
  </si>
  <si>
    <t>a6Jat6964017</t>
  </si>
  <si>
    <t>a6Jat5731917</t>
  </si>
  <si>
    <t>a6JXt7752901</t>
  </si>
  <si>
    <t>Billing Request- 00100803</t>
  </si>
  <si>
    <t>a6Jat1733836</t>
  </si>
  <si>
    <t>Billing Request- 00100805</t>
  </si>
  <si>
    <t>a6JXt5487177</t>
  </si>
  <si>
    <t>a6Jat2706851</t>
  </si>
  <si>
    <t>Billing Request- 00100809</t>
  </si>
  <si>
    <t>a6JXt2281267</t>
  </si>
  <si>
    <t>Billing Request- 00100810</t>
  </si>
  <si>
    <t>a6JXt5672054</t>
  </si>
  <si>
    <t>a6JHn2402872</t>
  </si>
  <si>
    <t>Billing Request- 00100813</t>
  </si>
  <si>
    <t>a6Jat7080036</t>
  </si>
  <si>
    <t>a6JHn7235826</t>
  </si>
  <si>
    <t>a6Jat2292941</t>
  </si>
  <si>
    <t>a6JHn1221617</t>
  </si>
  <si>
    <t>Billing Request- 00100818</t>
  </si>
  <si>
    <t>a6JXt8621830</t>
  </si>
  <si>
    <t>Billing Request- 00100819</t>
  </si>
  <si>
    <t>a6Jat4554492</t>
  </si>
  <si>
    <t>Billing Request- 00100820</t>
  </si>
  <si>
    <t>a6JHn7383228</t>
  </si>
  <si>
    <t>Billing Request- 00100824</t>
  </si>
  <si>
    <t>a6Jat7410771</t>
  </si>
  <si>
    <t>a6JHn1671305</t>
  </si>
  <si>
    <t>Billing Request- 00100827</t>
  </si>
  <si>
    <t>a6Jat9370358</t>
  </si>
  <si>
    <t>a6Jat8729953</t>
  </si>
  <si>
    <t>a6JHn7862438</t>
  </si>
  <si>
    <t>Billing Request- 00100830</t>
  </si>
  <si>
    <t>a6JHn1715977</t>
  </si>
  <si>
    <t>Billing Request- 00100831</t>
  </si>
  <si>
    <t>a6JHn2224379</t>
  </si>
  <si>
    <t>Billing Request- 00100832</t>
  </si>
  <si>
    <t>a6Jat7659629</t>
  </si>
  <si>
    <t>Billing Request- 00100836</t>
  </si>
  <si>
    <t>a6Jat2550906</t>
  </si>
  <si>
    <t>Billing Request- 00100843</t>
  </si>
  <si>
    <t>a6Jat2503875</t>
  </si>
  <si>
    <t>Billing Request- 00100844</t>
  </si>
  <si>
    <t>a6Jat5863789</t>
  </si>
  <si>
    <t>Billing Request- 00100845</t>
  </si>
  <si>
    <t>a6JHn5052611</t>
  </si>
  <si>
    <t>a6Jat3379602</t>
  </si>
  <si>
    <t>a6Jat6012276</t>
  </si>
  <si>
    <t>a6Jat4235406</t>
  </si>
  <si>
    <t>a6Jat4686979</t>
  </si>
  <si>
    <t>a6JXt7426442</t>
  </si>
  <si>
    <t>Billing Request- 00100860</t>
  </si>
  <si>
    <t>a6JHn5923669</t>
  </si>
  <si>
    <t>a6JXt2255341</t>
  </si>
  <si>
    <t>Billing Request- 00100864</t>
  </si>
  <si>
    <t>a6JHn8067188</t>
  </si>
  <si>
    <t>a6JXt1077963</t>
  </si>
  <si>
    <t>a6JHn8626616</t>
  </si>
  <si>
    <t>Billing Request- 00100868</t>
  </si>
  <si>
    <t>a6JHn8309538</t>
  </si>
  <si>
    <t>Billing Request- 00100869</t>
  </si>
  <si>
    <t>a6JHn1722698</t>
  </si>
  <si>
    <t>Billing Request- 00100871</t>
  </si>
  <si>
    <t>a6JHn6400776</t>
  </si>
  <si>
    <t>a6Jat2308903</t>
  </si>
  <si>
    <t>a6JHn7468887</t>
  </si>
  <si>
    <t>Billing Request- 00100875</t>
  </si>
  <si>
    <t>a6JXt2712355</t>
  </si>
  <si>
    <t>a6JHn7203890</t>
  </si>
  <si>
    <t>a6JHn5831713</t>
  </si>
  <si>
    <t>Billing Request- 00100882</t>
  </si>
  <si>
    <t>a6JHn2291460</t>
  </si>
  <si>
    <t>Billing Request- 00100883</t>
  </si>
  <si>
    <t>a6JXt5876441</t>
  </si>
  <si>
    <t>a6JHn5317440</t>
  </si>
  <si>
    <t>Billing Request- 00100887</t>
  </si>
  <si>
    <t>a6JHn9840030</t>
  </si>
  <si>
    <t>a6JHn3062947</t>
  </si>
  <si>
    <t>a6Jat9193429</t>
  </si>
  <si>
    <t>a6JXt3601089</t>
  </si>
  <si>
    <t>Billing Request- 00100892</t>
  </si>
  <si>
    <t>a6JHn5172971</t>
  </si>
  <si>
    <t>Billing Request- 00100893</t>
  </si>
  <si>
    <t>a6JXt3334991</t>
  </si>
  <si>
    <t>Billing Request- 00100894</t>
  </si>
  <si>
    <t>a6JXt4076474</t>
  </si>
  <si>
    <t>a6JHn5070918</t>
  </si>
  <si>
    <t>Billing Request- 00100897</t>
  </si>
  <si>
    <t>a6JHn1099872</t>
  </si>
  <si>
    <t>Billing Request- 00100898</t>
  </si>
  <si>
    <t>a6JHn9077690</t>
  </si>
  <si>
    <t>Billing Request- 00100899</t>
  </si>
  <si>
    <t>a6Jat6079496</t>
  </si>
  <si>
    <t>a6JHn9399318</t>
  </si>
  <si>
    <t>a6JHn3349469</t>
  </si>
  <si>
    <t>Billing Request- 00100908</t>
  </si>
  <si>
    <t>a6JXt3670591</t>
  </si>
  <si>
    <t>Billing Request- 00100909</t>
  </si>
  <si>
    <t>a6JHn8047372</t>
  </si>
  <si>
    <t>a6Jat1557661</t>
  </si>
  <si>
    <t>Billing Request- 00100914</t>
  </si>
  <si>
    <t>Billing Request- 00100918</t>
  </si>
  <si>
    <t>a6Jat9032452</t>
  </si>
  <si>
    <t>Billing Request- 00100920</t>
  </si>
  <si>
    <t>a6Jat2285330</t>
  </si>
  <si>
    <t>Billing Request- 00100925</t>
  </si>
  <si>
    <t>a6JHn7892648</t>
  </si>
  <si>
    <t>a6JXt7445414</t>
  </si>
  <si>
    <t>a6JHn5404568</t>
  </si>
  <si>
    <t>a6JXt5822081</t>
  </si>
  <si>
    <t>Billing Request- 00100932</t>
  </si>
  <si>
    <t>a6JXt1207016</t>
  </si>
  <si>
    <t>a6JHn4654790</t>
  </si>
  <si>
    <t>a6JHn9303529</t>
  </si>
  <si>
    <t>a6JHn6323988</t>
  </si>
  <si>
    <t>a6Jat6867489</t>
  </si>
  <si>
    <t>Billing Request- 00100940</t>
  </si>
  <si>
    <t>a6Jat3797952</t>
  </si>
  <si>
    <t>Billing Request- 00100946</t>
  </si>
  <si>
    <t>a6Jat3800715</t>
  </si>
  <si>
    <t>Billing Request- 00100947</t>
  </si>
  <si>
    <t>a6JHn2808110</t>
  </si>
  <si>
    <t>a6JXt9545877</t>
  </si>
  <si>
    <t>a6JHn2625688</t>
  </si>
  <si>
    <t>a6Jat5829206</t>
  </si>
  <si>
    <t>a6Jat2610210</t>
  </si>
  <si>
    <t>a6JHn2457333</t>
  </si>
  <si>
    <t>Billing Request- 00100955</t>
  </si>
  <si>
    <t>a6JXt9604096</t>
  </si>
  <si>
    <t>Billing Request- 00100956</t>
  </si>
  <si>
    <t>a6JXt1597875</t>
  </si>
  <si>
    <t>Billing Request- 00100957</t>
  </si>
  <si>
    <t>a6JXt9333686</t>
  </si>
  <si>
    <t>a6JXt3988274</t>
  </si>
  <si>
    <t>a6JHn8510091</t>
  </si>
  <si>
    <t>a6JXt7604270</t>
  </si>
  <si>
    <t>a6Jat6211168</t>
  </si>
  <si>
    <t>a6JHn9781289</t>
  </si>
  <si>
    <t>a6JHn7820513</t>
  </si>
  <si>
    <t>a6JXt2366240</t>
  </si>
  <si>
    <t>a6JHn5548431</t>
  </si>
  <si>
    <t>a6Jat6231815</t>
  </si>
  <si>
    <t>a6JXt4792145</t>
  </si>
  <si>
    <t>a6JXt7424776</t>
  </si>
  <si>
    <t>a6JXt2311972</t>
  </si>
  <si>
    <t>a6JXt3017289</t>
  </si>
  <si>
    <t>a6JHn1960109</t>
  </si>
  <si>
    <t>a6JXt3570131</t>
  </si>
  <si>
    <t>a6JHn4257839</t>
  </si>
  <si>
    <t>Billing Request- 00100992</t>
  </si>
  <si>
    <t>a6JHn7985675</t>
  </si>
  <si>
    <t>a6Jat7283563</t>
  </si>
  <si>
    <t>Billing Request- 00100996</t>
  </si>
  <si>
    <t>a6Jat5680229</t>
  </si>
  <si>
    <t>a6JHn3612283</t>
  </si>
  <si>
    <t>Billing Request- 00100999</t>
  </si>
  <si>
    <t>a6JXt5512234</t>
  </si>
  <si>
    <t>Billing Request- 00101001</t>
  </si>
  <si>
    <t>a6JXt2681206</t>
  </si>
  <si>
    <t>a6JXt8297560</t>
  </si>
  <si>
    <t>a6Jat9505390</t>
  </si>
  <si>
    <t>Billing Request- 00101004</t>
  </si>
  <si>
    <t>a6JXt9792694</t>
  </si>
  <si>
    <t>a6Jat8727379</t>
  </si>
  <si>
    <t>a6Jat5105930</t>
  </si>
  <si>
    <t>Billing Request- 00101008</t>
  </si>
  <si>
    <t>a6JHn5751216</t>
  </si>
  <si>
    <t>a6Jat6065677</t>
  </si>
  <si>
    <t>Billing Request- 00101011</t>
  </si>
  <si>
    <t>a6Jat5379180</t>
  </si>
  <si>
    <t>a6JHn1205092</t>
  </si>
  <si>
    <t>a6JHn5339410</t>
  </si>
  <si>
    <t>Billing Request- 00101014</t>
  </si>
  <si>
    <t>a6Jat8114632</t>
  </si>
  <si>
    <t>Billing Request- 00101017</t>
  </si>
  <si>
    <t>a6JXt1597521</t>
  </si>
  <si>
    <t>a6Jat9278722</t>
  </si>
  <si>
    <t>Billing Request- 00101019</t>
  </si>
  <si>
    <t>Billing Request- 00101021</t>
  </si>
  <si>
    <t>Billing Request- 00101022</t>
  </si>
  <si>
    <t>a6JXt5780038</t>
  </si>
  <si>
    <t>a6JHn8059261</t>
  </si>
  <si>
    <t>Billing Request- 00101025</t>
  </si>
  <si>
    <t>a6Jat8750193</t>
  </si>
  <si>
    <t>Billing Request- 00101026</t>
  </si>
  <si>
    <t>a6JHn2394052</t>
  </si>
  <si>
    <t>a6JXt6899311</t>
  </si>
  <si>
    <t>a6JHn3071885</t>
  </si>
  <si>
    <t>a6Jat8015896</t>
  </si>
  <si>
    <t>a6JHn9301923</t>
  </si>
  <si>
    <t>a6JHn3890222</t>
  </si>
  <si>
    <t>a6Jat7858110</t>
  </si>
  <si>
    <t>Billing Request- 00101033</t>
  </si>
  <si>
    <t>a6JXt7532030</t>
  </si>
  <si>
    <t>a6Jat4473005</t>
  </si>
  <si>
    <t>a6JXt6557607</t>
  </si>
  <si>
    <t>a6JXt8382743</t>
  </si>
  <si>
    <t>a6JHn1435209</t>
  </si>
  <si>
    <t>a6Jat3156762</t>
  </si>
  <si>
    <t>Billing Request- 00101044</t>
  </si>
  <si>
    <t>a6Jat5669360</t>
  </si>
  <si>
    <t>a6Jat5458768</t>
  </si>
  <si>
    <t>Billing Request- 00101049</t>
  </si>
  <si>
    <t>a6Jat2675639</t>
  </si>
  <si>
    <t>a6JHn2870157</t>
  </si>
  <si>
    <t>Billing Request- 00101053</t>
  </si>
  <si>
    <t>a6Jat8435634</t>
  </si>
  <si>
    <t>a6Jat3636248</t>
  </si>
  <si>
    <t>Billing Request- 00101056</t>
  </si>
  <si>
    <t>a6JHn3432470</t>
  </si>
  <si>
    <t>Billing Request- 00101057</t>
  </si>
  <si>
    <t>a6Jat7858320</t>
  </si>
  <si>
    <t>Billing Request- 00101058</t>
  </si>
  <si>
    <t>a6JHn1397267</t>
  </si>
  <si>
    <t>a6Jat3691366</t>
  </si>
  <si>
    <t>a6JXt7291774</t>
  </si>
  <si>
    <t>a6JXt5374141</t>
  </si>
  <si>
    <t>a6Jat2999683</t>
  </si>
  <si>
    <t>Billing Request- 00101065</t>
  </si>
  <si>
    <t>a6JXt6487324</t>
  </si>
  <si>
    <t>Billing Request- 00101066</t>
  </si>
  <si>
    <t>a6Jat8859233</t>
  </si>
  <si>
    <t>a6Jat6543686</t>
  </si>
  <si>
    <t>a6JXt7542233</t>
  </si>
  <si>
    <t>a6Jat6949960</t>
  </si>
  <si>
    <t>a6JHn3065444</t>
  </si>
  <si>
    <t>a6Jat2557794</t>
  </si>
  <si>
    <t>a6JHn2678829</t>
  </si>
  <si>
    <t>Billing Request- 00101075</t>
  </si>
  <si>
    <t>a6JHn1265919</t>
  </si>
  <si>
    <t>a6Jat4046988</t>
  </si>
  <si>
    <t>a6Jat6563023</t>
  </si>
  <si>
    <t>a6Jat2545582</t>
  </si>
  <si>
    <t>a6JXt1012106</t>
  </si>
  <si>
    <t>Billing Request- 00101082</t>
  </si>
  <si>
    <t>a6JXt2765436</t>
  </si>
  <si>
    <t>a6Jat3715983</t>
  </si>
  <si>
    <t>a6JHn9176462</t>
  </si>
  <si>
    <t>a6Jat2586848</t>
  </si>
  <si>
    <t>Billing Request- 00101088</t>
  </si>
  <si>
    <t>a6Jat9467858</t>
  </si>
  <si>
    <t>a6JHn5974384</t>
  </si>
  <si>
    <t>Billing Request- 00101092</t>
  </si>
  <si>
    <t>a6JXt6227870</t>
  </si>
  <si>
    <t>a6Jat7563888</t>
  </si>
  <si>
    <t>a6Jat7735054</t>
  </si>
  <si>
    <t>a6JXt2721547</t>
  </si>
  <si>
    <t>Billing Request- 00101098</t>
  </si>
  <si>
    <t>a6Jat9304320</t>
  </si>
  <si>
    <t>a6JXt8077121</t>
  </si>
  <si>
    <t>a6JXt8244357</t>
  </si>
  <si>
    <t>Billing Request- 00101103</t>
  </si>
  <si>
    <t>a6JHn7016123</t>
  </si>
  <si>
    <t>a6JXt6400269</t>
  </si>
  <si>
    <t>a6Jat6310561</t>
  </si>
  <si>
    <t>a6JHn6881989</t>
  </si>
  <si>
    <t>Billing Request- 00101107</t>
  </si>
  <si>
    <t>a6JXt5969473</t>
  </si>
  <si>
    <t>a6JHn2379281</t>
  </si>
  <si>
    <t>a6JHn8236259</t>
  </si>
  <si>
    <t>a6Jat3160312</t>
  </si>
  <si>
    <t>Billing Request- 00101114</t>
  </si>
  <si>
    <t>a6JXt4757489</t>
  </si>
  <si>
    <t>a6JXt8524049</t>
  </si>
  <si>
    <t>a6JXt5228060</t>
  </si>
  <si>
    <t>a6JHn6545427</t>
  </si>
  <si>
    <t>Billing Request- 00101119</t>
  </si>
  <si>
    <t>a6Jat4040670</t>
  </si>
  <si>
    <t>a6JHn3323803</t>
  </si>
  <si>
    <t>Billing Request- 00101121</t>
  </si>
  <si>
    <t>a6Jat4802391</t>
  </si>
  <si>
    <t>Billing Request- 00101122</t>
  </si>
  <si>
    <t>a6JXt1992308</t>
  </si>
  <si>
    <t>a6JXt7288704</t>
  </si>
  <si>
    <t>a6JXt4026890</t>
  </si>
  <si>
    <t>a6JXt7523750</t>
  </si>
  <si>
    <t>a6JHn1983550</t>
  </si>
  <si>
    <t>a6JHn9121925</t>
  </si>
  <si>
    <t>a6JXt3908477</t>
  </si>
  <si>
    <t>a6Jat6373918</t>
  </si>
  <si>
    <t>a6Jat5331630</t>
  </si>
  <si>
    <t>a6Jat9190913</t>
  </si>
  <si>
    <t>Billing Request- 00101137</t>
  </si>
  <si>
    <t>a6JXt5387228</t>
  </si>
  <si>
    <t>a6Jat8867792</t>
  </si>
  <si>
    <t>a6JHn5207762</t>
  </si>
  <si>
    <t>Billing Request- 00101141</t>
  </si>
  <si>
    <t>a6Jat4086389</t>
  </si>
  <si>
    <t>a6JHn1951488</t>
  </si>
  <si>
    <t>Billing Request- 00101143</t>
  </si>
  <si>
    <t>a6Jat4920197</t>
  </si>
  <si>
    <t>a6JHn7476923</t>
  </si>
  <si>
    <t>a6JHn9038452</t>
  </si>
  <si>
    <t>a6JHn3233293</t>
  </si>
  <si>
    <t>Billing Request- 00101149</t>
  </si>
  <si>
    <t>a6JHn7288379</t>
  </si>
  <si>
    <t>a6JXt7914190</t>
  </si>
  <si>
    <t>a6JXt4463711</t>
  </si>
  <si>
    <t>a6Jat3190350</t>
  </si>
  <si>
    <t>Billing Request- 00101153</t>
  </si>
  <si>
    <t>a6JHn2509059</t>
  </si>
  <si>
    <t>Billing Request- 00101154</t>
  </si>
  <si>
    <t>a6JHn8970642</t>
  </si>
  <si>
    <t>a6JXt7873288</t>
  </si>
  <si>
    <t>a6JHn2628546</t>
  </si>
  <si>
    <t>Billing Request- 00101157</t>
  </si>
  <si>
    <t>a6Jat8505009</t>
  </si>
  <si>
    <t>Billing Request- 00101158</t>
  </si>
  <si>
    <t>a6Jat2861798</t>
  </si>
  <si>
    <t>Billing Request- 00101159</t>
  </si>
  <si>
    <t>a6JHn3836358</t>
  </si>
  <si>
    <t>Billing Request- 00101160</t>
  </si>
  <si>
    <t>a6JXt5006465</t>
  </si>
  <si>
    <t>a6JXt1179145</t>
  </si>
  <si>
    <t>a6JHn5474022</t>
  </si>
  <si>
    <t>a6Jat3583794</t>
  </si>
  <si>
    <t>a6Jat8730320</t>
  </si>
  <si>
    <t>a6JHn4121650</t>
  </si>
  <si>
    <t>a6JHn5721932</t>
  </si>
  <si>
    <t>a6JHn1201308</t>
  </si>
  <si>
    <t>a6JHn9205525</t>
  </si>
  <si>
    <t>Billing Request- 00101173</t>
  </si>
  <si>
    <t>a6JHn8778317</t>
  </si>
  <si>
    <t>a6JXt3506246</t>
  </si>
  <si>
    <t>a6JHn3514901</t>
  </si>
  <si>
    <t>a6JXt9374127</t>
  </si>
  <si>
    <t>a6JXt5854015</t>
  </si>
  <si>
    <t>Billing Request- 00101178</t>
  </si>
  <si>
    <t>a6JXt8197382</t>
  </si>
  <si>
    <t>a6JHn4261117</t>
  </si>
  <si>
    <t>a6Jat7444855</t>
  </si>
  <si>
    <t>a6JHn3400540</t>
  </si>
  <si>
    <t>Billing Request- 00101185</t>
  </si>
  <si>
    <t>a6JXt8070308</t>
  </si>
  <si>
    <t>Billing Request- 00101186</t>
  </si>
  <si>
    <t>a6JHn8649458</t>
  </si>
  <si>
    <t>a6JXt2042711</t>
  </si>
  <si>
    <t>a6JHn4815074</t>
  </si>
  <si>
    <t>a6JXt7961516</t>
  </si>
  <si>
    <t>Billing Request- 00101194</t>
  </si>
  <si>
    <t>a6JXt7175999</t>
  </si>
  <si>
    <t>Billing Request- 00101198</t>
  </si>
  <si>
    <t>Billing Request- 00101199</t>
  </si>
  <si>
    <t>a6JXt1509483</t>
  </si>
  <si>
    <t>a6Jat1738763</t>
  </si>
  <si>
    <t>a6Jat4939600</t>
  </si>
  <si>
    <t>a6JHn7107490</t>
  </si>
  <si>
    <t>a6JXt6818132</t>
  </si>
  <si>
    <t>a6JHn7842181</t>
  </si>
  <si>
    <t>Billing Request- 00101209</t>
  </si>
  <si>
    <t>a6Jat1717322</t>
  </si>
  <si>
    <t>a6JXt7649652</t>
  </si>
  <si>
    <t>Billing Request- 00101211</t>
  </si>
  <si>
    <t>a6Jat4804776</t>
  </si>
  <si>
    <t>Billing Request- 00101212</t>
  </si>
  <si>
    <t>a6JHn2785542</t>
  </si>
  <si>
    <t>a6JXt6143155</t>
  </si>
  <si>
    <t>a6Jat2196822</t>
  </si>
  <si>
    <t>Billing Request- 00101215</t>
  </si>
  <si>
    <t>a6JHn7290045</t>
  </si>
  <si>
    <t>a6JHn8945647</t>
  </si>
  <si>
    <t>a6Jat9178027</t>
  </si>
  <si>
    <t>Billing Request- 00101219</t>
  </si>
  <si>
    <t>a6JXt1473717</t>
  </si>
  <si>
    <t>Billing Request- 00101224</t>
  </si>
  <si>
    <t>a6JHn2123042</t>
  </si>
  <si>
    <t>a6JXt4133828</t>
  </si>
  <si>
    <t>a6Jat3472747</t>
  </si>
  <si>
    <t>a6JXt1148604</t>
  </si>
  <si>
    <t>Billing Request- 00101228</t>
  </si>
  <si>
    <t>a6Jat7507169</t>
  </si>
  <si>
    <t>Billing Request- 00101230</t>
  </si>
  <si>
    <t>a6JHn7620773</t>
  </si>
  <si>
    <t>a6JHn3638806</t>
  </si>
  <si>
    <t>Billing Request- 00101232</t>
  </si>
  <si>
    <t>a6JXt3442155</t>
  </si>
  <si>
    <t>a6JXt9673780</t>
  </si>
  <si>
    <t>a6JHn5016713</t>
  </si>
  <si>
    <t>a6JXt7594804</t>
  </si>
  <si>
    <t>a6JHn1855521</t>
  </si>
  <si>
    <t>a6Jat1688446</t>
  </si>
  <si>
    <t>Billing Request- 00101242</t>
  </si>
  <si>
    <t>a6JXt2004617</t>
  </si>
  <si>
    <t>Billing Request- 00101245</t>
  </si>
  <si>
    <t>a6JHn2801653</t>
  </si>
  <si>
    <t>Billing Request- 00101246</t>
  </si>
  <si>
    <t>a6JHn9790177</t>
  </si>
  <si>
    <t>Billing Request- 00101248</t>
  </si>
  <si>
    <t>Billing Request- 00101250</t>
  </si>
  <si>
    <t>a6JHn8471356</t>
  </si>
  <si>
    <t>Billing Request- 00101251</t>
  </si>
  <si>
    <t>Billing Request- 00101254</t>
  </si>
  <si>
    <t>Billing Request- 00101256</t>
  </si>
  <si>
    <t>a6JHn7798104</t>
  </si>
  <si>
    <t>Billing Request- 00101262</t>
  </si>
  <si>
    <t>a6JHn7485347</t>
  </si>
  <si>
    <t>Billing Request- 00101264</t>
  </si>
  <si>
    <t>a6JXt1606595</t>
  </si>
  <si>
    <t>a6JXt5481292</t>
  </si>
  <si>
    <t>Billing Request- 00101268</t>
  </si>
  <si>
    <t>a6Jat4263058</t>
  </si>
  <si>
    <t>Billing Request- 00101269</t>
  </si>
  <si>
    <t>a6Jat3741253</t>
  </si>
  <si>
    <t>a6JXt9724962</t>
  </si>
  <si>
    <t>a6JHn1860445</t>
  </si>
  <si>
    <t>a6JXt9486648</t>
  </si>
  <si>
    <t>Billing Request- 00101274</t>
  </si>
  <si>
    <t>a6JXt2112674</t>
  </si>
  <si>
    <t>Billing Request- 00101275</t>
  </si>
  <si>
    <t>a6JHn4954093</t>
  </si>
  <si>
    <t>Billing Request- 00101276</t>
  </si>
  <si>
    <t>a6JXt7322454</t>
  </si>
  <si>
    <t>a6JXt3548252</t>
  </si>
  <si>
    <t>a6JHn3640633</t>
  </si>
  <si>
    <t>a6JHn7018858</t>
  </si>
  <si>
    <t>a6Jat3604144</t>
  </si>
  <si>
    <t>a6JHn4212645</t>
  </si>
  <si>
    <t>Billing Request- 00101285</t>
  </si>
  <si>
    <t>a6JXt6428764</t>
  </si>
  <si>
    <t>a6JHn7975983</t>
  </si>
  <si>
    <t>a6Jat5263793</t>
  </si>
  <si>
    <t>a6Jat8205822</t>
  </si>
  <si>
    <t>a6JHn1499778</t>
  </si>
  <si>
    <t>a6Jat1062440</t>
  </si>
  <si>
    <t>a6Jat9732778</t>
  </si>
  <si>
    <t>Billing Request- 00101303</t>
  </si>
  <si>
    <t>a6JXt6319500</t>
  </si>
  <si>
    <t>a6Jat5784110</t>
  </si>
  <si>
    <t>a6JHn3075794</t>
  </si>
  <si>
    <t>Billing Request- 00101308</t>
  </si>
  <si>
    <t>a6Jat3296660</t>
  </si>
  <si>
    <t>a6JXt5153632</t>
  </si>
  <si>
    <t>a6Jat3841550</t>
  </si>
  <si>
    <t>a6Jat7516960</t>
  </si>
  <si>
    <t>Billing Request- 00101312</t>
  </si>
  <si>
    <t>a6Jat8050191</t>
  </si>
  <si>
    <t>Billing Request- 00101313</t>
  </si>
  <si>
    <t>a6JXt3012883</t>
  </si>
  <si>
    <t>a6Jat1047272</t>
  </si>
  <si>
    <t>Billing Request- 00101315</t>
  </si>
  <si>
    <t>a6Jat7186712</t>
  </si>
  <si>
    <t>a6JXt5072979</t>
  </si>
  <si>
    <t>a6JHn3692043</t>
  </si>
  <si>
    <t>Billing Request- 00101322</t>
  </si>
  <si>
    <t>a6JXt8041836</t>
  </si>
  <si>
    <t>a6JHn5046113</t>
  </si>
  <si>
    <t>a6JHn1736129</t>
  </si>
  <si>
    <t>Billing Request- 00101326</t>
  </si>
  <si>
    <t>a6Jat4665326</t>
  </si>
  <si>
    <t>a6JXt1106646</t>
  </si>
  <si>
    <t>a6JXt3256787</t>
  </si>
  <si>
    <t>Billing Request- 00101334</t>
  </si>
  <si>
    <t>Billing Request- 00101336</t>
  </si>
  <si>
    <t>a6Jat4854361</t>
  </si>
  <si>
    <t>Billing Request- 00101341</t>
  </si>
  <si>
    <t>a6JXt7233398</t>
  </si>
  <si>
    <t>a6Jat7928527</t>
  </si>
  <si>
    <t>Billing Request- 00101350</t>
  </si>
  <si>
    <t>a6Jat6950477</t>
  </si>
  <si>
    <t>a6JXt1377352</t>
  </si>
  <si>
    <t>a6Jat2586703</t>
  </si>
  <si>
    <t>a6JXt4321723</t>
  </si>
  <si>
    <t>a6JXt9470588</t>
  </si>
  <si>
    <t>Billing Request- 00101362</t>
  </si>
  <si>
    <t>a6JHn3246910</t>
  </si>
  <si>
    <t>a6JHn6753751</t>
  </si>
  <si>
    <t>a6JHn1356586</t>
  </si>
  <si>
    <t>a6Jat1707302</t>
  </si>
  <si>
    <t>Billing Request- 00101367</t>
  </si>
  <si>
    <t>a6JHn3583553</t>
  </si>
  <si>
    <t>a6JHn5872117</t>
  </si>
  <si>
    <t>a6Jat9000834</t>
  </si>
  <si>
    <t>a6JXt7217012</t>
  </si>
  <si>
    <t>a6Jat8601889</t>
  </si>
  <si>
    <t>a6JXt8653803</t>
  </si>
  <si>
    <t>Billing Request- 00101374</t>
  </si>
  <si>
    <t>a6JHn1356907</t>
  </si>
  <si>
    <t>Billing Request- 00101375</t>
  </si>
  <si>
    <t>a6JHn7781554</t>
  </si>
  <si>
    <t>a6JHn1512046</t>
  </si>
  <si>
    <t>a6JHn5092999</t>
  </si>
  <si>
    <t>a6Jat8283798</t>
  </si>
  <si>
    <t>Billing Request- 00101379</t>
  </si>
  <si>
    <t>a6JXt7416175</t>
  </si>
  <si>
    <t>a6JXt3444734</t>
  </si>
  <si>
    <t>a6JXt6213397</t>
  </si>
  <si>
    <t>a6JHn7554404</t>
  </si>
  <si>
    <t>Billing Request- 00101383</t>
  </si>
  <si>
    <t>a6JHn1427572</t>
  </si>
  <si>
    <t>Billing Request- 00101385</t>
  </si>
  <si>
    <t>a6JHn4699556</t>
  </si>
  <si>
    <t>a6Jat7764896</t>
  </si>
  <si>
    <t>a6JHn1800191</t>
  </si>
  <si>
    <t>a6Jat8788907</t>
  </si>
  <si>
    <t>Billing Request- 00101392</t>
  </si>
  <si>
    <t>Billing Request- 00101394</t>
  </si>
  <si>
    <t>Billing Request- 00101395</t>
  </si>
  <si>
    <t>Billing Request- 00101396</t>
  </si>
  <si>
    <t>Billing Request- 00101397</t>
  </si>
  <si>
    <t>a6Jat8609704</t>
  </si>
  <si>
    <t>a6Jat7310193</t>
  </si>
  <si>
    <t>Billing Request- 00101400</t>
  </si>
  <si>
    <t>a6JXt3922838</t>
  </si>
  <si>
    <t>a6JXt5504975</t>
  </si>
  <si>
    <t>a6JXt4855388</t>
  </si>
  <si>
    <t>Billing Request- 00101403</t>
  </si>
  <si>
    <t>a6JXt2107585</t>
  </si>
  <si>
    <t>a6Jat7738624</t>
  </si>
  <si>
    <t>a6JXt2065035</t>
  </si>
  <si>
    <t>a6Jat3172440</t>
  </si>
  <si>
    <t>Billing Request- 00101407</t>
  </si>
  <si>
    <t>a6JXt4124541</t>
  </si>
  <si>
    <t>Billing Request- 00101408</t>
  </si>
  <si>
    <t>a6Jat3094224</t>
  </si>
  <si>
    <t>a6JHn7611347</t>
  </si>
  <si>
    <t>a6JHn3984642</t>
  </si>
  <si>
    <t>Billing Request- 00101412</t>
  </si>
  <si>
    <t>a6JHn7480687</t>
  </si>
  <si>
    <t>Billing Request- 00101417</t>
  </si>
  <si>
    <t>a6Jat5458619</t>
  </si>
  <si>
    <t>Billing Request- 00101419</t>
  </si>
  <si>
    <t>a6JXt6843777</t>
  </si>
  <si>
    <t>a6JHn8546050</t>
  </si>
  <si>
    <t>a6JXt5691140</t>
  </si>
  <si>
    <t>a6JXt2990747</t>
  </si>
  <si>
    <t>a6Jat6435425</t>
  </si>
  <si>
    <t>a6JHn5910157</t>
  </si>
  <si>
    <t>a6Jat9821924</t>
  </si>
  <si>
    <t>a6JXt3402708</t>
  </si>
  <si>
    <t>Billing Request- 00101430</t>
  </si>
  <si>
    <t>a6Jat6459880</t>
  </si>
  <si>
    <t>a6JXt4047623</t>
  </si>
  <si>
    <t>Billing Request- 00101436</t>
  </si>
  <si>
    <t>a6JXt2653502</t>
  </si>
  <si>
    <t>Billing Request- 00101440</t>
  </si>
  <si>
    <t>a6JXt9203143</t>
  </si>
  <si>
    <t>a6JXt7244360</t>
  </si>
  <si>
    <t>a6JHn4964243</t>
  </si>
  <si>
    <t>Billing Request- 00101444</t>
  </si>
  <si>
    <t>a6JXt4235507</t>
  </si>
  <si>
    <t>a6Jat7674303</t>
  </si>
  <si>
    <t>a6JHn7380100</t>
  </si>
  <si>
    <t>a6JHn3955091</t>
  </si>
  <si>
    <t>Billing Request- 00101450</t>
  </si>
  <si>
    <t>a6JHn3258787</t>
  </si>
  <si>
    <t>a6JHn4200361</t>
  </si>
  <si>
    <t>a6Jat3620107</t>
  </si>
  <si>
    <t>Billing Request- 00101454</t>
  </si>
  <si>
    <t>a6Jat3790920</t>
  </si>
  <si>
    <t>Billing Request- 00101455</t>
  </si>
  <si>
    <t>a6JXt7921821</t>
  </si>
  <si>
    <t>a6JXt2634576</t>
  </si>
  <si>
    <t>a6JHn9254946</t>
  </si>
  <si>
    <t>Billing Request- 00101464</t>
  </si>
  <si>
    <t>Billing Request- 00101465</t>
  </si>
  <si>
    <t>a6Jat8969234</t>
  </si>
  <si>
    <t>a6Jat2954202</t>
  </si>
  <si>
    <t>a6JXt9419411</t>
  </si>
  <si>
    <t>Billing Request- 00101469</t>
  </si>
  <si>
    <t>a6Jat8772007</t>
  </si>
  <si>
    <t>Billing Request- 00101470</t>
  </si>
  <si>
    <t>a6Jat3490407</t>
  </si>
  <si>
    <t>a6JHn4070487</t>
  </si>
  <si>
    <t>a6JHn3770635</t>
  </si>
  <si>
    <t>a6JXt7694136</t>
  </si>
  <si>
    <t>a6JHn8940241</t>
  </si>
  <si>
    <t>a6Jat3647964</t>
  </si>
  <si>
    <t>a6JXt9005008</t>
  </si>
  <si>
    <t>a6JXt7679985</t>
  </si>
  <si>
    <t>a6JHn8202597</t>
  </si>
  <si>
    <t>Billing Request- 00101483</t>
  </si>
  <si>
    <t>a6Jat3681120</t>
  </si>
  <si>
    <t>Billing Request- 00101488</t>
  </si>
  <si>
    <t>a6JXt1701806</t>
  </si>
  <si>
    <t>a6JXt2754666</t>
  </si>
  <si>
    <t>a6JXt1827125</t>
  </si>
  <si>
    <t>Billing Request- 00101496</t>
  </si>
  <si>
    <t>a6JHn1936359</t>
  </si>
  <si>
    <t>a6JHn8311577</t>
  </si>
  <si>
    <t>a6JHn6176130</t>
  </si>
  <si>
    <t>a6JHn7396488</t>
  </si>
  <si>
    <t>a6JHn4840340</t>
  </si>
  <si>
    <t>Billing Request- 00101502</t>
  </si>
  <si>
    <t>a6JHn8183701</t>
  </si>
  <si>
    <t>a6JHn2676290</t>
  </si>
  <si>
    <t>a6JXt1251893</t>
  </si>
  <si>
    <t>a6JXt7012365</t>
  </si>
  <si>
    <t>a6Jat2860722</t>
  </si>
  <si>
    <t>a6JHn8838718</t>
  </si>
  <si>
    <t>a6JHn5789324</t>
  </si>
  <si>
    <t>a6JXt3791018</t>
  </si>
  <si>
    <t>Billing Request- 00101513</t>
  </si>
  <si>
    <t>Billing Request- 00101514</t>
  </si>
  <si>
    <t>Billing Request- 00101515</t>
  </si>
  <si>
    <t>a6Jat2022082</t>
  </si>
  <si>
    <t>Billing Request- 00101519</t>
  </si>
  <si>
    <t>a6Jat2891289</t>
  </si>
  <si>
    <t>a6Jat4558298</t>
  </si>
  <si>
    <t>a6JXt9758068</t>
  </si>
  <si>
    <t>Billing Request- 00101526</t>
  </si>
  <si>
    <t>a6JHn5507577</t>
  </si>
  <si>
    <t>Billing Request- 00101528</t>
  </si>
  <si>
    <t>a6JHn6434660</t>
  </si>
  <si>
    <t>a6Jat9857606</t>
  </si>
  <si>
    <t>a6JXt9141900</t>
  </si>
  <si>
    <t>a6JHn7325925</t>
  </si>
  <si>
    <t>a6Jat2765563</t>
  </si>
  <si>
    <t>a6Jat7160071</t>
  </si>
  <si>
    <t>Billing Request- 00101539</t>
  </si>
  <si>
    <t>a6JHn5615562</t>
  </si>
  <si>
    <t>a6JXt5697596</t>
  </si>
  <si>
    <t>a6Jat8041150</t>
  </si>
  <si>
    <t>a6JXt1731815</t>
  </si>
  <si>
    <t>Billing Request- 00101544</t>
  </si>
  <si>
    <t>a6JXt6266537</t>
  </si>
  <si>
    <t>a6JHn4808484</t>
  </si>
  <si>
    <t>Billing Request- 00101546</t>
  </si>
  <si>
    <t>a6JHn8922493</t>
  </si>
  <si>
    <t>a6Jat1595954</t>
  </si>
  <si>
    <t>a6JHn5978973</t>
  </si>
  <si>
    <t>a6JHn5642259</t>
  </si>
  <si>
    <t>a6JXt1163295</t>
  </si>
  <si>
    <t>a6Jat2706522</t>
  </si>
  <si>
    <t>Billing Request- 00101554</t>
  </si>
  <si>
    <t>a6JHn7143103</t>
  </si>
  <si>
    <t>a6JHn2080611</t>
  </si>
  <si>
    <t>a6Jat7271320</t>
  </si>
  <si>
    <t>Billing Request- 00101562</t>
  </si>
  <si>
    <t>a6JXt1218912</t>
  </si>
  <si>
    <t>a6JHn4775348</t>
  </si>
  <si>
    <t>a6Jat2222698</t>
  </si>
  <si>
    <t>a6JXt1668300</t>
  </si>
  <si>
    <t>a6Jat9441169</t>
  </si>
  <si>
    <t>Billing Request- 00101575</t>
  </si>
  <si>
    <t>a6JHn3809837</t>
  </si>
  <si>
    <t>Billing Request- 00101577</t>
  </si>
  <si>
    <t>a6Jat2610184</t>
  </si>
  <si>
    <t>a6Jat1605920</t>
  </si>
  <si>
    <t>a6JHn7641644</t>
  </si>
  <si>
    <t>Billing Request- 00101583</t>
  </si>
  <si>
    <t>a6JXt2609837</t>
  </si>
  <si>
    <t>a6JXt2241975</t>
  </si>
  <si>
    <t>a6JHn1680808</t>
  </si>
  <si>
    <t>a6JXt7993284</t>
  </si>
  <si>
    <t>Billing Request- 00101591</t>
  </si>
  <si>
    <t>a6JXt3538486</t>
  </si>
  <si>
    <t>a6Jat5028244</t>
  </si>
  <si>
    <t>Billing Request- 00101594</t>
  </si>
  <si>
    <t>a6JXt5041390</t>
  </si>
  <si>
    <t>a6JHn5505739</t>
  </si>
  <si>
    <t>a6JHn8922002</t>
  </si>
  <si>
    <t>a6JHn7206548</t>
  </si>
  <si>
    <t>Billing Request- 00101598</t>
  </si>
  <si>
    <t>a6JHn7227966</t>
  </si>
  <si>
    <t>Billing Request- 00101599</t>
  </si>
  <si>
    <t>a6Jat5019776</t>
  </si>
  <si>
    <t>a6JXt7923105</t>
  </si>
  <si>
    <t>a6JXt9355981</t>
  </si>
  <si>
    <t>a6Jat4734010</t>
  </si>
  <si>
    <t>Billing Request- 00101606</t>
  </si>
  <si>
    <t>a6Jat5675094</t>
  </si>
  <si>
    <t>a6JXt9709790</t>
  </si>
  <si>
    <t>a6JXt4269335</t>
  </si>
  <si>
    <t>a6JXt4577047</t>
  </si>
  <si>
    <t>Billing Request- 00101612</t>
  </si>
  <si>
    <t>a6Jat1023893</t>
  </si>
  <si>
    <t>a6Jat8877614</t>
  </si>
  <si>
    <t>Billing Request- 00101614</t>
  </si>
  <si>
    <t>a6Jat9483674</t>
  </si>
  <si>
    <t>a6JHn9027501</t>
  </si>
  <si>
    <t>a6JXt4089229</t>
  </si>
  <si>
    <t>Billing Request- 00101620</t>
  </si>
  <si>
    <t>a6JHn2753913</t>
  </si>
  <si>
    <t>a6JXt7129975</t>
  </si>
  <si>
    <t>a6JXt2128985</t>
  </si>
  <si>
    <t>a6Jat3299952</t>
  </si>
  <si>
    <t>a6Jat3511065</t>
  </si>
  <si>
    <t>Billing Request- 00101627</t>
  </si>
  <si>
    <t>a6JHn1609611</t>
  </si>
  <si>
    <t>a6Jat4489742</t>
  </si>
  <si>
    <t>Billing Request- 00101632</t>
  </si>
  <si>
    <t>a6JHn6136686</t>
  </si>
  <si>
    <t>a6Jat8042900</t>
  </si>
  <si>
    <t>a6JHn4700899</t>
  </si>
  <si>
    <t>Billing Request- 00101635</t>
  </si>
  <si>
    <t>a6JXt7007810</t>
  </si>
  <si>
    <t>a6JHn6868075</t>
  </si>
  <si>
    <t>a6JHn5865071</t>
  </si>
  <si>
    <t>a6JHn5391020</t>
  </si>
  <si>
    <t>Billing Request- 00101639</t>
  </si>
  <si>
    <t>a6JXt5103508</t>
  </si>
  <si>
    <t>Billing Request- 00101640</t>
  </si>
  <si>
    <t>a6JXt3874563</t>
  </si>
  <si>
    <t>Billing Request- 00101641</t>
  </si>
  <si>
    <t>a6JXt9764165</t>
  </si>
  <si>
    <t>a6JHn8929208</t>
  </si>
  <si>
    <t>a6Jat4664158</t>
  </si>
  <si>
    <t>a6JXt7647888</t>
  </si>
  <si>
    <t>Billing Request- 00101650</t>
  </si>
  <si>
    <t>a6Jat3566756</t>
  </si>
  <si>
    <t>a6JHn1980550</t>
  </si>
  <si>
    <t>a6JHn6650131</t>
  </si>
  <si>
    <t>Billing Request- 00101653</t>
  </si>
  <si>
    <t>a6JHn2808703</t>
  </si>
  <si>
    <t>a6JXt1950689</t>
  </si>
  <si>
    <t>a6Jat8990770</t>
  </si>
  <si>
    <t>a6Jat6312637</t>
  </si>
  <si>
    <t>Billing Request- 00101661</t>
  </si>
  <si>
    <t>a6Jat9144797</t>
  </si>
  <si>
    <t>a6Jat3000277</t>
  </si>
  <si>
    <t>Billing Request- 00101665</t>
  </si>
  <si>
    <t>a6Jat4696222</t>
  </si>
  <si>
    <t>a6JHn8429263</t>
  </si>
  <si>
    <t>Billing Request- 00101668</t>
  </si>
  <si>
    <t>a6Jat1173214</t>
  </si>
  <si>
    <t>Billing Request- 00101669</t>
  </si>
  <si>
    <t>a6JHn4047737</t>
  </si>
  <si>
    <t>a6JHn3860454</t>
  </si>
  <si>
    <t>a6Jat7188870</t>
  </si>
  <si>
    <t>a6JHn6298322</t>
  </si>
  <si>
    <t>a6Jat4263701</t>
  </si>
  <si>
    <t>Billing Request- 00101675</t>
  </si>
  <si>
    <t>a6JXt3634592</t>
  </si>
  <si>
    <t>a6Jat7249336</t>
  </si>
  <si>
    <t>Billing Request- 00101677</t>
  </si>
  <si>
    <t>a6JXt6481395</t>
  </si>
  <si>
    <t>a6JXt9430150</t>
  </si>
  <si>
    <t>a6JHn3429853</t>
  </si>
  <si>
    <t>a6JXt5658782</t>
  </si>
  <si>
    <t>a6Jat8247606</t>
  </si>
  <si>
    <t>Billing Request- 00101684</t>
  </si>
  <si>
    <t>a6Jat7644275</t>
  </si>
  <si>
    <t>Billing Request- 00101685</t>
  </si>
  <si>
    <t>a6Jat1032061</t>
  </si>
  <si>
    <t>a6JXt8251038</t>
  </si>
  <si>
    <t>a6JHn4419979</t>
  </si>
  <si>
    <t>a6JXt7752669</t>
  </si>
  <si>
    <t>Billing Request- 00101691</t>
  </si>
  <si>
    <t>a6JXt7211496</t>
  </si>
  <si>
    <t>a6JHn8459060</t>
  </si>
  <si>
    <t>Billing Request- 00101694</t>
  </si>
  <si>
    <t>a6JHn8300694</t>
  </si>
  <si>
    <t>Billing Request- 00101696</t>
  </si>
  <si>
    <t>a6JHn8097624</t>
  </si>
  <si>
    <t>a6JHn9355565</t>
  </si>
  <si>
    <t>Billing Request- 00101698</t>
  </si>
  <si>
    <t>a6JHn8689594</t>
  </si>
  <si>
    <t>a6JXt9954070</t>
  </si>
  <si>
    <t>a6Jat4005495</t>
  </si>
  <si>
    <t>a6JHn9094463</t>
  </si>
  <si>
    <t>a6JHn5912097</t>
  </si>
  <si>
    <t>a6JXt1327250</t>
  </si>
  <si>
    <t>a6JHn7247184</t>
  </si>
  <si>
    <t>Billing Request- 00101708</t>
  </si>
  <si>
    <t>a6JHn8078969</t>
  </si>
  <si>
    <t>a6JXt8318019</t>
  </si>
  <si>
    <t>a6JXt5947520</t>
  </si>
  <si>
    <t>a6JHn7247255</t>
  </si>
  <si>
    <t>a6Jat6809536</t>
  </si>
  <si>
    <t>a6Jat6636947</t>
  </si>
  <si>
    <t>a6JHn4604147</t>
  </si>
  <si>
    <t>a6Jat6979519</t>
  </si>
  <si>
    <t>a6JXt4057141</t>
  </si>
  <si>
    <t>Billing Request- 00101721</t>
  </si>
  <si>
    <t>a6JXt8972832</t>
  </si>
  <si>
    <t>a6JHn7855064</t>
  </si>
  <si>
    <t>a6JHn7540806</t>
  </si>
  <si>
    <t>a6JXt2758439</t>
  </si>
  <si>
    <t>a6JXt3063881</t>
  </si>
  <si>
    <t>Billing Request- 00101738</t>
  </si>
  <si>
    <t>a6JXt9907521</t>
  </si>
  <si>
    <t>a6JHn2515780</t>
  </si>
  <si>
    <t>a6JHn4119511</t>
  </si>
  <si>
    <t>a6Jat8911074</t>
  </si>
  <si>
    <t>a6JHn3971063</t>
  </si>
  <si>
    <t>Billing Request- 00101745</t>
  </si>
  <si>
    <t>a6JHn3087752</t>
  </si>
  <si>
    <t>a6JXt6318184</t>
  </si>
  <si>
    <t>Billing Request- 00101748</t>
  </si>
  <si>
    <t>a6JXt5667750</t>
  </si>
  <si>
    <t>a6Jat9236941</t>
  </si>
  <si>
    <t>Billing Request- 00101751</t>
  </si>
  <si>
    <t>a6JXt7025440</t>
  </si>
  <si>
    <t>Billing Request- 00101752</t>
  </si>
  <si>
    <t>a6JXt1208983</t>
  </si>
  <si>
    <t>a6Jat6849893</t>
  </si>
  <si>
    <t>a6JXt6974357</t>
  </si>
  <si>
    <t>Billing Request- 00101757</t>
  </si>
  <si>
    <t>Billing Request- 00101759</t>
  </si>
  <si>
    <t>a6Jat7400214</t>
  </si>
  <si>
    <t>Billing Request- 00101762</t>
  </si>
  <si>
    <t>Billing Request- 00101764</t>
  </si>
  <si>
    <t>a6JHn5686341</t>
  </si>
  <si>
    <t>a6Jat3417105</t>
  </si>
  <si>
    <t>a6JHn4024840</t>
  </si>
  <si>
    <t>a6JHn6884702</t>
  </si>
  <si>
    <t>a6JXt8068258</t>
  </si>
  <si>
    <t>Billing Request- 00101772</t>
  </si>
  <si>
    <t>a6JXt4870860</t>
  </si>
  <si>
    <t>a6Jat2438713</t>
  </si>
  <si>
    <t>a6Jat4311495</t>
  </si>
  <si>
    <t>Billing Request- 00101777</t>
  </si>
  <si>
    <t>a6JXt9707327</t>
  </si>
  <si>
    <t>Billing Request- 00101779</t>
  </si>
  <si>
    <t>a6JXt6651210</t>
  </si>
  <si>
    <t>a6JXt9641104</t>
  </si>
  <si>
    <t>a6Jat6340871</t>
  </si>
  <si>
    <t>a6JXt5358288</t>
  </si>
  <si>
    <t>a6JXt5200727</t>
  </si>
  <si>
    <t>a6JXt1268971</t>
  </si>
  <si>
    <t>Billing Request- 00101786</t>
  </si>
  <si>
    <t>a6JHn1018934</t>
  </si>
  <si>
    <t>a6Jat8844505</t>
  </si>
  <si>
    <t>a6JHn2462804</t>
  </si>
  <si>
    <t>Billing Request- 00101790</t>
  </si>
  <si>
    <t>a6Jat3421397</t>
  </si>
  <si>
    <t>a6JHn4438621</t>
  </si>
  <si>
    <t>Billing Request- 00101796</t>
  </si>
  <si>
    <t>a6JXt7499943</t>
  </si>
  <si>
    <t>Billing Request- 00101797</t>
  </si>
  <si>
    <t>a6JHn6977392</t>
  </si>
  <si>
    <t>a6Jat6145958</t>
  </si>
  <si>
    <t>Billing Request- 00101804</t>
  </si>
  <si>
    <t>a6JHn4289564</t>
  </si>
  <si>
    <t>Billing Request- 00101805</t>
  </si>
  <si>
    <t>a6JXt8111592</t>
  </si>
  <si>
    <t>Billing Request- 00101807</t>
  </si>
  <si>
    <t>a6JHn8966558</t>
  </si>
  <si>
    <t>Billing Request- 00101808</t>
  </si>
  <si>
    <t>a6JXt7508783</t>
  </si>
  <si>
    <t>Billing Request- 00101809</t>
  </si>
  <si>
    <t>a6JXt6513945</t>
  </si>
  <si>
    <t>Billing Request- 00101811</t>
  </si>
  <si>
    <t>a6Jat8850869</t>
  </si>
  <si>
    <t>a6JHn1638397</t>
  </si>
  <si>
    <t>Billing Request- 00101817</t>
  </si>
  <si>
    <t>a6Jat1786024</t>
  </si>
  <si>
    <t>a6JHn9366276</t>
  </si>
  <si>
    <t>a6JHn6384674</t>
  </si>
  <si>
    <t>Billing Request- 00101826</t>
  </si>
  <si>
    <t>a6JXt1267525</t>
  </si>
  <si>
    <t>Billing Request- 00101829</t>
  </si>
  <si>
    <t>a6Jat6575585</t>
  </si>
  <si>
    <t>Billing Request- 00101830</t>
  </si>
  <si>
    <t>a6Jat8527850</t>
  </si>
  <si>
    <t>a6JHn9454872</t>
  </si>
  <si>
    <t>Billing Request- 00101833</t>
  </si>
  <si>
    <t>a6JXt3429177</t>
  </si>
  <si>
    <t>a6JXt6396710</t>
  </si>
  <si>
    <t>a6Jat1463407</t>
  </si>
  <si>
    <t>Billing Request- 00101838</t>
  </si>
  <si>
    <t>a6JHn9222442</t>
  </si>
  <si>
    <t>a6JXt1131929</t>
  </si>
  <si>
    <t>a6JXt4326662</t>
  </si>
  <si>
    <t>Billing Request- 00101850</t>
  </si>
  <si>
    <t>Billing Request- 00101853</t>
  </si>
  <si>
    <t>a6JHn3685245</t>
  </si>
  <si>
    <t>a6Jat3221959</t>
  </si>
  <si>
    <t>Billing Request- 00101859</t>
  </si>
  <si>
    <t>a6JHn5598122</t>
  </si>
  <si>
    <t>a6Jat8142454</t>
  </si>
  <si>
    <t>a6Jat3341663</t>
  </si>
  <si>
    <t>Billing Request- 00101864</t>
  </si>
  <si>
    <t>a6Jat5267659</t>
  </si>
  <si>
    <t>Billing Request- 00101865</t>
  </si>
  <si>
    <t>a6JHn5862643</t>
  </si>
  <si>
    <t>a6JXt3882262</t>
  </si>
  <si>
    <t>a6Jat6878116</t>
  </si>
  <si>
    <t>Billing Request- 00101871</t>
  </si>
  <si>
    <t>a6JHn3936064</t>
  </si>
  <si>
    <t>Billing Request- 00101872</t>
  </si>
  <si>
    <t>a6JHn1882740</t>
  </si>
  <si>
    <t>a6JHn7710454</t>
  </si>
  <si>
    <t>a6JXt6938942</t>
  </si>
  <si>
    <t>a6Jat4740168</t>
  </si>
  <si>
    <t>a6JHn9780505</t>
  </si>
  <si>
    <t>Billing Request- 00101880</t>
  </si>
  <si>
    <t>a6Jat5654724</t>
  </si>
  <si>
    <t>a6JHn4167297</t>
  </si>
  <si>
    <t>a6JHn3822234</t>
  </si>
  <si>
    <t>Billing Request- 00101883</t>
  </si>
  <si>
    <t>a6Jat3776760</t>
  </si>
  <si>
    <t>Billing Request- 00101884</t>
  </si>
  <si>
    <t>a6JXt8845202</t>
  </si>
  <si>
    <t>a6JHn6250468</t>
  </si>
  <si>
    <t>a6JHn9475662</t>
  </si>
  <si>
    <t>a6JXt6895559</t>
  </si>
  <si>
    <t>Billing Request- 00101891</t>
  </si>
  <si>
    <t>a6JHn1342823</t>
  </si>
  <si>
    <t>a6JHn8127058</t>
  </si>
  <si>
    <t>a6JXt8585347</t>
  </si>
  <si>
    <t>Billing Request- 00101895</t>
  </si>
  <si>
    <t>a6JHn8897508</t>
  </si>
  <si>
    <t>a6JHn6413216</t>
  </si>
  <si>
    <t>Billing Request- 00101899</t>
  </si>
  <si>
    <t>Billing Request- 00101902</t>
  </si>
  <si>
    <t>a6JHn4185169</t>
  </si>
  <si>
    <t>a6JHn6005378</t>
  </si>
  <si>
    <t>a6JXt1322802</t>
  </si>
  <si>
    <t>a6JHn1036611</t>
  </si>
  <si>
    <t>Billing Request- 00101910</t>
  </si>
  <si>
    <t>a6JXt3239236</t>
  </si>
  <si>
    <t>a6JXt5953222</t>
  </si>
  <si>
    <t>Billing Request- 00101914</t>
  </si>
  <si>
    <t>a6Jat5193055</t>
  </si>
  <si>
    <t>Billing Request- 00101916</t>
  </si>
  <si>
    <t>a6JHn5670464</t>
  </si>
  <si>
    <t>a6Jat9686751</t>
  </si>
  <si>
    <t>a6JHn4120482</t>
  </si>
  <si>
    <t>a6Jat8825067</t>
  </si>
  <si>
    <t>Billing Request- 00101925</t>
  </si>
  <si>
    <t>a6Jat8950019</t>
  </si>
  <si>
    <t>a6Jat5871762</t>
  </si>
  <si>
    <t>a6Jat9089333</t>
  </si>
  <si>
    <t>a6JXt2190891</t>
  </si>
  <si>
    <t>a6JHn2102077</t>
  </si>
  <si>
    <t>a6JHn2507070</t>
  </si>
  <si>
    <t>a6Jat2231020</t>
  </si>
  <si>
    <t>a6Jat1848565</t>
  </si>
  <si>
    <t>a6Jat3510061</t>
  </si>
  <si>
    <t>Billing Request- 00101941</t>
  </si>
  <si>
    <t>a6Jat5002161</t>
  </si>
  <si>
    <t>Billing Request- 00101942</t>
  </si>
  <si>
    <t>Billing Request- 00101943</t>
  </si>
  <si>
    <t>a6Jat8247800</t>
  </si>
  <si>
    <t>a6JXt2554516</t>
  </si>
  <si>
    <t>a6Jat5953785</t>
  </si>
  <si>
    <t>a6JHn7549850</t>
  </si>
  <si>
    <t>a6JHn4016576</t>
  </si>
  <si>
    <t>Billing Request- 00101951</t>
  </si>
  <si>
    <t>a6Jat7274180</t>
  </si>
  <si>
    <t>Billing Request- 00101953</t>
  </si>
  <si>
    <t>a6Jat8196331</t>
  </si>
  <si>
    <t>Billing Request- 00101954</t>
  </si>
  <si>
    <t>a6Jat4980521</t>
  </si>
  <si>
    <t>a6Jat3232174</t>
  </si>
  <si>
    <t>Billing Request- 00101957</t>
  </si>
  <si>
    <t>a6JHn5795431</t>
  </si>
  <si>
    <t>Billing Request- 00101958</t>
  </si>
  <si>
    <t>a6Jat7531196</t>
  </si>
  <si>
    <t>Billing Request- 00101962</t>
  </si>
  <si>
    <t>a6Jat8402427</t>
  </si>
  <si>
    <t>a6Jat7264942</t>
  </si>
  <si>
    <t>Billing Request- 00101966</t>
  </si>
  <si>
    <t>a6Jat4943509</t>
  </si>
  <si>
    <t>a6Jat5074974</t>
  </si>
  <si>
    <t>a6JXt7037796</t>
  </si>
  <si>
    <t>a6JHn6429232</t>
  </si>
  <si>
    <t>a6JHn5124760</t>
  </si>
  <si>
    <t>Billing Request- 00101976</t>
  </si>
  <si>
    <t>a6Jat4418391</t>
  </si>
  <si>
    <t>Billing Request- 00101977</t>
  </si>
  <si>
    <t>a6Jat7065068</t>
  </si>
  <si>
    <t>a6JXt1630715</t>
  </si>
  <si>
    <t>a6JXt7792054</t>
  </si>
  <si>
    <t>Billing Request- 00101981</t>
  </si>
  <si>
    <t>a6JHn5483975</t>
  </si>
  <si>
    <t>Billing Request- 00101983</t>
  </si>
  <si>
    <t>a6JHn6261044</t>
  </si>
  <si>
    <t>Billing Request- 00101987</t>
  </si>
  <si>
    <t>Billing Request- 00101988</t>
  </si>
  <si>
    <t>Billing Request- 00101989</t>
  </si>
  <si>
    <t>a6JXt5050722</t>
  </si>
  <si>
    <t>a6JHn6545607</t>
  </si>
  <si>
    <t>a6JHn8889658</t>
  </si>
  <si>
    <t>a6JHn1285020</t>
  </si>
  <si>
    <t>a6Jat1764736</t>
  </si>
  <si>
    <t>a6Jat9970343</t>
  </si>
  <si>
    <t>a6JHn9835331</t>
  </si>
  <si>
    <t>Billing Request- 00102001</t>
  </si>
  <si>
    <t>a6Jat6400050</t>
  </si>
  <si>
    <t>Billing Request- 00102002</t>
  </si>
  <si>
    <t>a6Jat3828400</t>
  </si>
  <si>
    <t>Billing Request- 00102003</t>
  </si>
  <si>
    <t>a6Jat6572108</t>
  </si>
  <si>
    <t>a6JXt5484630</t>
  </si>
  <si>
    <t>a6Jat1041739</t>
  </si>
  <si>
    <t>a6Jat8864136</t>
  </si>
  <si>
    <t>a6JXt1392646</t>
  </si>
  <si>
    <t>a6JXt1452563</t>
  </si>
  <si>
    <t>Billing Request- 00102012</t>
  </si>
  <si>
    <t>a6JXt8516545</t>
  </si>
  <si>
    <t>a6JHn6267378</t>
  </si>
  <si>
    <t>a6JXt2087196</t>
  </si>
  <si>
    <t>Billing Request- 00102015</t>
  </si>
  <si>
    <t>a6Jat9481351</t>
  </si>
  <si>
    <t>Billing Request- 00102016</t>
  </si>
  <si>
    <t>a6Jat4989543</t>
  </si>
  <si>
    <t>Billing Request- 00102021</t>
  </si>
  <si>
    <t>a6JHn8484166</t>
  </si>
  <si>
    <t>Billing Request- 00102024</t>
  </si>
  <si>
    <t>a6Jat2718032</t>
  </si>
  <si>
    <t>a6JXt5479677</t>
  </si>
  <si>
    <t>a6JXt4494905</t>
  </si>
  <si>
    <t>Billing Request- 00102029</t>
  </si>
  <si>
    <t>a6JXt4495991</t>
  </si>
  <si>
    <t>Billing Request- 00102030</t>
  </si>
  <si>
    <t>a6Jat3936857</t>
  </si>
  <si>
    <t>Billing Request- 00102032</t>
  </si>
  <si>
    <t>a6JXt6985046</t>
  </si>
  <si>
    <t>Billing Request- 00102034</t>
  </si>
  <si>
    <t>a6JHn9044888</t>
  </si>
  <si>
    <t>a6JXt3103442</t>
  </si>
  <si>
    <t>a6JXt1496104</t>
  </si>
  <si>
    <t>a6JXt4702852</t>
  </si>
  <si>
    <t>a6JHn2554938</t>
  </si>
  <si>
    <t>Billing Request- 00102045</t>
  </si>
  <si>
    <t>Billing Request- 00102046</t>
  </si>
  <si>
    <t>Billing Request- 00102050</t>
  </si>
  <si>
    <t>a6JXt2302184</t>
  </si>
  <si>
    <t>a6JHn1887163</t>
  </si>
  <si>
    <t>Billing Request- 00102053</t>
  </si>
  <si>
    <t>a6JHn6622669</t>
  </si>
  <si>
    <t>Billing Request- 00102055</t>
  </si>
  <si>
    <t>a6Jat4452862</t>
  </si>
  <si>
    <t>Billing Request- 00102056</t>
  </si>
  <si>
    <t>a6Jat4090182</t>
  </si>
  <si>
    <t>Billing Request- 00102058</t>
  </si>
  <si>
    <t>a6Jat4601686</t>
  </si>
  <si>
    <t>a6JHn6006338</t>
  </si>
  <si>
    <t>a6JXt1914505</t>
  </si>
  <si>
    <t>a6JHn3975387</t>
  </si>
  <si>
    <t>a6JHn2112928</t>
  </si>
  <si>
    <t>a6JHn2765405</t>
  </si>
  <si>
    <t>a6JXt6688883</t>
  </si>
  <si>
    <t>a6Jat8678370</t>
  </si>
  <si>
    <t>a6JHn5133084</t>
  </si>
  <si>
    <t>Billing Request- 00102068</t>
  </si>
  <si>
    <t>a6JXt2294596</t>
  </si>
  <si>
    <t>a6Jat8749473</t>
  </si>
  <si>
    <t>a6Jat2600862</t>
  </si>
  <si>
    <t>a6Jat3211487</t>
  </si>
  <si>
    <t>Billing Request- 00102072</t>
  </si>
  <si>
    <t>a6Jat3758975</t>
  </si>
  <si>
    <t>Billing Request- 00102073</t>
  </si>
  <si>
    <t>a6JXt6042815</t>
  </si>
  <si>
    <t>Billing Request- 00102074</t>
  </si>
  <si>
    <t>a6JHn5901155</t>
  </si>
  <si>
    <t>Billing Request- 00102075</t>
  </si>
  <si>
    <t>a6Jat1551324</t>
  </si>
  <si>
    <t>a6JXt5565225</t>
  </si>
  <si>
    <t>a6JXt2393146</t>
  </si>
  <si>
    <t>a6JHn1553318</t>
  </si>
  <si>
    <t>a6JXt2449725</t>
  </si>
  <si>
    <t>a6JHn1072278</t>
  </si>
  <si>
    <t>a6JXt2203724</t>
  </si>
  <si>
    <t>Billing Request- 00102087</t>
  </si>
  <si>
    <t>a6JHn3840705</t>
  </si>
  <si>
    <t>a6Jat7894842</t>
  </si>
  <si>
    <t>Billing Request- 00102089</t>
  </si>
  <si>
    <t>a6Jat9335728</t>
  </si>
  <si>
    <t>Billing Request- 00102090</t>
  </si>
  <si>
    <t>a6JXt5629123</t>
  </si>
  <si>
    <t>a6Jat6716553</t>
  </si>
  <si>
    <t>Billing Request- 00102093</t>
  </si>
  <si>
    <t>a6Jat8992849</t>
  </si>
  <si>
    <t>a6Jat9413810</t>
  </si>
  <si>
    <t>Billing Request- 00102098</t>
  </si>
  <si>
    <t>a6Jat5495901</t>
  </si>
  <si>
    <t>a6JHn4258805</t>
  </si>
  <si>
    <t>a6Jat2221178</t>
  </si>
  <si>
    <t>Billing Request- 00102102</t>
  </si>
  <si>
    <t>a6Jat9565416</t>
  </si>
  <si>
    <t>Billing Request- 00102103</t>
  </si>
  <si>
    <t>a6JXt1610902</t>
  </si>
  <si>
    <t>a6JXt1418381</t>
  </si>
  <si>
    <t>a6Jat7752786</t>
  </si>
  <si>
    <t>a6Jat5668383</t>
  </si>
  <si>
    <t>a6JXt8199955</t>
  </si>
  <si>
    <t>a6JHn1725300</t>
  </si>
  <si>
    <t>a6JXt1982913</t>
  </si>
  <si>
    <t>a6JHn3921062</t>
  </si>
  <si>
    <t>a6JHn5137270</t>
  </si>
  <si>
    <t>a6JHn7355605</t>
  </si>
  <si>
    <t>a6JHn5884127</t>
  </si>
  <si>
    <t>a6Jat8299487</t>
  </si>
  <si>
    <t>Billing Request- 00102117</t>
  </si>
  <si>
    <t>a6Jat7647386</t>
  </si>
  <si>
    <t>a6JHn1127337</t>
  </si>
  <si>
    <t>a6JHn2668494</t>
  </si>
  <si>
    <t>a6JXt6185910</t>
  </si>
  <si>
    <t>a6Jat8448041</t>
  </si>
  <si>
    <t>a6JHn9600483</t>
  </si>
  <si>
    <t>a6Jat5356256</t>
  </si>
  <si>
    <t>a6Jat9337140</t>
  </si>
  <si>
    <t>a6Jat7506795</t>
  </si>
  <si>
    <t>a6JHn7890951</t>
  </si>
  <si>
    <t>Billing Request- 00102136</t>
  </si>
  <si>
    <t>a6JHn9956212</t>
  </si>
  <si>
    <t>a6JXt9257578</t>
  </si>
  <si>
    <t>Billing Request- 00102139</t>
  </si>
  <si>
    <t>Billing Request- 00102140</t>
  </si>
  <si>
    <t>a6JHn1197144</t>
  </si>
  <si>
    <t>a6Jat1454102</t>
  </si>
  <si>
    <t>a6Jat4432496</t>
  </si>
  <si>
    <t>Billing Request- 00102147</t>
  </si>
  <si>
    <t>a6JXt4609600</t>
  </si>
  <si>
    <t>a6JHn2030722</t>
  </si>
  <si>
    <t>Billing Request- 00102150</t>
  </si>
  <si>
    <t>a6JXt2728520</t>
  </si>
  <si>
    <t>Billing Request- 00102151</t>
  </si>
  <si>
    <t>a6Jat2729886</t>
  </si>
  <si>
    <t>a6JHn8118459</t>
  </si>
  <si>
    <t>Billing Request- 00102154</t>
  </si>
  <si>
    <t>a6JXt4388404</t>
  </si>
  <si>
    <t>Billing Request- 00102155</t>
  </si>
  <si>
    <t>a6Jat7290180</t>
  </si>
  <si>
    <t>Billing Request- 00102158</t>
  </si>
  <si>
    <t>a6Jat1072149</t>
  </si>
  <si>
    <t>Billing Request- 00102159</t>
  </si>
  <si>
    <t>a6JXt4724182</t>
  </si>
  <si>
    <t>Billing Request- 00102160</t>
  </si>
  <si>
    <t>a6JXt7335540</t>
  </si>
  <si>
    <t>a6Jat1222888</t>
  </si>
  <si>
    <t>a6JXt2917457</t>
  </si>
  <si>
    <t>a6JXt4473152</t>
  </si>
  <si>
    <t>a6JHn3327151</t>
  </si>
  <si>
    <t>a6Jat9356059</t>
  </si>
  <si>
    <t>Billing Request- 00102175</t>
  </si>
  <si>
    <t>a6JXt7324847</t>
  </si>
  <si>
    <t>a6Jat1609614</t>
  </si>
  <si>
    <t>Billing Request- 00102183</t>
  </si>
  <si>
    <t>a6JHn9453001</t>
  </si>
  <si>
    <t>a6JHn7848323</t>
  </si>
  <si>
    <t>a6Jat9904849</t>
  </si>
  <si>
    <t>a6JXt3708933</t>
  </si>
  <si>
    <t>a6JXt9321592</t>
  </si>
  <si>
    <t>Billing Request- 00102190</t>
  </si>
  <si>
    <t>a6JXt5880639</t>
  </si>
  <si>
    <t>Billing Request- 00102191</t>
  </si>
  <si>
    <t>a6Jat6913626</t>
  </si>
  <si>
    <t>a6JXt7057598</t>
  </si>
  <si>
    <t>Billing Request- 00102194</t>
  </si>
  <si>
    <t>a6JXt1221337</t>
  </si>
  <si>
    <t>Billing Request- 00102195</t>
  </si>
  <si>
    <t>a6JHn6781924</t>
  </si>
  <si>
    <t>Billing Request- 00102196</t>
  </si>
  <si>
    <t>a6Jat9363019</t>
  </si>
  <si>
    <t>Billing Request- 00102197</t>
  </si>
  <si>
    <t>a6JHn7098183</t>
  </si>
  <si>
    <t>a6Jat5490723</t>
  </si>
  <si>
    <t>a6Jat5224876</t>
  </si>
  <si>
    <t>a6JXt1534875</t>
  </si>
  <si>
    <t>Billing Request- 00102207</t>
  </si>
  <si>
    <t>a6JHn1489768</t>
  </si>
  <si>
    <t>a6JHn4073227</t>
  </si>
  <si>
    <t>Billing Request- 00102214</t>
  </si>
  <si>
    <t>a6Jat3915877</t>
  </si>
  <si>
    <t>a6Jat8111802</t>
  </si>
  <si>
    <t>a6JHn8393940</t>
  </si>
  <si>
    <t>a6Jat5894791</t>
  </si>
  <si>
    <t>a6JXt3947827</t>
  </si>
  <si>
    <t>a6JXt4407843</t>
  </si>
  <si>
    <t>a6JXt8726065</t>
  </si>
  <si>
    <t>a6JHn6809230</t>
  </si>
  <si>
    <t>Billing Request- 00102227</t>
  </si>
  <si>
    <t>a6Jat1098623</t>
  </si>
  <si>
    <t>Billing Request- 00102229</t>
  </si>
  <si>
    <t>a6JXt4451332</t>
  </si>
  <si>
    <t>Billing Request- 00102231</t>
  </si>
  <si>
    <t>a6Jat2686949</t>
  </si>
  <si>
    <t>a6Jat1717087</t>
  </si>
  <si>
    <t>a6Jat2847661</t>
  </si>
  <si>
    <t>Billing Request- 00102237</t>
  </si>
  <si>
    <t>a6JXt7634179</t>
  </si>
  <si>
    <t>a6JXt2951677</t>
  </si>
  <si>
    <t>Billing Request- 00102239</t>
  </si>
  <si>
    <t>a6JHn8392365</t>
  </si>
  <si>
    <t>Billing Request- 00102240</t>
  </si>
  <si>
    <t>a6JHn5806597</t>
  </si>
  <si>
    <t>Billing Request- 00102241</t>
  </si>
  <si>
    <t>a6JHn3951259</t>
  </si>
  <si>
    <t>a6JHn9039605</t>
  </si>
  <si>
    <t>a6JXt4881016</t>
  </si>
  <si>
    <t>Billing Request- 00102246</t>
  </si>
  <si>
    <t>a6JHn3081670</t>
  </si>
  <si>
    <t>a6JHn6614760</t>
  </si>
  <si>
    <t>Billing Request- 00102249</t>
  </si>
  <si>
    <t>a6Jat7526630</t>
  </si>
  <si>
    <t>Billing Request- 00102255</t>
  </si>
  <si>
    <t>a6Jat6208860</t>
  </si>
  <si>
    <t>Billing Request- 00102256</t>
  </si>
  <si>
    <t>a6JHn9447699</t>
  </si>
  <si>
    <t>Billing Request- 00102257</t>
  </si>
  <si>
    <t>a6JXt4654534</t>
  </si>
  <si>
    <t>a6JXt4091304</t>
  </si>
  <si>
    <t>Billing Request- 00102259</t>
  </si>
  <si>
    <t>Billing Request- 00102260</t>
  </si>
  <si>
    <t>Billing Request- 00102261</t>
  </si>
  <si>
    <t>a6Jat3879823</t>
  </si>
  <si>
    <t>a6Jat4937419</t>
  </si>
  <si>
    <t>Billing Request- 00102267</t>
  </si>
  <si>
    <t>a6JHn6889428</t>
  </si>
  <si>
    <t>Billing Request- 00102268</t>
  </si>
  <si>
    <t>a6Jat6182973</t>
  </si>
  <si>
    <t>Billing Request- 00102269</t>
  </si>
  <si>
    <t>a6JXt3252091</t>
  </si>
  <si>
    <t>a6Jat1455692</t>
  </si>
  <si>
    <t>Billing Request- 00102271</t>
  </si>
  <si>
    <t>a6Jat9057843</t>
  </si>
  <si>
    <t>a6JXt7437809</t>
  </si>
  <si>
    <t>a6JHn3496387</t>
  </si>
  <si>
    <t>a6JHn9680402</t>
  </si>
  <si>
    <t>a6JHn5754314</t>
  </si>
  <si>
    <t>a6JXt4379084</t>
  </si>
  <si>
    <t>a6Jat8676852</t>
  </si>
  <si>
    <t>Billing Request- 00102283</t>
  </si>
  <si>
    <t>a6JXt6682552</t>
  </si>
  <si>
    <t>a6JXt4031676</t>
  </si>
  <si>
    <t>Billing Request- 00102285</t>
  </si>
  <si>
    <t>a6JHn6439259</t>
  </si>
  <si>
    <t>Billing Request- 00102286</t>
  </si>
  <si>
    <t>a6JXt5434109</t>
  </si>
  <si>
    <t>a6Jat7831747</t>
  </si>
  <si>
    <t>a6JHn3460898</t>
  </si>
  <si>
    <t>a6JHn1802238</t>
  </si>
  <si>
    <t>Billing Request- 00102295</t>
  </si>
  <si>
    <t>a6Jat7511643</t>
  </si>
  <si>
    <t>a6Jat9053373</t>
  </si>
  <si>
    <t>Billing Request- 00102299</t>
  </si>
  <si>
    <t>a6JHn4484579</t>
  </si>
  <si>
    <t>Billing Request- 00102300</t>
  </si>
  <si>
    <t>a6Jat6737077</t>
  </si>
  <si>
    <t>Billing Request- 00102302</t>
  </si>
  <si>
    <t>a6JHn5641950</t>
  </si>
  <si>
    <t>Billing Request- 00102305</t>
  </si>
  <si>
    <t>a6JHn9575199</t>
  </si>
  <si>
    <t>Billing Request- 00102306</t>
  </si>
  <si>
    <t>a6JXt1265461</t>
  </si>
  <si>
    <t>a6JHn3752659</t>
  </si>
  <si>
    <t>Billing Request- 00102308</t>
  </si>
  <si>
    <t>a6Jat6293979</t>
  </si>
  <si>
    <t>a6Jat2480411</t>
  </si>
  <si>
    <t>a6JHn8613214</t>
  </si>
  <si>
    <t>a6JHn2729925</t>
  </si>
  <si>
    <t>Billing Request- 00102312</t>
  </si>
  <si>
    <t>a6Jat3371530</t>
  </si>
  <si>
    <t>a6JXt9766338</t>
  </si>
  <si>
    <t>a6JXt3983232</t>
  </si>
  <si>
    <t>a6Jat1930920</t>
  </si>
  <si>
    <t>a6JXt7207157</t>
  </si>
  <si>
    <t>a6JHn2521322</t>
  </si>
  <si>
    <t>a6Jat1796123</t>
  </si>
  <si>
    <t>a6JXt8250423</t>
  </si>
  <si>
    <t>a6JHn5477850</t>
  </si>
  <si>
    <t>a6JXt7416366</t>
  </si>
  <si>
    <t>a6Jat7392603</t>
  </si>
  <si>
    <t>a6JXt8648146</t>
  </si>
  <si>
    <t>a6JHn1481169</t>
  </si>
  <si>
    <t>Billing Request- 00102333</t>
  </si>
  <si>
    <t>Billing Request- 00102339</t>
  </si>
  <si>
    <t>a6JXt6559653</t>
  </si>
  <si>
    <t>Billing Request- 00102341</t>
  </si>
  <si>
    <t>a6Jat1027018</t>
  </si>
  <si>
    <t>Billing Request- 00102345</t>
  </si>
  <si>
    <t>a6JXt2079949</t>
  </si>
  <si>
    <t>a6JHn5314628</t>
  </si>
  <si>
    <t>a6JXt7766294</t>
  </si>
  <si>
    <t>a6Jat2023838</t>
  </si>
  <si>
    <t>a6JXt9722474</t>
  </si>
  <si>
    <t>a6Jat2207782</t>
  </si>
  <si>
    <t>Billing Request- 00102352</t>
  </si>
  <si>
    <t>a6Jat6803583</t>
  </si>
  <si>
    <t>Billing Request- 00102353</t>
  </si>
  <si>
    <t>a6JHn9129496</t>
  </si>
  <si>
    <t>a6JHn2056402</t>
  </si>
  <si>
    <t>a6Jat6996458</t>
  </si>
  <si>
    <t>a6JHn7285488</t>
  </si>
  <si>
    <t>Billing Request- 00102360</t>
  </si>
  <si>
    <t>a6JHn6355946</t>
  </si>
  <si>
    <t>Billing Request- 00102361</t>
  </si>
  <si>
    <t>a6JXt6132445</t>
  </si>
  <si>
    <t>a6Jat1044843</t>
  </si>
  <si>
    <t>a6JHn8828604</t>
  </si>
  <si>
    <t>Billing Request- 00102365</t>
  </si>
  <si>
    <t>a6JXt6650003</t>
  </si>
  <si>
    <t>Billing Request- 00102366</t>
  </si>
  <si>
    <t>a6JXt7751520</t>
  </si>
  <si>
    <t>Billing Request- 00102373</t>
  </si>
  <si>
    <t>a6JXt3987988</t>
  </si>
  <si>
    <t>a6JXt8117239</t>
  </si>
  <si>
    <t>a6JXt7837038</t>
  </si>
  <si>
    <t>Billing Request- 00102379</t>
  </si>
  <si>
    <t>Billing Request- 00102386</t>
  </si>
  <si>
    <t>a6JXt1177286</t>
  </si>
  <si>
    <t>a6JXt7622837</t>
  </si>
  <si>
    <t>Billing Request- 00102391</t>
  </si>
  <si>
    <t>a6JHn5989091</t>
  </si>
  <si>
    <t>a6JXt4870352</t>
  </si>
  <si>
    <t>a6Jat6642061</t>
  </si>
  <si>
    <t>a6JHn3324436</t>
  </si>
  <si>
    <t>Billing Request- 00102399</t>
  </si>
  <si>
    <t>a6Jat6543511</t>
  </si>
  <si>
    <t>a6JHn1450060</t>
  </si>
  <si>
    <t>Billing Request- 00102401</t>
  </si>
  <si>
    <t>a6JXt7408675</t>
  </si>
  <si>
    <t>Billing Request- 00102404</t>
  </si>
  <si>
    <t>a6JHn8569691</t>
  </si>
  <si>
    <t>Billing Request- 00102406</t>
  </si>
  <si>
    <t>a6Jat8633870</t>
  </si>
  <si>
    <t>Billing Request- 00102407</t>
  </si>
  <si>
    <t>a6JXt8929859</t>
  </si>
  <si>
    <t>a6JHn7379126</t>
  </si>
  <si>
    <t>Billing Request- 00102413</t>
  </si>
  <si>
    <t>a6Jat3290763</t>
  </si>
  <si>
    <t>a6JXt6642710</t>
  </si>
  <si>
    <t>a6Jat3052579</t>
  </si>
  <si>
    <t>a6JHn3642502</t>
  </si>
  <si>
    <t>a6Jat9842784</t>
  </si>
  <si>
    <t>Billing Request- 00102427</t>
  </si>
  <si>
    <t>Billing Request- 00102430</t>
  </si>
  <si>
    <t>Billing Request- 00102435</t>
  </si>
  <si>
    <t>a6JXt8882386</t>
  </si>
  <si>
    <t>Billing Request- 00102441</t>
  </si>
  <si>
    <t>a6JHn4092823</t>
  </si>
  <si>
    <t>a6Jat6419744</t>
  </si>
  <si>
    <t>a6Jat1932848</t>
  </si>
  <si>
    <t>Billing Request- 00102451</t>
  </si>
  <si>
    <t>Billing Request- 00102452</t>
  </si>
  <si>
    <t>a6JXt7279849</t>
  </si>
  <si>
    <t>a6JXt5475710</t>
  </si>
  <si>
    <t>a6Jat7229979</t>
  </si>
  <si>
    <t>a6Jat5185348</t>
  </si>
  <si>
    <t>a6Jat6589859</t>
  </si>
  <si>
    <t>Billing Request- 00102458</t>
  </si>
  <si>
    <t>a6JXt3205548</t>
  </si>
  <si>
    <t>a6JXt7118380</t>
  </si>
  <si>
    <t>a6JXt8087672</t>
  </si>
  <si>
    <t>Billing Request- 00102463</t>
  </si>
  <si>
    <t>a6JHn2922336</t>
  </si>
  <si>
    <t>a6Jat1201855</t>
  </si>
  <si>
    <t>a6Jat6900629</t>
  </si>
  <si>
    <t>a6JHn9731347</t>
  </si>
  <si>
    <t>a6JHn9244717</t>
  </si>
  <si>
    <t>a6JHn5176583</t>
  </si>
  <si>
    <t>a6JXt9070367</t>
  </si>
  <si>
    <t>Billing Request- 00102477</t>
  </si>
  <si>
    <t>a6JHn2784367</t>
  </si>
  <si>
    <t>a6JXt7334944</t>
  </si>
  <si>
    <t>a6Jat3174986</t>
  </si>
  <si>
    <t>a6JXt1729471</t>
  </si>
  <si>
    <t>a6JXt2925327</t>
  </si>
  <si>
    <t>a6JXt7402477</t>
  </si>
  <si>
    <t>a6Jat9942483</t>
  </si>
  <si>
    <t>a6Jat7857925</t>
  </si>
  <si>
    <t>a6Jat5392839</t>
  </si>
  <si>
    <t>Billing Request- 00102489</t>
  </si>
  <si>
    <t>a6JHn2441563</t>
  </si>
  <si>
    <t>Billing Request- 00102490</t>
  </si>
  <si>
    <t>a6JHn7946950</t>
  </si>
  <si>
    <t>a6Jat2161133</t>
  </si>
  <si>
    <t>a6Jat8679345</t>
  </si>
  <si>
    <t>Billing Request- 00102496</t>
  </si>
  <si>
    <t>a6JXt7812327</t>
  </si>
  <si>
    <t>Billing Request- 00102499</t>
  </si>
  <si>
    <t>Billing Request- 00102500</t>
  </si>
  <si>
    <t>a6JHn2788737</t>
  </si>
  <si>
    <t>a6JHn6606737</t>
  </si>
  <si>
    <t>Billing Request- 00102505</t>
  </si>
  <si>
    <t>a6JXt3037343</t>
  </si>
  <si>
    <t>a6JHn7595877</t>
  </si>
  <si>
    <t>a6JHn7050186</t>
  </si>
  <si>
    <t>Billing Request- 00102515</t>
  </si>
  <si>
    <t>a6JXt3094953</t>
  </si>
  <si>
    <t>a6Jat3121398</t>
  </si>
  <si>
    <t>Billing Request- 00102518</t>
  </si>
  <si>
    <t>a6Jat8320938</t>
  </si>
  <si>
    <t>a6Jat7749788</t>
  </si>
  <si>
    <t>Billing Request- 00102521</t>
  </si>
  <si>
    <t>a6JHn3775217</t>
  </si>
  <si>
    <t>Billing Request- 00102522</t>
  </si>
  <si>
    <t>a6JXt8200858</t>
  </si>
  <si>
    <t>a6Jat9719744</t>
  </si>
  <si>
    <t>Billing Request- 00102524</t>
  </si>
  <si>
    <t>a6Jat7520573</t>
  </si>
  <si>
    <t>a6Jat5470232</t>
  </si>
  <si>
    <t>a6JHn8858567</t>
  </si>
  <si>
    <t>a6JXt3450291</t>
  </si>
  <si>
    <t>Billing Request- 00102529</t>
  </si>
  <si>
    <t>a6JHn1198800</t>
  </si>
  <si>
    <t>Billing Request- 00102533</t>
  </si>
  <si>
    <t>a6JHn3505608</t>
  </si>
  <si>
    <t>Billing Request- 00102535</t>
  </si>
  <si>
    <t>a6JXt6490139</t>
  </si>
  <si>
    <t>a6JXt2876652</t>
  </si>
  <si>
    <t>Billing Request- 00102541</t>
  </si>
  <si>
    <t>a6JHn1071876</t>
  </si>
  <si>
    <t>Billing Request- 00102544</t>
  </si>
  <si>
    <t>a6JXt5102738</t>
  </si>
  <si>
    <t>a6JHn1960763</t>
  </si>
  <si>
    <t>a6JHn3670217</t>
  </si>
  <si>
    <t>a6JHn5636557</t>
  </si>
  <si>
    <t>a6JHn4749702</t>
  </si>
  <si>
    <t>Billing Request- 00102551</t>
  </si>
  <si>
    <t>a6Jat7527253</t>
  </si>
  <si>
    <t>a6Jat2950950</t>
  </si>
  <si>
    <t>a6JXt2180243</t>
  </si>
  <si>
    <t>a6Jat5134187</t>
  </si>
  <si>
    <t>Billing Request- 00102555</t>
  </si>
  <si>
    <t>a6Jat4544080</t>
  </si>
  <si>
    <t>Billing Request- 00102556</t>
  </si>
  <si>
    <t>a6JXt9591642</t>
  </si>
  <si>
    <t>Billing Request- 00102558</t>
  </si>
  <si>
    <t>Billing Request- 00102559</t>
  </si>
  <si>
    <t>a6Jat6719060</t>
  </si>
  <si>
    <t>Billing Request- 00102561</t>
  </si>
  <si>
    <t>a6JXt8200668</t>
  </si>
  <si>
    <t>a6JXt2208687</t>
  </si>
  <si>
    <t>Billing Request- 00102563</t>
  </si>
  <si>
    <t>a6Jat8429903</t>
  </si>
  <si>
    <t>Billing Request- 00102564</t>
  </si>
  <si>
    <t>a6Jat9253208</t>
  </si>
  <si>
    <t>Billing Request- 00102565</t>
  </si>
  <si>
    <t>a6Jat7858529</t>
  </si>
  <si>
    <t>a6Jat7586532</t>
  </si>
  <si>
    <t>a6JHn2235522</t>
  </si>
  <si>
    <t>a6JXt5182250</t>
  </si>
  <si>
    <t>Billing Request- 00102571</t>
  </si>
  <si>
    <t>a6Jat3580694</t>
  </si>
  <si>
    <t>Billing Request- 00102572</t>
  </si>
  <si>
    <t>a6JXt6917343</t>
  </si>
  <si>
    <t>a6JHn4560896</t>
  </si>
  <si>
    <t>Billing Request- 00102574</t>
  </si>
  <si>
    <t>a6JHn4215960</t>
  </si>
  <si>
    <t>Billing Request- 00102575</t>
  </si>
  <si>
    <t>a6JHn7325508</t>
  </si>
  <si>
    <t>a6Jat7717783</t>
  </si>
  <si>
    <t>a6Jat4476346</t>
  </si>
  <si>
    <t>Billing Request- 00102578</t>
  </si>
  <si>
    <t>a6JHn4058847</t>
  </si>
  <si>
    <t>a6JXt3461317</t>
  </si>
  <si>
    <t>a6JHn9237538</t>
  </si>
  <si>
    <t>a6JXt1432719</t>
  </si>
  <si>
    <t>a6JHn6748566</t>
  </si>
  <si>
    <t>a6JHn1236458</t>
  </si>
  <si>
    <t>Billing Request- 00102586</t>
  </si>
  <si>
    <t>a6JHn2194551</t>
  </si>
  <si>
    <t>Billing Request- 00102592</t>
  </si>
  <si>
    <t>a6JXt1919627</t>
  </si>
  <si>
    <t>a6JHn3742610</t>
  </si>
  <si>
    <t>Billing Request- 00102597</t>
  </si>
  <si>
    <t>a6JXt6188053</t>
  </si>
  <si>
    <t>a6JHn2558866</t>
  </si>
  <si>
    <t>a6JXt7320381</t>
  </si>
  <si>
    <t>Billing Request- 00102601</t>
  </si>
  <si>
    <t>a6JHn9740342</t>
  </si>
  <si>
    <t>a6JHn9444237</t>
  </si>
  <si>
    <t>Billing Request- 00102606</t>
  </si>
  <si>
    <t>a6Jat4574029</t>
  </si>
  <si>
    <t>a6JHn1473501</t>
  </si>
  <si>
    <t>Billing Request- 00102617</t>
  </si>
  <si>
    <t>Billing Request- 00102619</t>
  </si>
  <si>
    <t>a6Jat9772560</t>
  </si>
  <si>
    <t>a6Jat8257668</t>
  </si>
  <si>
    <t>Billing Request- 00102625</t>
  </si>
  <si>
    <t>a6JHn8530215</t>
  </si>
  <si>
    <t>a6JXt6821001</t>
  </si>
  <si>
    <t>a6Jat1938428</t>
  </si>
  <si>
    <t>a6JHn4701496</t>
  </si>
  <si>
    <t>a6JXt3556730</t>
  </si>
  <si>
    <t>a6JHn2160153</t>
  </si>
  <si>
    <t>a6JHn7377248</t>
  </si>
  <si>
    <t>a6JXt3991642</t>
  </si>
  <si>
    <t>a6JXt6419560</t>
  </si>
  <si>
    <t>Billing Request- 00102635</t>
  </si>
  <si>
    <t>a6JXt9368459</t>
  </si>
  <si>
    <t>a6Jat1640737</t>
  </si>
  <si>
    <t>a6JHn8690410</t>
  </si>
  <si>
    <t>Billing Request- 00102639</t>
  </si>
  <si>
    <t>a6JHn6439343</t>
  </si>
  <si>
    <t>Billing Request- 00102640</t>
  </si>
  <si>
    <t>a6JHn2246659</t>
  </si>
  <si>
    <t>a6JHn9885104</t>
  </si>
  <si>
    <t>Billing Request- 00102642</t>
  </si>
  <si>
    <t>a6JHn9244760</t>
  </si>
  <si>
    <t>a6JXt5202935</t>
  </si>
  <si>
    <t>a6JXt2025601</t>
  </si>
  <si>
    <t>a6Jat3528952</t>
  </si>
  <si>
    <t>a6JHn1576629</t>
  </si>
  <si>
    <t>a6JHn3647164</t>
  </si>
  <si>
    <t>a6JXt4471157</t>
  </si>
  <si>
    <t>Billing Request- 00102653</t>
  </si>
  <si>
    <t>a6JHn2427340</t>
  </si>
  <si>
    <t>Billing Request- 00102654</t>
  </si>
  <si>
    <t>a6Jat2879291</t>
  </si>
  <si>
    <t>Billing Request- 00102656</t>
  </si>
  <si>
    <t>a6JXt8704605</t>
  </si>
  <si>
    <t>Billing Request- 00102657</t>
  </si>
  <si>
    <t>a6JXt9452839</t>
  </si>
  <si>
    <t>Billing Request- 00102658</t>
  </si>
  <si>
    <t>a6JHn7693058</t>
  </si>
  <si>
    <t>Billing Request- 00102659</t>
  </si>
  <si>
    <t>a6JXt3297217</t>
  </si>
  <si>
    <t>Billing Request- 00102661</t>
  </si>
  <si>
    <t>a6JHn6664747</t>
  </si>
  <si>
    <t>a6JXt4229757</t>
  </si>
  <si>
    <t>Billing Request- 00102667</t>
  </si>
  <si>
    <t>a6Jat7716334</t>
  </si>
  <si>
    <t>a6JHn9613180</t>
  </si>
  <si>
    <t>a6JHn6882664</t>
  </si>
  <si>
    <t>a6Jat4328676</t>
  </si>
  <si>
    <t>a6Jat9768768</t>
  </si>
  <si>
    <t>a6JXt7168151</t>
  </si>
  <si>
    <t>a6JHn6626809</t>
  </si>
  <si>
    <t>a6JXt2121337</t>
  </si>
  <si>
    <t>a6Jat6252015</t>
  </si>
  <si>
    <t>a6Jat1774820</t>
  </si>
  <si>
    <t>Billing Request- 00102684</t>
  </si>
  <si>
    <t>Billing Request- 00102687</t>
  </si>
  <si>
    <t>a6JHn5271120</t>
  </si>
  <si>
    <t>a6JXt6066277</t>
  </si>
  <si>
    <t>a6JHn9314402</t>
  </si>
  <si>
    <t>Billing Request- 00102691</t>
  </si>
  <si>
    <t>a6Jat3631072</t>
  </si>
  <si>
    <t>a6Jat7863551</t>
  </si>
  <si>
    <t>Billing Request- 00102693</t>
  </si>
  <si>
    <t>a6JHn8707020</t>
  </si>
  <si>
    <t>a6JHn1161501</t>
  </si>
  <si>
    <t>Billing Request- 00102697</t>
  </si>
  <si>
    <t>a6JHn5513430</t>
  </si>
  <si>
    <t>a6Jat3502581</t>
  </si>
  <si>
    <t>a6JHn6793395</t>
  </si>
  <si>
    <t>Billing Request- 00102702</t>
  </si>
  <si>
    <t>a6JHn3049700</t>
  </si>
  <si>
    <t>a6Jat4429497</t>
  </si>
  <si>
    <t>a6JXt7235831</t>
  </si>
  <si>
    <t>a6JHn6074298</t>
  </si>
  <si>
    <t>a6JHn1505286</t>
  </si>
  <si>
    <t>a6JXt4652279</t>
  </si>
  <si>
    <t>a6JXt8190079</t>
  </si>
  <si>
    <t>a6Jat7956373</t>
  </si>
  <si>
    <t>Billing Request- 00102718</t>
  </si>
  <si>
    <t>Billing Request- 00102724</t>
  </si>
  <si>
    <t>a6Jat6565925</t>
  </si>
  <si>
    <t>Billing Request- 00102727</t>
  </si>
  <si>
    <t>a6JXt1680765</t>
  </si>
  <si>
    <t>Billing Request- 00102731</t>
  </si>
  <si>
    <t>a6JHn5877764</t>
  </si>
  <si>
    <t>Billing Request- 00102732</t>
  </si>
  <si>
    <t>a6JHn3055639</t>
  </si>
  <si>
    <t>a6JHn8813111</t>
  </si>
  <si>
    <t>a6Jat4182516</t>
  </si>
  <si>
    <t>Billing Request- 00102738</t>
  </si>
  <si>
    <t>a6JXt4734796</t>
  </si>
  <si>
    <t>Billing Request- 00102740</t>
  </si>
  <si>
    <t>a6JXt4691041</t>
  </si>
  <si>
    <t>a6JHn1693713</t>
  </si>
  <si>
    <t>a6Jat8532396</t>
  </si>
  <si>
    <t>a6JHn9470736</t>
  </si>
  <si>
    <t>a6JHn3400403</t>
  </si>
  <si>
    <t>a6JXt9953228</t>
  </si>
  <si>
    <t>Billing Request- 00102754</t>
  </si>
  <si>
    <t>a6JHn9310913</t>
  </si>
  <si>
    <t>a6JXt7499837</t>
  </si>
  <si>
    <t>a6JHn3216888</t>
  </si>
  <si>
    <t>a6JHn3519917</t>
  </si>
  <si>
    <t>a6JHn4857678</t>
  </si>
  <si>
    <t>Billing Request- 00102764</t>
  </si>
  <si>
    <t>Billing Request- 00102768</t>
  </si>
  <si>
    <t>a6JHn9831302</t>
  </si>
  <si>
    <t>a6JXt3155940</t>
  </si>
  <si>
    <t>Billing Request- 00102771</t>
  </si>
  <si>
    <t>a6Jat8929550</t>
  </si>
  <si>
    <t>a6JXt3286132</t>
  </si>
  <si>
    <t>a6Jat3043149</t>
  </si>
  <si>
    <t>Billing Request- 00102775</t>
  </si>
  <si>
    <t>a6JHn4804764</t>
  </si>
  <si>
    <t>Billing Request- 00102776</t>
  </si>
  <si>
    <t>Billing Request- 00102777</t>
  </si>
  <si>
    <t>Billing Request- 00102778</t>
  </si>
  <si>
    <t>a6Jat4534222</t>
  </si>
  <si>
    <t>Billing Request- 00102781</t>
  </si>
  <si>
    <t>a6Jat4455946</t>
  </si>
  <si>
    <t>Billing Request- 00102785</t>
  </si>
  <si>
    <t>a6Jat7749412</t>
  </si>
  <si>
    <t>Billing Request- 00102786</t>
  </si>
  <si>
    <t>a6JHn4449126</t>
  </si>
  <si>
    <t>a6Jat7054562</t>
  </si>
  <si>
    <t>a6JHn4691974</t>
  </si>
  <si>
    <t>a6Jat9220978</t>
  </si>
  <si>
    <t>Billing Request- 00102795</t>
  </si>
  <si>
    <t>a6Jat1042543</t>
  </si>
  <si>
    <t>a6JXt2502609</t>
  </si>
  <si>
    <t>a6JHn4045186</t>
  </si>
  <si>
    <t>a6JXt7107511</t>
  </si>
  <si>
    <t>a6JXt6709818</t>
  </si>
  <si>
    <t>a6JHn9404621</t>
  </si>
  <si>
    <t>a6JHn4368270</t>
  </si>
  <si>
    <t>a6JXt7496909</t>
  </si>
  <si>
    <t>Billing Request- 00102805</t>
  </si>
  <si>
    <t>a6JHn5240300</t>
  </si>
  <si>
    <t>a6JHn1545899</t>
  </si>
  <si>
    <t>a6Jat5610990</t>
  </si>
  <si>
    <t>a6JHn5716623</t>
  </si>
  <si>
    <t>Billing Request- 00102812</t>
  </si>
  <si>
    <t>a6JXt8961410</t>
  </si>
  <si>
    <t>a6JHn1753643</t>
  </si>
  <si>
    <t>a6JXt8742414</t>
  </si>
  <si>
    <t>a6JHn8502556</t>
  </si>
  <si>
    <t>a6Jat7876886</t>
  </si>
  <si>
    <t>Billing Request- 00102817</t>
  </si>
  <si>
    <t>a6Jat3009073</t>
  </si>
  <si>
    <t>a6JHn7105489</t>
  </si>
  <si>
    <t>Billing Request- 00102819</t>
  </si>
  <si>
    <t>a6JHn1150685</t>
  </si>
  <si>
    <t>Billing Request- 00102820</t>
  </si>
  <si>
    <t>a6Jat8169169</t>
  </si>
  <si>
    <t>a6Jat1178342</t>
  </si>
  <si>
    <t>Billing Request- 00102822</t>
  </si>
  <si>
    <t>a6JHn5401001</t>
  </si>
  <si>
    <t>a6JXt5108037</t>
  </si>
  <si>
    <t>Billing Request- 00102824</t>
  </si>
  <si>
    <t>a6JHn5380404</t>
  </si>
  <si>
    <t>Billing Request- 00102827</t>
  </si>
  <si>
    <t>a6Jat5125311</t>
  </si>
  <si>
    <t>a6JHn5988230</t>
  </si>
  <si>
    <t>a6JXt3522637</t>
  </si>
  <si>
    <t>a6JHn8026343</t>
  </si>
  <si>
    <t>a6JXt8100485</t>
  </si>
  <si>
    <t>a6JHn9598302</t>
  </si>
  <si>
    <t>a6Jat4981687</t>
  </si>
  <si>
    <t>a6Jat7178499</t>
  </si>
  <si>
    <t>a6JHn8583737</t>
  </si>
  <si>
    <t>a6JHn3489483</t>
  </si>
  <si>
    <t>Billing Request- 00102841</t>
  </si>
  <si>
    <t>a6JHn7110062</t>
  </si>
  <si>
    <t>a6JHn3224186</t>
  </si>
  <si>
    <t>a6Jat3831255</t>
  </si>
  <si>
    <t>Billing Request- 00102844</t>
  </si>
  <si>
    <t>Billing Request- 00102847</t>
  </si>
  <si>
    <t>a6JHn1604765</t>
  </si>
  <si>
    <t>a6JXt4303493</t>
  </si>
  <si>
    <t>Billing Request- 00102852</t>
  </si>
  <si>
    <t>a6JXt4185312</t>
  </si>
  <si>
    <t>a6Jat7915805</t>
  </si>
  <si>
    <t>Billing Request- 00102855</t>
  </si>
  <si>
    <t>a6JXt2555332</t>
  </si>
  <si>
    <t>a6JHn8769529</t>
  </si>
  <si>
    <t>a6JXt2559012</t>
  </si>
  <si>
    <t>a6Jat1880007</t>
  </si>
  <si>
    <t>a6Jat4418401</t>
  </si>
  <si>
    <t>a6JHn6500544</t>
  </si>
  <si>
    <t>Billing Request- 00102865</t>
  </si>
  <si>
    <t>a6Jat7949644</t>
  </si>
  <si>
    <t>a6JHn3979157</t>
  </si>
  <si>
    <t>Billing Request- 00102870</t>
  </si>
  <si>
    <t>a6Jat8936991</t>
  </si>
  <si>
    <t>Billing Request- 00102873</t>
  </si>
  <si>
    <t>a6JXt4250427</t>
  </si>
  <si>
    <t>a6Jat3347697</t>
  </si>
  <si>
    <t>Billing Request- 00102876</t>
  </si>
  <si>
    <t>a6JHn1725375</t>
  </si>
  <si>
    <t>a6JXt1963734</t>
  </si>
  <si>
    <t>Billing Request- 00102881</t>
  </si>
  <si>
    <t>a6JXt6363202</t>
  </si>
  <si>
    <t>Billing Request- 00102882</t>
  </si>
  <si>
    <t>a6JXt9858588</t>
  </si>
  <si>
    <t>a6Jat6302655</t>
  </si>
  <si>
    <t>Billing Request- 00102887</t>
  </si>
  <si>
    <t>a6JXt5522374</t>
  </si>
  <si>
    <t>a6Jat4559613</t>
  </si>
  <si>
    <t>a6JHn1617571</t>
  </si>
  <si>
    <t>a6Jat6824399</t>
  </si>
  <si>
    <t>Billing Request- 00102891</t>
  </si>
  <si>
    <t>a6JHn5823825</t>
  </si>
  <si>
    <t>a6JHn3503866</t>
  </si>
  <si>
    <t>Billing Request- 00102893</t>
  </si>
  <si>
    <t>a6Jat1207198</t>
  </si>
  <si>
    <t>a6Jat8314955</t>
  </si>
  <si>
    <t>a6Jat3280594</t>
  </si>
  <si>
    <t>a6JHn1834708</t>
  </si>
  <si>
    <t>a6JXt7731559</t>
  </si>
  <si>
    <t>a6JXt2880198</t>
  </si>
  <si>
    <t>a6JXt9807052</t>
  </si>
  <si>
    <t>a6JXt8537577</t>
  </si>
  <si>
    <t>a6JXt4173395</t>
  </si>
  <si>
    <t>a6Jat5643359</t>
  </si>
  <si>
    <t>Billing Request- 00102908</t>
  </si>
  <si>
    <t>a6JXt4304572</t>
  </si>
  <si>
    <t>a6JXt8719030</t>
  </si>
  <si>
    <t>Billing Request- 00102910</t>
  </si>
  <si>
    <t>a6Jat6306059</t>
  </si>
  <si>
    <t>a6JHn4551449</t>
  </si>
  <si>
    <t>a6Jat3360932</t>
  </si>
  <si>
    <t>a6JHn4128167</t>
  </si>
  <si>
    <t>Billing Request- 00102914</t>
  </si>
  <si>
    <t>a6JXt6291925</t>
  </si>
  <si>
    <t>a6Jat1023435</t>
  </si>
  <si>
    <t>Billing Request- 00102917</t>
  </si>
  <si>
    <t>a6JXt5117463</t>
  </si>
  <si>
    <t>a6Jat4165058</t>
  </si>
  <si>
    <t>a6JHn5129209</t>
  </si>
  <si>
    <t>a6JXt1831937</t>
  </si>
  <si>
    <t>a6Jat2250886</t>
  </si>
  <si>
    <t>Billing Request- 00102926</t>
  </si>
  <si>
    <t>a6JHn2955767</t>
  </si>
  <si>
    <t>a6JHn3991066</t>
  </si>
  <si>
    <t>a6JHn1114753</t>
  </si>
  <si>
    <t>a6Jat7915367</t>
  </si>
  <si>
    <t>a6JXt9490760</t>
  </si>
  <si>
    <t>Billing Request- 00102931</t>
  </si>
  <si>
    <t>Billing Request- 00102933</t>
  </si>
  <si>
    <t>Billing Request- 00102934</t>
  </si>
  <si>
    <t>a6Jat4956446</t>
  </si>
  <si>
    <t>a6JHn7619216</t>
  </si>
  <si>
    <t>a6JHn3666335</t>
  </si>
  <si>
    <t>a6JXt4320261</t>
  </si>
  <si>
    <t>a6JXt9375299</t>
  </si>
  <si>
    <t>a6Jat5600265</t>
  </si>
  <si>
    <t>a6JXt4947086</t>
  </si>
  <si>
    <t>a6JHn1956777</t>
  </si>
  <si>
    <t>a6Jat6458551</t>
  </si>
  <si>
    <t>a6JHn2691506</t>
  </si>
  <si>
    <t>Billing Request- 00102952</t>
  </si>
  <si>
    <t>a6JXt4213844</t>
  </si>
  <si>
    <t>a6JHn4149216</t>
  </si>
  <si>
    <t>a6JXt8788870</t>
  </si>
  <si>
    <t>a6JHn9239400</t>
  </si>
  <si>
    <t>Billing Request- 00102964</t>
  </si>
  <si>
    <t>a6Jat2409698</t>
  </si>
  <si>
    <t>a6JHn2961408</t>
  </si>
  <si>
    <t>a6JXt4747132</t>
  </si>
  <si>
    <t>a6Jat5160331</t>
  </si>
  <si>
    <t>Billing Request- 00102968</t>
  </si>
  <si>
    <t>a6JHn5000124</t>
  </si>
  <si>
    <t>a6Jat8517170</t>
  </si>
  <si>
    <t>a6JHn7023714</t>
  </si>
  <si>
    <t>Billing Request- 00102972</t>
  </si>
  <si>
    <t>a6JXt7932005</t>
  </si>
  <si>
    <t>a6Jat1649264</t>
  </si>
  <si>
    <t>Billing Request- 00102974</t>
  </si>
  <si>
    <t>a6Jat3915675</t>
  </si>
  <si>
    <t>a6JXt6211425</t>
  </si>
  <si>
    <t>Billing Request- 00102977</t>
  </si>
  <si>
    <t>a6Jat4874370</t>
  </si>
  <si>
    <t>Billing Request- 00102978</t>
  </si>
  <si>
    <t>a6JHn8099188</t>
  </si>
  <si>
    <t>Billing Request- 00102979</t>
  </si>
  <si>
    <t>a6JXt2696190</t>
  </si>
  <si>
    <t>a6JHn7357817</t>
  </si>
  <si>
    <t>a6JXt3597713</t>
  </si>
  <si>
    <t>Billing Request- 00102986</t>
  </si>
  <si>
    <t>a6JHn4858589</t>
  </si>
  <si>
    <t>a6JHn6304154</t>
  </si>
  <si>
    <t>Billing Request- 00102992</t>
  </si>
  <si>
    <t>a6JXt5115149</t>
  </si>
  <si>
    <t>Billing Request- 00102993</t>
  </si>
  <si>
    <t>a6Jat7546043</t>
  </si>
  <si>
    <t>a6JXt6899477</t>
  </si>
  <si>
    <t>a6JHn5249352</t>
  </si>
  <si>
    <t>a6Jat4650833</t>
  </si>
  <si>
    <t>Billing Request- 00102998</t>
  </si>
  <si>
    <t>Billing Request- 00102999</t>
  </si>
  <si>
    <t>Billing Request- 00103000</t>
  </si>
  <si>
    <t>Billing Request- 00103001</t>
  </si>
  <si>
    <t>Billing Request- 00103002</t>
  </si>
  <si>
    <t>a6JXt3169994</t>
  </si>
  <si>
    <t>Billing Request- 00103003</t>
  </si>
  <si>
    <t>a6JHn6643124</t>
  </si>
  <si>
    <t>a6Jat3202126</t>
  </si>
  <si>
    <t>Billing Request- 00103005</t>
  </si>
  <si>
    <t>Billing Request- 00103008</t>
  </si>
  <si>
    <t>a6JXt9756449</t>
  </si>
  <si>
    <t>a6JHn2436716</t>
  </si>
  <si>
    <t>a6JXt1449635</t>
  </si>
  <si>
    <t>Billing Request- 00103013</t>
  </si>
  <si>
    <t>a6JXt9012615</t>
  </si>
  <si>
    <t>Billing Request- 00103014</t>
  </si>
  <si>
    <t>a6JHn7937827</t>
  </si>
  <si>
    <t>a6Jat6683777</t>
  </si>
  <si>
    <t>Billing Request- 00103019</t>
  </si>
  <si>
    <t>a6JXt5886661</t>
  </si>
  <si>
    <t>Billing Request- 00103020</t>
  </si>
  <si>
    <t>a6Jat6175175</t>
  </si>
  <si>
    <t>a6JHn5375335</t>
  </si>
  <si>
    <t>a6JHn8679439</t>
  </si>
  <si>
    <t>a6Jat8625480</t>
  </si>
  <si>
    <t>a6Jat7525972</t>
  </si>
  <si>
    <t>a6Jat3668171</t>
  </si>
  <si>
    <t>Billing Request- 00103029</t>
  </si>
  <si>
    <t>a6JHn4047223</t>
  </si>
  <si>
    <t>Billing Request- 00103032</t>
  </si>
  <si>
    <t>a6JHn1729968</t>
  </si>
  <si>
    <t>a6JHn4999043</t>
  </si>
  <si>
    <t>a6JHn3857829</t>
  </si>
  <si>
    <t>Billing Request- 00103037</t>
  </si>
  <si>
    <t>a6JHn3886103</t>
  </si>
  <si>
    <t>Billing Request- 00103039</t>
  </si>
  <si>
    <t>Billing Request- 00103040</t>
  </si>
  <si>
    <t>a6Jat5977814</t>
  </si>
  <si>
    <t>Billing Request- 00103044</t>
  </si>
  <si>
    <t>a6Jat8233072</t>
  </si>
  <si>
    <t>a6JXt4894990</t>
  </si>
  <si>
    <t>a6JHn9775661</t>
  </si>
  <si>
    <t>a6Jat7913356</t>
  </si>
  <si>
    <t>Billing Request- 00103050</t>
  </si>
  <si>
    <t>a6JXt4350726</t>
  </si>
  <si>
    <t>Billing Request- 00103051</t>
  </si>
  <si>
    <t>a6Jat6962643</t>
  </si>
  <si>
    <t>a6Jat3058008</t>
  </si>
  <si>
    <t>Billing Request- 00103055</t>
  </si>
  <si>
    <t>a6JXt6248047</t>
  </si>
  <si>
    <t>a6JHn2262175</t>
  </si>
  <si>
    <t>a6Jat1598129</t>
  </si>
  <si>
    <t>a6JXt3611522</t>
  </si>
  <si>
    <t>a6JXt8811985</t>
  </si>
  <si>
    <t>a6JHn8396001</t>
  </si>
  <si>
    <t>Billing Request- 00103064</t>
  </si>
  <si>
    <t>a6JHn8854299</t>
  </si>
  <si>
    <t>Billing Request- 00103065</t>
  </si>
  <si>
    <t>a6Jat5467033</t>
  </si>
  <si>
    <t>a6Jat5186937</t>
  </si>
  <si>
    <t>a6JXt2839491</t>
  </si>
  <si>
    <t>a6Jat2502772</t>
  </si>
  <si>
    <t>a6JHn2558682</t>
  </si>
  <si>
    <t>Billing Request- 00103072</t>
  </si>
  <si>
    <t>a6JHn9392397</t>
  </si>
  <si>
    <t>a6JXt4662454</t>
  </si>
  <si>
    <t>a6Jat6185270</t>
  </si>
  <si>
    <t>a6Jat8810454</t>
  </si>
  <si>
    <t>Billing Request- 00103078</t>
  </si>
  <si>
    <t>a6JHn7641819</t>
  </si>
  <si>
    <t>a6Jat7068380</t>
  </si>
  <si>
    <t>Billing Request- 00103085</t>
  </si>
  <si>
    <t>a6JXt8849014</t>
  </si>
  <si>
    <t>a6Jat6212745</t>
  </si>
  <si>
    <t>Billing Request- 00103087</t>
  </si>
  <si>
    <t>a6Jat6189138</t>
  </si>
  <si>
    <t>a6Jat6492766</t>
  </si>
  <si>
    <t>a6JHn9723371</t>
  </si>
  <si>
    <t>a6JXt4414013</t>
  </si>
  <si>
    <t>a6JHn6810325</t>
  </si>
  <si>
    <t>Billing Request- 00103108</t>
  </si>
  <si>
    <t>a6Jat9509420</t>
  </si>
  <si>
    <t>a6JHn2403738</t>
  </si>
  <si>
    <t>a6JXt5714597</t>
  </si>
  <si>
    <t>a6JHn7926648</t>
  </si>
  <si>
    <t>a6JXt4812149</t>
  </si>
  <si>
    <t>a6JXt6899602</t>
  </si>
  <si>
    <t>Billing Request- 00103118</t>
  </si>
  <si>
    <t>a6JHn1939699</t>
  </si>
  <si>
    <t>Billing Request- 00103119</t>
  </si>
  <si>
    <t>a6Jat2047582</t>
  </si>
  <si>
    <t>a6JXt6676201</t>
  </si>
  <si>
    <t>a6Jat6122649</t>
  </si>
  <si>
    <t>Billing Request- 00103123</t>
  </si>
  <si>
    <t>a6JXt4063287</t>
  </si>
  <si>
    <t>a6Jat4190596</t>
  </si>
  <si>
    <t>a6JXt9439429</t>
  </si>
  <si>
    <t>a6JXt8632165</t>
  </si>
  <si>
    <t>a6JXt7984488</t>
  </si>
  <si>
    <t>Billing Request- 00103128</t>
  </si>
  <si>
    <t>a6JHn3651430</t>
  </si>
  <si>
    <t>Billing Request- 00103130</t>
  </si>
  <si>
    <t>Billing Request- 00103131</t>
  </si>
  <si>
    <t>a6JHn7351273</t>
  </si>
  <si>
    <t>a6JHn6303016</t>
  </si>
  <si>
    <t>a6Jat6697615</t>
  </si>
  <si>
    <t>a6JHn7530639</t>
  </si>
  <si>
    <t>Billing Request- 00103141</t>
  </si>
  <si>
    <t>a6Jat4141473</t>
  </si>
  <si>
    <t>a6JHn9453083</t>
  </si>
  <si>
    <t>a6JXt4506027</t>
  </si>
  <si>
    <t>a6JXt9983954</t>
  </si>
  <si>
    <t>a6Jat3237541</t>
  </si>
  <si>
    <t>a6JHn7590020</t>
  </si>
  <si>
    <t>Billing Request- 00103152</t>
  </si>
  <si>
    <t>a6Jat7370134</t>
  </si>
  <si>
    <t>a6JHn4928098</t>
  </si>
  <si>
    <t>a6JXt6550773</t>
  </si>
  <si>
    <t>Billing Request- 00103155</t>
  </si>
  <si>
    <t>a6JXt6915978</t>
  </si>
  <si>
    <t>a6Jat5113922</t>
  </si>
  <si>
    <t>a6JHn8212278</t>
  </si>
  <si>
    <t>a6JXt3656601</t>
  </si>
  <si>
    <t>a6JHn8652763</t>
  </si>
  <si>
    <t>Billing Request- 00103170</t>
  </si>
  <si>
    <t>a6Jat6223184</t>
  </si>
  <si>
    <t>a6JHn1238332</t>
  </si>
  <si>
    <t>a6Jat2801242</t>
  </si>
  <si>
    <t>Billing Request- 00103173</t>
  </si>
  <si>
    <t>a6JXt8610341</t>
  </si>
  <si>
    <t>a6JHn2217192</t>
  </si>
  <si>
    <t>Billing Request- 00103178</t>
  </si>
  <si>
    <t>a6Jat9423948</t>
  </si>
  <si>
    <t>Billing Request- 00103179</t>
  </si>
  <si>
    <t>a6Jat8741447</t>
  </si>
  <si>
    <t>a6JHn9424230</t>
  </si>
  <si>
    <t>a6Jat4473726</t>
  </si>
  <si>
    <t>a6JHn9155137</t>
  </si>
  <si>
    <t>a6JHn4765929</t>
  </si>
  <si>
    <t>Billing Request- 00103190</t>
  </si>
  <si>
    <t>a6Jat4027128</t>
  </si>
  <si>
    <t>a6JXt1284865</t>
  </si>
  <si>
    <t>a6JHn7999097</t>
  </si>
  <si>
    <t>Billing Request- 00103194</t>
  </si>
  <si>
    <t>a6Jat1031325</t>
  </si>
  <si>
    <t>a6JXt3921160</t>
  </si>
  <si>
    <t>a6JXt9637783</t>
  </si>
  <si>
    <t>a6Jat4508080</t>
  </si>
  <si>
    <t>Billing Request- 00103201</t>
  </si>
  <si>
    <t>a6JHn6753744</t>
  </si>
  <si>
    <t>Billing Request- 00103204</t>
  </si>
  <si>
    <t>a6JHn6906398</t>
  </si>
  <si>
    <t>Billing Request- 00103207</t>
  </si>
  <si>
    <t>a6JXt5295390</t>
  </si>
  <si>
    <t>a6JXt1569792</t>
  </si>
  <si>
    <t>a6JXt8162586</t>
  </si>
  <si>
    <t>a6JXt4754552</t>
  </si>
  <si>
    <t>a6Jat2273300</t>
  </si>
  <si>
    <t>Billing Request- 00103217</t>
  </si>
  <si>
    <t>a6JXt3954424</t>
  </si>
  <si>
    <t>a6JXt1868201</t>
  </si>
  <si>
    <t>a6JXt1932739</t>
  </si>
  <si>
    <t>Billing Request- 00103220</t>
  </si>
  <si>
    <t>a6JXt6184666</t>
  </si>
  <si>
    <t>a6JXt6334431</t>
  </si>
  <si>
    <t>a6JXt5246633</t>
  </si>
  <si>
    <t>Billing Request- 00103225</t>
  </si>
  <si>
    <t>a6JXt7496851</t>
  </si>
  <si>
    <t>a6JHn4655209</t>
  </si>
  <si>
    <t>Billing Request- 00103227</t>
  </si>
  <si>
    <t>a6Jat4431419</t>
  </si>
  <si>
    <t>a6Jat3618679</t>
  </si>
  <si>
    <t>Billing Request- 00103232</t>
  </si>
  <si>
    <t>a6Jat7341872</t>
  </si>
  <si>
    <t>Billing Request- 00103235</t>
  </si>
  <si>
    <t>Billing Request- 00103236</t>
  </si>
  <si>
    <t>a6JHn8716630</t>
  </si>
  <si>
    <t>a6JXt4515139</t>
  </si>
  <si>
    <t>Billing Request- 00103238</t>
  </si>
  <si>
    <t>a6Jat5171220</t>
  </si>
  <si>
    <t>a6JXt5210028</t>
  </si>
  <si>
    <t>a6JXt8447413</t>
  </si>
  <si>
    <t>Billing Request- 00103244</t>
  </si>
  <si>
    <t>a6JHn2514586</t>
  </si>
  <si>
    <t>a6JHn2590365</t>
  </si>
  <si>
    <t>Billing Request- 00103246</t>
  </si>
  <si>
    <t>Billing Request- 00103247</t>
  </si>
  <si>
    <t>Billing Request- 00103251</t>
  </si>
  <si>
    <t>a6Jat5924337</t>
  </si>
  <si>
    <t>a6JHn4734099</t>
  </si>
  <si>
    <t>a6Jat3410505</t>
  </si>
  <si>
    <t>Billing Request- 00103255</t>
  </si>
  <si>
    <t>Billing Request- 00103256</t>
  </si>
  <si>
    <t>Billing Request- 00103257</t>
  </si>
  <si>
    <t>Billing Request- 00103258</t>
  </si>
  <si>
    <t>a6JXt9247788</t>
  </si>
  <si>
    <t>a6JXt5593695</t>
  </si>
  <si>
    <t>a6Jat8785546</t>
  </si>
  <si>
    <t>a6JHn6314844</t>
  </si>
  <si>
    <t>a6Jat1097082</t>
  </si>
  <si>
    <t>a6JHn1060153</t>
  </si>
  <si>
    <t>Billing Request- 00103265</t>
  </si>
  <si>
    <t>a6Jat3279537</t>
  </si>
  <si>
    <t>a6Jat7129971</t>
  </si>
  <si>
    <t>a6JHn9800406</t>
  </si>
  <si>
    <t>a6Jat1785305</t>
  </si>
  <si>
    <t>a6Jat6284035</t>
  </si>
  <si>
    <t>Billing Request- 00103271</t>
  </si>
  <si>
    <t>a6JHn4884000</t>
  </si>
  <si>
    <t>a6JXt7347837</t>
  </si>
  <si>
    <t>a6Jat9950282</t>
  </si>
  <si>
    <t>a6JXt6513147</t>
  </si>
  <si>
    <t>Billing Request- 00103277</t>
  </si>
  <si>
    <t>a6Jat2655024</t>
  </si>
  <si>
    <t>Billing Request- 00103278</t>
  </si>
  <si>
    <t>a6Jat6675783</t>
  </si>
  <si>
    <t>Billing Request- 00103284</t>
  </si>
  <si>
    <t>a6Jat6170784</t>
  </si>
  <si>
    <t>Billing Request- 00103287</t>
  </si>
  <si>
    <t>a6Jat7459817</t>
  </si>
  <si>
    <t>Billing Request- 00103288</t>
  </si>
  <si>
    <t>a6JXt9959503</t>
  </si>
  <si>
    <t>Billing Request- 00103289</t>
  </si>
  <si>
    <t>a6JHn2601856</t>
  </si>
  <si>
    <t>a6JXt6539664</t>
  </si>
  <si>
    <t>a6JXt9060455</t>
  </si>
  <si>
    <t>a6JXt5083365</t>
  </si>
  <si>
    <t>a6JXt7657967</t>
  </si>
  <si>
    <t>Billing Request- 00103299</t>
  </si>
  <si>
    <t>a6Jat1394507</t>
  </si>
  <si>
    <t>a6Jat8355184</t>
  </si>
  <si>
    <t>Billing Request- 00103304</t>
  </si>
  <si>
    <t>a6JHn1495124</t>
  </si>
  <si>
    <t>Billing Request- 00103307</t>
  </si>
  <si>
    <t>a6JXt1537243</t>
  </si>
  <si>
    <t>a6JHn8281628</t>
  </si>
  <si>
    <t>a6Jat6615773</t>
  </si>
  <si>
    <t>Billing Request- 00103312</t>
  </si>
  <si>
    <t>a6JHn7320094</t>
  </si>
  <si>
    <t>Billing Request- 00103317</t>
  </si>
  <si>
    <t>Billing Request- 00103321</t>
  </si>
  <si>
    <t>a6JHn8516480</t>
  </si>
  <si>
    <t>a6Jat1865277</t>
  </si>
  <si>
    <t>a6Jat3493689</t>
  </si>
  <si>
    <t>Billing Request- 00103324</t>
  </si>
  <si>
    <t>a6JHn3012984</t>
  </si>
  <si>
    <t>a6Jat6086958</t>
  </si>
  <si>
    <t>a6JXt6418402</t>
  </si>
  <si>
    <t>a6JXt9207371</t>
  </si>
  <si>
    <t>a6JHn9220960</t>
  </si>
  <si>
    <t>Billing Request- 00103330</t>
  </si>
  <si>
    <t>a6JXt3885423</t>
  </si>
  <si>
    <t>a6Jat8692084</t>
  </si>
  <si>
    <t>a6Jat9622178</t>
  </si>
  <si>
    <t>a6JHn1837807</t>
  </si>
  <si>
    <t>a6JXt2032082</t>
  </si>
  <si>
    <t>a6JXt8498835</t>
  </si>
  <si>
    <t>Billing Request- 00103339</t>
  </si>
  <si>
    <t>a6Jat3175531</t>
  </si>
  <si>
    <t>a6JXt6688767</t>
  </si>
  <si>
    <t>a6JHn8247353</t>
  </si>
  <si>
    <t>Billing Request- 00103342</t>
  </si>
  <si>
    <t>a6Jat3520163</t>
  </si>
  <si>
    <t>a6Jat9721090</t>
  </si>
  <si>
    <t>a6JXt6503422</t>
  </si>
  <si>
    <t>a6JXt1866695</t>
  </si>
  <si>
    <t>a6Jat1738071</t>
  </si>
  <si>
    <t>Billing Request- 00103350</t>
  </si>
  <si>
    <t>a6JHn1968191</t>
  </si>
  <si>
    <t>Billing Request- 00103351</t>
  </si>
  <si>
    <t>a6Jat7669589</t>
  </si>
  <si>
    <t>Billing Request- 00103355</t>
  </si>
  <si>
    <t>a6Jat7509604</t>
  </si>
  <si>
    <t>Billing Request- 00103358</t>
  </si>
  <si>
    <t>a6Jat2511667</t>
  </si>
  <si>
    <t>Billing Request- 00103359</t>
  </si>
  <si>
    <t>a6Jat3577642</t>
  </si>
  <si>
    <t>Billing Request- 00103360</t>
  </si>
  <si>
    <t>a6JHn9214464</t>
  </si>
  <si>
    <t>a6JXt5991806</t>
  </si>
  <si>
    <t>a6Jat2981728</t>
  </si>
  <si>
    <t>Billing Request- 00103366</t>
  </si>
  <si>
    <t>a6JXt6421783</t>
  </si>
  <si>
    <t>a6JHn6038546</t>
  </si>
  <si>
    <t>Billing Request- 00103375</t>
  </si>
  <si>
    <t>a6JHn3531523</t>
  </si>
  <si>
    <t>a6Jat9056135</t>
  </si>
  <si>
    <t>Billing Request- 00103377</t>
  </si>
  <si>
    <t>a6JXt8054268</t>
  </si>
  <si>
    <t>Billing Request- 00103379</t>
  </si>
  <si>
    <t>a6JHn7852215</t>
  </si>
  <si>
    <t>a6Jat2934478</t>
  </si>
  <si>
    <t>Billing Request- 00103382</t>
  </si>
  <si>
    <t>a6JHn8165002</t>
  </si>
  <si>
    <t>Billing Request- 00103383</t>
  </si>
  <si>
    <t>a6Jat9936102</t>
  </si>
  <si>
    <t>Billing Request- 00103385</t>
  </si>
  <si>
    <t>a6JXt9979502</t>
  </si>
  <si>
    <t>a6JHn2219835</t>
  </si>
  <si>
    <t>a6JXt1679316</t>
  </si>
  <si>
    <t>a6JHn5771146</t>
  </si>
  <si>
    <t>Billing Request- 00103391</t>
  </si>
  <si>
    <t>a6Jat7181186</t>
  </si>
  <si>
    <t>Billing Request- 00103393</t>
  </si>
  <si>
    <t>a6Jat8802571</t>
  </si>
  <si>
    <t>Billing Request- 00103394</t>
  </si>
  <si>
    <t>a6JHn1456764</t>
  </si>
  <si>
    <t>a6Jat8443889</t>
  </si>
  <si>
    <t>a6JXt4052888</t>
  </si>
  <si>
    <t>a6JHn2315491</t>
  </si>
  <si>
    <t>a6JHn4363522</t>
  </si>
  <si>
    <t>a6Jat3155733</t>
  </si>
  <si>
    <t>a6JHn4764716</t>
  </si>
  <si>
    <t>a6JXt4425716</t>
  </si>
  <si>
    <t>a6Jat7695628</t>
  </si>
  <si>
    <t>a6JHn8414162</t>
  </si>
  <si>
    <t>a6JXt9425407</t>
  </si>
  <si>
    <t>Billing Request- 00103408</t>
  </si>
  <si>
    <t>a6JHn8929430</t>
  </si>
  <si>
    <t>a6Jat6759222</t>
  </si>
  <si>
    <t>a6JHn1623068</t>
  </si>
  <si>
    <t>a6JXt7605885</t>
  </si>
  <si>
    <t>Billing Request- 00103418</t>
  </si>
  <si>
    <t>a6JXt9406813</t>
  </si>
  <si>
    <t>Billing Request- 00103419</t>
  </si>
  <si>
    <t>a6JHn2821701</t>
  </si>
  <si>
    <t>a6JHn7621332</t>
  </si>
  <si>
    <t>Billing Request- 00103422</t>
  </si>
  <si>
    <t>a6JXt9482758</t>
  </si>
  <si>
    <t>a6Jat8118604</t>
  </si>
  <si>
    <t>a6Jat5444436</t>
  </si>
  <si>
    <t>Billing Request- 00103427</t>
  </si>
  <si>
    <t>a6JHn5136095</t>
  </si>
  <si>
    <t>Billing Request- 00103428</t>
  </si>
  <si>
    <t>a6JHn3031137</t>
  </si>
  <si>
    <t>a6Jat4448087</t>
  </si>
  <si>
    <t>a6Jat5091002</t>
  </si>
  <si>
    <t>a6JXt9534529</t>
  </si>
  <si>
    <t>a6JXt5857486</t>
  </si>
  <si>
    <t>a6JXt9959229</t>
  </si>
  <si>
    <t>a6JXt1190110</t>
  </si>
  <si>
    <t>Billing Request- 00103440</t>
  </si>
  <si>
    <t>a6JXt7129798</t>
  </si>
  <si>
    <t>Billing Request- 00103442</t>
  </si>
  <si>
    <t>a6Jat2091522</t>
  </si>
  <si>
    <t>a6Jat8902812</t>
  </si>
  <si>
    <t>a6JHn5788492</t>
  </si>
  <si>
    <t>Billing Request- 00103450</t>
  </si>
  <si>
    <t>a6Jat9941407</t>
  </si>
  <si>
    <t>a6JHn5293662</t>
  </si>
  <si>
    <t>a6JXt7741393</t>
  </si>
  <si>
    <t>Billing Request- 00103453</t>
  </si>
  <si>
    <t>a6JHn4635373</t>
  </si>
  <si>
    <t>a6JHn5093787</t>
  </si>
  <si>
    <t>a6Jat5743807</t>
  </si>
  <si>
    <t>Billing Request- 00103457</t>
  </si>
  <si>
    <t>a6Jat6240906</t>
  </si>
  <si>
    <t>Billing Request- 00103458</t>
  </si>
  <si>
    <t>a6Jat7429312</t>
  </si>
  <si>
    <t>Billing Request- 00103459</t>
  </si>
  <si>
    <t>a6Jat7360916</t>
  </si>
  <si>
    <t>a6Jat5951010</t>
  </si>
  <si>
    <t>a6JXt1194860</t>
  </si>
  <si>
    <t>a6JHn2460092</t>
  </si>
  <si>
    <t>a6JXt7314480</t>
  </si>
  <si>
    <t>a6JHn8478464</t>
  </si>
  <si>
    <t>Billing Request- 00103465</t>
  </si>
  <si>
    <t>a6Jat3155957</t>
  </si>
  <si>
    <t>a6Jat2118894</t>
  </si>
  <si>
    <t>Billing Request- 00103470</t>
  </si>
  <si>
    <t>a6Jat2901784</t>
  </si>
  <si>
    <t>Billing Request- 00103473</t>
  </si>
  <si>
    <t>a6JXt6321605</t>
  </si>
  <si>
    <t>Billing Request- 00103474</t>
  </si>
  <si>
    <t>a6JHn5700300</t>
  </si>
  <si>
    <t>a6JHn7639677</t>
  </si>
  <si>
    <t>a6JXt3496583</t>
  </si>
  <si>
    <t>Billing Request- 00103478</t>
  </si>
  <si>
    <t>a6Jat2653386</t>
  </si>
  <si>
    <t>a6Jat9327645</t>
  </si>
  <si>
    <t>Billing Request- 00103481</t>
  </si>
  <si>
    <t>Billing Request- 00103483</t>
  </si>
  <si>
    <t>a6JXt7044006</t>
  </si>
  <si>
    <t>a6JXt7014111</t>
  </si>
  <si>
    <t>a6JXt2131134</t>
  </si>
  <si>
    <t>Billing Request- 00103489</t>
  </si>
  <si>
    <t>a6Jat3059204</t>
  </si>
  <si>
    <t>Billing Request- 00103490</t>
  </si>
  <si>
    <t>a6Jat5050301</t>
  </si>
  <si>
    <t>a6JHn3068402</t>
  </si>
  <si>
    <t>Billing Request- 00103492</t>
  </si>
  <si>
    <t>a6JXt9297407</t>
  </si>
  <si>
    <t>Billing Request- 00103493</t>
  </si>
  <si>
    <t>a6JXt6192858</t>
  </si>
  <si>
    <t>Billing Request- 00103495</t>
  </si>
  <si>
    <t>a6JHn4795425</t>
  </si>
  <si>
    <t>Billing Request- 00103501</t>
  </si>
  <si>
    <t>a6JXt8375373</t>
  </si>
  <si>
    <t>a6Jat3068650</t>
  </si>
  <si>
    <t>a6JXt6402451</t>
  </si>
  <si>
    <t>a6Jat7397582</t>
  </si>
  <si>
    <t>a6Jat2159104</t>
  </si>
  <si>
    <t>Billing Request- 00103511</t>
  </si>
  <si>
    <t>a6JXt2914094</t>
  </si>
  <si>
    <t>a6JXt4543473</t>
  </si>
  <si>
    <t>a6Jat1756380</t>
  </si>
  <si>
    <t>a6JHn8401391</t>
  </si>
  <si>
    <t>a6JXt5413309</t>
  </si>
  <si>
    <t>a6JHn4111331</t>
  </si>
  <si>
    <t>Billing Request- 00103519</t>
  </si>
  <si>
    <t>a6JHn1161392</t>
  </si>
  <si>
    <t>Billing Request- 00103521</t>
  </si>
  <si>
    <t>a6Jat1227355</t>
  </si>
  <si>
    <t>a6JXt2327411</t>
  </si>
  <si>
    <t>Billing Request- 00103526</t>
  </si>
  <si>
    <t>a6Jat2971351</t>
  </si>
  <si>
    <t>a6Jat9342623</t>
  </si>
  <si>
    <t>a6Jat1668899</t>
  </si>
  <si>
    <t>a6Jat8447954</t>
  </si>
  <si>
    <t>a6JHn6022046</t>
  </si>
  <si>
    <t>Billing Request- 00103533</t>
  </si>
  <si>
    <t>a6JXt3594882</t>
  </si>
  <si>
    <t>a6JHn8013917</t>
  </si>
  <si>
    <t>a6JXt2671275</t>
  </si>
  <si>
    <t>a6JHn4533194</t>
  </si>
  <si>
    <t>Billing Request- 00103543</t>
  </si>
  <si>
    <t>a6JHn4297494</t>
  </si>
  <si>
    <t>a6JHn9816477</t>
  </si>
  <si>
    <t>Billing Request- 00103549</t>
  </si>
  <si>
    <t>a6JHn8993201</t>
  </si>
  <si>
    <t>Billing Request- 00103551</t>
  </si>
  <si>
    <t>a6JHn5721220</t>
  </si>
  <si>
    <t>a6JXt3928367</t>
  </si>
  <si>
    <t>a6JXt2584305</t>
  </si>
  <si>
    <t>a6JHn4168961</t>
  </si>
  <si>
    <t>a6Jat8953151</t>
  </si>
  <si>
    <t>a6JHn8967468</t>
  </si>
  <si>
    <t>Billing Request- 00103558</t>
  </si>
  <si>
    <t>a6JHn4319670</t>
  </si>
  <si>
    <t>a6JXt2100661</t>
  </si>
  <si>
    <t>a6Jat8470975</t>
  </si>
  <si>
    <t>a6Jat5855738</t>
  </si>
  <si>
    <t>Billing Request- 00103570</t>
  </si>
  <si>
    <t>a6JXt6252817</t>
  </si>
  <si>
    <t>a6JXt1519061</t>
  </si>
  <si>
    <t>a6JHn1833582</t>
  </si>
  <si>
    <t>a6JHn7722820</t>
  </si>
  <si>
    <t>a6JHn6662471</t>
  </si>
  <si>
    <t>a6Jat7420346</t>
  </si>
  <si>
    <t>Billing Request- 00103577</t>
  </si>
  <si>
    <t>a6JHn7399105</t>
  </si>
  <si>
    <t>a6JHn3431866</t>
  </si>
  <si>
    <t>a6JHn9586543</t>
  </si>
  <si>
    <t>a6JXt9470972</t>
  </si>
  <si>
    <t>a6JHn9973709</t>
  </si>
  <si>
    <t>Billing Request- 00103582</t>
  </si>
  <si>
    <t>a6JXt1794762</t>
  </si>
  <si>
    <t>a6JHn6836177</t>
  </si>
  <si>
    <t>a6Jat3672979</t>
  </si>
  <si>
    <t>a6Jat2857991</t>
  </si>
  <si>
    <t>Billing Request- 00103587</t>
  </si>
  <si>
    <t>a6JHn5704132</t>
  </si>
  <si>
    <t>a6JXt7561237</t>
  </si>
  <si>
    <t>Billing Request- 00103591</t>
  </si>
  <si>
    <t>Billing Request- 00103592</t>
  </si>
  <si>
    <t>Billing Request- 00103595</t>
  </si>
  <si>
    <t>a6Jat1073535</t>
  </si>
  <si>
    <t>a6JXt1003987</t>
  </si>
  <si>
    <t>Billing Request- 00103601</t>
  </si>
  <si>
    <t>Billing Request- 00103604</t>
  </si>
  <si>
    <t>Billing Request- 00103608</t>
  </si>
  <si>
    <t>a6Jat3296860</t>
  </si>
  <si>
    <t>a6JHn4270865</t>
  </si>
  <si>
    <t>a6Jat7176698</t>
  </si>
  <si>
    <t>a6JXt9034996</t>
  </si>
  <si>
    <t>a6Jat5037874</t>
  </si>
  <si>
    <t>Billing Request- 00103613</t>
  </si>
  <si>
    <t>a6Jat3576306</t>
  </si>
  <si>
    <t>Billing Request- 00103615</t>
  </si>
  <si>
    <t>a6JHn4398011</t>
  </si>
  <si>
    <t>Billing Request- 00103619</t>
  </si>
  <si>
    <t>a6JHn9459049</t>
  </si>
  <si>
    <t>Billing Request- 00103620</t>
  </si>
  <si>
    <t>a6JHn6411077</t>
  </si>
  <si>
    <t>Billing Request- 00103621</t>
  </si>
  <si>
    <t>a6JHn8430054</t>
  </si>
  <si>
    <t>a6JHn5336549</t>
  </si>
  <si>
    <t>a6JHn7327471</t>
  </si>
  <si>
    <t>Billing Request- 00103625</t>
  </si>
  <si>
    <t>a6JXt4550852</t>
  </si>
  <si>
    <t>a6JXt9850030</t>
  </si>
  <si>
    <t>a6Jat2305714</t>
  </si>
  <si>
    <t>a6JXt5228381</t>
  </si>
  <si>
    <t>a6JHn7853533</t>
  </si>
  <si>
    <t>a6Jat2928204</t>
  </si>
  <si>
    <t>a6JHn6753656</t>
  </si>
  <si>
    <t>a6JHn2748411</t>
  </si>
  <si>
    <t>a6Jat9999150</t>
  </si>
  <si>
    <t>a6JHn4368381</t>
  </si>
  <si>
    <t>a6JXt7690564</t>
  </si>
  <si>
    <t>a6JHn1608334</t>
  </si>
  <si>
    <t>Billing Request- 00103641</t>
  </si>
  <si>
    <t>a6JXt8679757</t>
  </si>
  <si>
    <t>Billing Request- 00103643</t>
  </si>
  <si>
    <t>a6JHn1015592</t>
  </si>
  <si>
    <t>a6JHn6143988</t>
  </si>
  <si>
    <t>a6JXt5418842</t>
  </si>
  <si>
    <t>a6JHn3745603</t>
  </si>
  <si>
    <t>a6JHn5596079</t>
  </si>
  <si>
    <t>a6JXt5379562</t>
  </si>
  <si>
    <t>a6JHn1937407</t>
  </si>
  <si>
    <t>a6JHn5906655</t>
  </si>
  <si>
    <t>Billing Request- 00103657</t>
  </si>
  <si>
    <t>a6Jat3072188</t>
  </si>
  <si>
    <t>a6JXt9570902</t>
  </si>
  <si>
    <t>a6Jat8448219</t>
  </si>
  <si>
    <t>a6JHn4391642</t>
  </si>
  <si>
    <t>a6Jat8292352</t>
  </si>
  <si>
    <t>a6JHn3577182</t>
  </si>
  <si>
    <t>a6JXt6262297</t>
  </si>
  <si>
    <t>a6Jat8482146</t>
  </si>
  <si>
    <t>a6JXt8097119</t>
  </si>
  <si>
    <t>a6Jat9367001</t>
  </si>
  <si>
    <t>a6JHn4813541</t>
  </si>
  <si>
    <t>a6Jat4002885</t>
  </si>
  <si>
    <t>a6JXt5490514</t>
  </si>
  <si>
    <t>Billing Request- 00103673</t>
  </si>
  <si>
    <t>a6JXt5663288</t>
  </si>
  <si>
    <t>a6JXt7946251</t>
  </si>
  <si>
    <t>a6JXt7262685</t>
  </si>
  <si>
    <t>a6JHn4935776</t>
  </si>
  <si>
    <t>a6JHn8033901</t>
  </si>
  <si>
    <t>Billing Request- 00103681</t>
  </si>
  <si>
    <t>a6JXt1915734</t>
  </si>
  <si>
    <t>Billing Request- 00103686</t>
  </si>
  <si>
    <t>a6JXt7571778</t>
  </si>
  <si>
    <t>a6Jat5673376</t>
  </si>
  <si>
    <t>Billing Request- 00103693</t>
  </si>
  <si>
    <t>a6Jat5626623</t>
  </si>
  <si>
    <t>a6JXt2089011</t>
  </si>
  <si>
    <t>a6JHn9974216</t>
  </si>
  <si>
    <t>Billing Request- 00103696</t>
  </si>
  <si>
    <t>Billing Request- 00103698</t>
  </si>
  <si>
    <t>a6Jat5277271</t>
  </si>
  <si>
    <t>a6Jat1561731</t>
  </si>
  <si>
    <t>a6JXt8301508</t>
  </si>
  <si>
    <t>Billing Request- 00103701</t>
  </si>
  <si>
    <t>a6JXt5537913</t>
  </si>
  <si>
    <t>Billing Request- 00103703</t>
  </si>
  <si>
    <t>Billing Request- 00103707</t>
  </si>
  <si>
    <t>a6JXt2014810</t>
  </si>
  <si>
    <t>Billing Request- 00103712</t>
  </si>
  <si>
    <t>a6JHn8720628</t>
  </si>
  <si>
    <t>a6Jat8374942</t>
  </si>
  <si>
    <t>Billing Request- 00103716</t>
  </si>
  <si>
    <t>a6JHn7525014</t>
  </si>
  <si>
    <t>a6JHn2261173</t>
  </si>
  <si>
    <t>a6JHn9879857</t>
  </si>
  <si>
    <t>a6JXt7965359</t>
  </si>
  <si>
    <t>a6JXt1028039</t>
  </si>
  <si>
    <t>Billing Request- 00103723</t>
  </si>
  <si>
    <t>a6Jat4428215</t>
  </si>
  <si>
    <t>Billing Request- 00103724</t>
  </si>
  <si>
    <t>a6JHn4513487</t>
  </si>
  <si>
    <t>Billing Request- 00103728</t>
  </si>
  <si>
    <t>Billing Request- 00103731</t>
  </si>
  <si>
    <t>a6JHn2500400</t>
  </si>
  <si>
    <t>a6JHn4034533</t>
  </si>
  <si>
    <t>a6Jat3963309</t>
  </si>
  <si>
    <t>a6JXt4963122</t>
  </si>
  <si>
    <t>Billing Request- 00103737</t>
  </si>
  <si>
    <t>a6JHn2251886</t>
  </si>
  <si>
    <t>Billing Request- 00103738</t>
  </si>
  <si>
    <t>a6JXt3513725</t>
  </si>
  <si>
    <t>a6JXt6370127</t>
  </si>
  <si>
    <t>Billing Request- 00103741</t>
  </si>
  <si>
    <t>a6Jat2552275</t>
  </si>
  <si>
    <t>a6Jat5289503</t>
  </si>
  <si>
    <t>a6Jat1356625</t>
  </si>
  <si>
    <t>a6JHn6944494</t>
  </si>
  <si>
    <t>Billing Request- 00103746</t>
  </si>
  <si>
    <t>a6JXt8235722</t>
  </si>
  <si>
    <t>a6JXt9156609</t>
  </si>
  <si>
    <t>a6JHn5890057</t>
  </si>
  <si>
    <t>Billing Request- 00103749</t>
  </si>
  <si>
    <t>a6JHn7095631</t>
  </si>
  <si>
    <t>Billing Request- 00103750</t>
  </si>
  <si>
    <t>a6JHn6117220</t>
  </si>
  <si>
    <t>a6JXt2557530</t>
  </si>
  <si>
    <t>Billing Request- 00103752</t>
  </si>
  <si>
    <t>a6JHn8414740</t>
  </si>
  <si>
    <t>Billing Request- 00103754</t>
  </si>
  <si>
    <t>a6Jat1472528</t>
  </si>
  <si>
    <t>a6JHn1606868</t>
  </si>
  <si>
    <t>Billing Request- 00103756</t>
  </si>
  <si>
    <t>a6JXt7813283</t>
  </si>
  <si>
    <t>a6Jat7421774</t>
  </si>
  <si>
    <t>Billing Request- 00103758</t>
  </si>
  <si>
    <t>a6Jat5386963</t>
  </si>
  <si>
    <t>a6Jat8265605</t>
  </si>
  <si>
    <t>Billing Request- 00103764</t>
  </si>
  <si>
    <t>a6Jat8687293</t>
  </si>
  <si>
    <t>a6JHn4801392</t>
  </si>
  <si>
    <t>Billing Request- 00103769</t>
  </si>
  <si>
    <t>a6Jat1353281</t>
  </si>
  <si>
    <t>a6Jat8406076</t>
  </si>
  <si>
    <t>a6JHn7404736</t>
  </si>
  <si>
    <t>a6Jat7786802</t>
  </si>
  <si>
    <t>Billing Request- 00103777</t>
  </si>
  <si>
    <t>a6Jat5439291</t>
  </si>
  <si>
    <t>a6Jat9802287</t>
  </si>
  <si>
    <t>a6JXt7830376</t>
  </si>
  <si>
    <t>a6Jat2261524</t>
  </si>
  <si>
    <t>Billing Request- 00103783</t>
  </si>
  <si>
    <t>a6JHn9165174</t>
  </si>
  <si>
    <t>a6JXt1508048</t>
  </si>
  <si>
    <t>a6JXt6518619</t>
  </si>
  <si>
    <t>Billing Request- 00103787</t>
  </si>
  <si>
    <t>a6Jat6313373</t>
  </si>
  <si>
    <t>Billing Request- 00103788</t>
  </si>
  <si>
    <t>a6JXt7951201</t>
  </si>
  <si>
    <t>a6JHn9360044</t>
  </si>
  <si>
    <t>a6JXt1014686</t>
  </si>
  <si>
    <t>Billing Request- 00103791</t>
  </si>
  <si>
    <t>a6JXt8489936</t>
  </si>
  <si>
    <t>Billing Request- 00103793</t>
  </si>
  <si>
    <t>a6JXt1826059</t>
  </si>
  <si>
    <t>a6JXt9607710</t>
  </si>
  <si>
    <t>a6JHn1629675</t>
  </si>
  <si>
    <t>a6JHn9674426</t>
  </si>
  <si>
    <t>a6JHn7896019</t>
  </si>
  <si>
    <t>Billing Request- 00103801</t>
  </si>
  <si>
    <t>a6Jat8759763</t>
  </si>
  <si>
    <t>a6JHn6054650</t>
  </si>
  <si>
    <t>a6JHn6277201</t>
  </si>
  <si>
    <t>a6JHn8768229</t>
  </si>
  <si>
    <t>Billing Request- 00103808</t>
  </si>
  <si>
    <t>a6JXt3640755</t>
  </si>
  <si>
    <t>Billing Request- 00103818</t>
  </si>
  <si>
    <t>a6JHn3050208</t>
  </si>
  <si>
    <t>a6JHn8825980</t>
  </si>
  <si>
    <t>Billing Request- 00103821</t>
  </si>
  <si>
    <t>a6JHn2069443</t>
  </si>
  <si>
    <t>Billing Request- 00103822</t>
  </si>
  <si>
    <t>a6JHn2516110</t>
  </si>
  <si>
    <t>Billing Request- 00103823</t>
  </si>
  <si>
    <t>a6Jat4831710</t>
  </si>
  <si>
    <t>a6JXt8880122</t>
  </si>
  <si>
    <t>a6JHn9021919</t>
  </si>
  <si>
    <t>Billing Request- 00103827</t>
  </si>
  <si>
    <t>a6Jat4319926</t>
  </si>
  <si>
    <t>Billing Request- 00103828</t>
  </si>
  <si>
    <t>a6JHn7144947</t>
  </si>
  <si>
    <t>a6JXt1661504</t>
  </si>
  <si>
    <t>a6JXt7106894</t>
  </si>
  <si>
    <t>a6JHn8205617</t>
  </si>
  <si>
    <t>a6Jat2277184</t>
  </si>
  <si>
    <t>Billing Request- 00103840</t>
  </si>
  <si>
    <t>a6JHn4557108</t>
  </si>
  <si>
    <t>Billing Request- 00103841</t>
  </si>
  <si>
    <t>a6JHn9576230</t>
  </si>
  <si>
    <t>Billing Request- 00103843</t>
  </si>
  <si>
    <t>a6Jat5369397</t>
  </si>
  <si>
    <t>a6Jat2026453</t>
  </si>
  <si>
    <t>a6JHn4170043</t>
  </si>
  <si>
    <t>a6JHn7112026</t>
  </si>
  <si>
    <t>a6JHn4684950</t>
  </si>
  <si>
    <t>Billing Request- 00103851</t>
  </si>
  <si>
    <t>a6JXt5064263</t>
  </si>
  <si>
    <t>Billing Request- 00103853</t>
  </si>
  <si>
    <t>a6JHn1059462</t>
  </si>
  <si>
    <t>Billing Request- 00103854</t>
  </si>
  <si>
    <t>a6Jat3217236</t>
  </si>
  <si>
    <t>a6Jat7670013</t>
  </si>
  <si>
    <t>a6JHn7964371</t>
  </si>
  <si>
    <t>a6JHn3267912</t>
  </si>
  <si>
    <t>a6JXt4711227</t>
  </si>
  <si>
    <t>Billing Request- 00103861</t>
  </si>
  <si>
    <t>a6JHn5492806</t>
  </si>
  <si>
    <t>a6JXt4974479</t>
  </si>
  <si>
    <t>a6JHn3700143</t>
  </si>
  <si>
    <t>a6JXt6785543</t>
  </si>
  <si>
    <t>a6Jat4779463</t>
  </si>
  <si>
    <t>a6JXt4648112</t>
  </si>
  <si>
    <t>a6JHn6298520</t>
  </si>
  <si>
    <t>a6JHn5875697</t>
  </si>
  <si>
    <t>a6Jat5332463</t>
  </si>
  <si>
    <t>a6Jat6076534</t>
  </si>
  <si>
    <t>a6JHn2795457</t>
  </si>
  <si>
    <t>a6JHn3159151</t>
  </si>
  <si>
    <t>Billing Request- 00103876</t>
  </si>
  <si>
    <t>a6JHn9961240</t>
  </si>
  <si>
    <t>a6JXt6215397</t>
  </si>
  <si>
    <t>a6JHn9242860</t>
  </si>
  <si>
    <t>a6JHn9242791</t>
  </si>
  <si>
    <t>a6Jat4860503</t>
  </si>
  <si>
    <t>Billing Request- 00103883</t>
  </si>
  <si>
    <t>a6JXt2461117</t>
  </si>
  <si>
    <t>a6JHn8431064</t>
  </si>
  <si>
    <t>a6Jat2582733</t>
  </si>
  <si>
    <t>a6JXt1679723</t>
  </si>
  <si>
    <t>a6Jat4141461</t>
  </si>
  <si>
    <t>a6Jat5296735</t>
  </si>
  <si>
    <t>a6JHn9684844</t>
  </si>
  <si>
    <t>a6Jat4296851</t>
  </si>
  <si>
    <t>a6JHn7834768</t>
  </si>
  <si>
    <t>a6JHn6465897</t>
  </si>
  <si>
    <t>a6Jat6573051</t>
  </si>
  <si>
    <t>a6JXt3593489</t>
  </si>
  <si>
    <t>Billing Request- 00103907</t>
  </si>
  <si>
    <t>a6JXt3853054</t>
  </si>
  <si>
    <t>a6JXt2136852</t>
  </si>
  <si>
    <t>a6Jat4853743</t>
  </si>
  <si>
    <t>a6JXt9651004</t>
  </si>
  <si>
    <t>Billing Request- 00103913</t>
  </si>
  <si>
    <t>a6JXt3509644</t>
  </si>
  <si>
    <t>a6JHn3631108</t>
  </si>
  <si>
    <t>a6JHn5319521</t>
  </si>
  <si>
    <t>a6Jat9275354</t>
  </si>
  <si>
    <t>a6JHn4528607</t>
  </si>
  <si>
    <t>a6JHn8074418</t>
  </si>
  <si>
    <t>a6JXt2865954</t>
  </si>
  <si>
    <t>a6JHn1623620</t>
  </si>
  <si>
    <t>Billing Request- 00103922</t>
  </si>
  <si>
    <t>a6JHn1849218</t>
  </si>
  <si>
    <t>Billing Request- 00103923</t>
  </si>
  <si>
    <t>a6Jat9915844</t>
  </si>
  <si>
    <t>a6Jat8005648</t>
  </si>
  <si>
    <t>Billing Request- 00103925</t>
  </si>
  <si>
    <t>a6Jat1764371</t>
  </si>
  <si>
    <t>a6JHn4141275</t>
  </si>
  <si>
    <t>Billing Request- 00103927</t>
  </si>
  <si>
    <t>Billing Request- 00103928</t>
  </si>
  <si>
    <t>a6JXt3815280</t>
  </si>
  <si>
    <t>a6Jat9093035</t>
  </si>
  <si>
    <t>Billing Request- 00103932</t>
  </si>
  <si>
    <t>a6JHn6842763</t>
  </si>
  <si>
    <t>a6JXt8730667</t>
  </si>
  <si>
    <t>a6JXt6129911</t>
  </si>
  <si>
    <t>Billing Request- 00103937</t>
  </si>
  <si>
    <t>a6JXt9061690</t>
  </si>
  <si>
    <t>a6JXt6336281</t>
  </si>
  <si>
    <t>a6JHn9697797</t>
  </si>
  <si>
    <t>Billing Request- 00103942</t>
  </si>
  <si>
    <t>a6JXt5389949</t>
  </si>
  <si>
    <t>Billing Request- 00103944</t>
  </si>
  <si>
    <t>a6Jat9628927</t>
  </si>
  <si>
    <t>Billing Request- 00103945</t>
  </si>
  <si>
    <t>a6Jat3176194</t>
  </si>
  <si>
    <t>a6Jat4483414</t>
  </si>
  <si>
    <t>a6JHn8026800</t>
  </si>
  <si>
    <t>a6JHn9192836</t>
  </si>
  <si>
    <t>a6JHn7571272</t>
  </si>
  <si>
    <t>a6JXt9335542</t>
  </si>
  <si>
    <t>a6Jat2525228</t>
  </si>
  <si>
    <t>Billing Request- 00103960</t>
  </si>
  <si>
    <t>a6Jat7898079</t>
  </si>
  <si>
    <t>Billing Request- 00103961</t>
  </si>
  <si>
    <t>a6Jat5819150</t>
  </si>
  <si>
    <t>a6JXt3873929</t>
  </si>
  <si>
    <t>a6Jat6631282</t>
  </si>
  <si>
    <t>Billing Request- 00103964</t>
  </si>
  <si>
    <t>a6JXt9714850</t>
  </si>
  <si>
    <t>a6Jat8202822</t>
  </si>
  <si>
    <t>a6Jat4058567</t>
  </si>
  <si>
    <t>a6Jat6912536</t>
  </si>
  <si>
    <t>Billing Request- 00103974</t>
  </si>
  <si>
    <t>a6JHn2336917</t>
  </si>
  <si>
    <t>Billing Request- 00103975</t>
  </si>
  <si>
    <t>a6JXt4106561</t>
  </si>
  <si>
    <t>Billing Request- 00103977</t>
  </si>
  <si>
    <t>a6Jat2643732</t>
  </si>
  <si>
    <t>Billing Request- 00103978</t>
  </si>
  <si>
    <t>a6Jat8685214</t>
  </si>
  <si>
    <t>Billing Request- 00103979</t>
  </si>
  <si>
    <t>a6JXt2041864</t>
  </si>
  <si>
    <t>a6JXt1439063</t>
  </si>
  <si>
    <t>a6JHn3860940</t>
  </si>
  <si>
    <t>a6Jat3352708</t>
  </si>
  <si>
    <t>a6JXt5470985</t>
  </si>
  <si>
    <t>Billing Request- 00103984</t>
  </si>
  <si>
    <t>a6JXt7126308</t>
  </si>
  <si>
    <t>Billing Request- 00103987</t>
  </si>
  <si>
    <t>a6JXt1155497</t>
  </si>
  <si>
    <t>a6Jat5751798</t>
  </si>
  <si>
    <t>a6JHn1672781</t>
  </si>
  <si>
    <t>a6JXt4824268</t>
  </si>
  <si>
    <t>a6Jat8900098</t>
  </si>
  <si>
    <t>Billing Request- 00103995</t>
  </si>
  <si>
    <t>a6JHn1174777</t>
  </si>
  <si>
    <t>Billing Request- 00103996</t>
  </si>
  <si>
    <t>a6Jat4135537</t>
  </si>
  <si>
    <t>a6JHn1335558</t>
  </si>
  <si>
    <t>Billing Request- 00103998</t>
  </si>
  <si>
    <t>a6Jat7836874</t>
  </si>
  <si>
    <t>Billing Request- 00103999</t>
  </si>
  <si>
    <t>a6JXt9473649</t>
  </si>
  <si>
    <t>a6Jat6627597</t>
  </si>
  <si>
    <t>a6JHn8153348</t>
  </si>
  <si>
    <t>a6Jat8148217</t>
  </si>
  <si>
    <t>a6JHn8623654</t>
  </si>
  <si>
    <t>a6JHn1972168</t>
  </si>
  <si>
    <t>a6Jat4028779</t>
  </si>
  <si>
    <t>Billing Request- 00104009</t>
  </si>
  <si>
    <t>a6Jat1619381</t>
  </si>
  <si>
    <t>Billing Request- 00104012</t>
  </si>
  <si>
    <t>a6JXt1987974</t>
  </si>
  <si>
    <t>a6Jat6452440</t>
  </si>
  <si>
    <t>Billing Request- 00104019</t>
  </si>
  <si>
    <t>a6Jat1951622</t>
  </si>
  <si>
    <t>a6JXt9728436</t>
  </si>
  <si>
    <t>a6JHn5460411</t>
  </si>
  <si>
    <t>a6Jat3833703</t>
  </si>
  <si>
    <t>a6Jat7401597</t>
  </si>
  <si>
    <t>Billing Request- 00104025</t>
  </si>
  <si>
    <t>a6JXt6319447</t>
  </si>
  <si>
    <t>a6JXt2063522</t>
  </si>
  <si>
    <t>Billing Request- 00104027</t>
  </si>
  <si>
    <t>a6JHn4755707</t>
  </si>
  <si>
    <t>Billing Request- 00104030</t>
  </si>
  <si>
    <t>a6Jat4666371</t>
  </si>
  <si>
    <t>a6JXt1380231</t>
  </si>
  <si>
    <t>a6Jat4740199</t>
  </si>
  <si>
    <t>a6JXt9839210</t>
  </si>
  <si>
    <t>a6Jat4343727</t>
  </si>
  <si>
    <t>a6JHn4730809</t>
  </si>
  <si>
    <t>a6JHn6585848</t>
  </si>
  <si>
    <t>a6JXt3621681</t>
  </si>
  <si>
    <t>a6JXt9312364</t>
  </si>
  <si>
    <t>a6JXt8157610</t>
  </si>
  <si>
    <t>a6Jat4764999</t>
  </si>
  <si>
    <t>a6JXt3741023</t>
  </si>
  <si>
    <t>a6JHn7204797</t>
  </si>
  <si>
    <t>Billing Request- 00104052</t>
  </si>
  <si>
    <t>a6JHn7460741</t>
  </si>
  <si>
    <t>Billing Request- 00104056</t>
  </si>
  <si>
    <t>a6JHn2427359</t>
  </si>
  <si>
    <t>Billing Request- 00104063</t>
  </si>
  <si>
    <t>Billing Request- 00104065</t>
  </si>
  <si>
    <t>a6Jat7513719</t>
  </si>
  <si>
    <t>Billing Request- 00104077</t>
  </si>
  <si>
    <t>a6JHn9737748</t>
  </si>
  <si>
    <t>Billing Request- 00104078</t>
  </si>
  <si>
    <t>Billing Request- 00104081</t>
  </si>
  <si>
    <t>Billing Request- 00104086</t>
  </si>
  <si>
    <t>a6JXt5852075</t>
  </si>
  <si>
    <t>a6JHn9460563</t>
  </si>
  <si>
    <t>a6JXt9910192</t>
  </si>
  <si>
    <t>a6JHn8910331</t>
  </si>
  <si>
    <t>a6JXt2736962</t>
  </si>
  <si>
    <t>a6Jat4200355</t>
  </si>
  <si>
    <t>a6JHn9642054</t>
  </si>
  <si>
    <t>Billing Request- 00104098</t>
  </si>
  <si>
    <t>a6JHn7927827</t>
  </si>
  <si>
    <t>Billing Request- 00104099</t>
  </si>
  <si>
    <t>a6JXt1384720</t>
  </si>
  <si>
    <t>a6JXt4223894</t>
  </si>
  <si>
    <t>Billing Request- 00104102</t>
  </si>
  <si>
    <t>a6JXt5535332</t>
  </si>
  <si>
    <t>Billing Request- 00104103</t>
  </si>
  <si>
    <t>a6JXt9420900</t>
  </si>
  <si>
    <t>Billing Request- 00104104</t>
  </si>
  <si>
    <t>a6JHn8727073</t>
  </si>
  <si>
    <t>a6JHn3809616</t>
  </si>
  <si>
    <t>a6Jat5437386</t>
  </si>
  <si>
    <t>a6Jat5097416</t>
  </si>
  <si>
    <t>Billing Request- 00104112</t>
  </si>
  <si>
    <t>a6Jat8503228</t>
  </si>
  <si>
    <t>a6JHn1800667</t>
  </si>
  <si>
    <t>a6Jat7816274</t>
  </si>
  <si>
    <t>a6JXt9842475</t>
  </si>
  <si>
    <t>a6JXt6072379</t>
  </si>
  <si>
    <t>a6JHn9336013</t>
  </si>
  <si>
    <t>a6JHn9868731</t>
  </si>
  <si>
    <t>a6JXt8692972</t>
  </si>
  <si>
    <t>Billing Request- 00104125</t>
  </si>
  <si>
    <t>a6Jat2717063</t>
  </si>
  <si>
    <t>Billing Request- 00104126</t>
  </si>
  <si>
    <t>a6JHn6903875</t>
  </si>
  <si>
    <t>Billing Request- 00104127</t>
  </si>
  <si>
    <t>a6Jat8897978</t>
  </si>
  <si>
    <t>a6JHn1876881</t>
  </si>
  <si>
    <t>a6JHn3617462</t>
  </si>
  <si>
    <t>Billing Request- 00104133</t>
  </si>
  <si>
    <t>a6JHn1562866</t>
  </si>
  <si>
    <t>Billing Request- 00104134</t>
  </si>
  <si>
    <t>a6JXt1017948</t>
  </si>
  <si>
    <t>Billing Request- 00104135</t>
  </si>
  <si>
    <t>a6JHn6892788</t>
  </si>
  <si>
    <t>a6JXt3862850</t>
  </si>
  <si>
    <t>Billing Request- 00104137</t>
  </si>
  <si>
    <t>a6Jat7083035</t>
  </si>
  <si>
    <t>a6JHn4640461</t>
  </si>
  <si>
    <t>Billing Request- 00104140</t>
  </si>
  <si>
    <t>Billing Request- 00104141</t>
  </si>
  <si>
    <t>a6JHn8904942</t>
  </si>
  <si>
    <t>Billing Request- 00104142</t>
  </si>
  <si>
    <t>a6JXt8865639</t>
  </si>
  <si>
    <t>a6Jat1846520</t>
  </si>
  <si>
    <t>a6JHn2195924</t>
  </si>
  <si>
    <t>Billing Request- 00104151</t>
  </si>
  <si>
    <t>a6JXt2294835</t>
  </si>
  <si>
    <t>a6JXt8433649</t>
  </si>
  <si>
    <t>Billing Request- 00104154</t>
  </si>
  <si>
    <t>a6Jat9619735</t>
  </si>
  <si>
    <t>a6JHn7956639</t>
  </si>
  <si>
    <t>Billing Request- 00104157</t>
  </si>
  <si>
    <t>a6JHn1096085</t>
  </si>
  <si>
    <t>a6JXt5669460</t>
  </si>
  <si>
    <t>a6JHn9569129</t>
  </si>
  <si>
    <t>a6JHn9427898</t>
  </si>
  <si>
    <t>a6Jat4115166</t>
  </si>
  <si>
    <t>a6Jat6291094</t>
  </si>
  <si>
    <t>Billing Request- 00104167</t>
  </si>
  <si>
    <t>a6Jat7891909</t>
  </si>
  <si>
    <t>a6Jat5978770</t>
  </si>
  <si>
    <t>a6JHn3481590</t>
  </si>
  <si>
    <t>a6JXt1474048</t>
  </si>
  <si>
    <t>a6JXt2082255</t>
  </si>
  <si>
    <t>a6JHn3230554</t>
  </si>
  <si>
    <t>Billing Request- 00104180</t>
  </si>
  <si>
    <t>a6JXt8006491</t>
  </si>
  <si>
    <t>a6JHn6406341</t>
  </si>
  <si>
    <t>Billing Request- 00104183</t>
  </si>
  <si>
    <t>a6JHn4974956</t>
  </si>
  <si>
    <t>a6JHn5015458</t>
  </si>
  <si>
    <t>a6JHn6780089</t>
  </si>
  <si>
    <t>Billing Request- 00104188</t>
  </si>
  <si>
    <t>a6Jat5560942</t>
  </si>
  <si>
    <t>Billing Request- 00104189</t>
  </si>
  <si>
    <t>a6Jat4658577</t>
  </si>
  <si>
    <t>a6JXt8172263</t>
  </si>
  <si>
    <t>a6JXt9747187</t>
  </si>
  <si>
    <t>Billing Request- 00104196</t>
  </si>
  <si>
    <t>a6JXt3524451</t>
  </si>
  <si>
    <t>Billing Request- 00104200</t>
  </si>
  <si>
    <t>a6JHn2290474</t>
  </si>
  <si>
    <t>a6Jat5705844</t>
  </si>
  <si>
    <t>a6JHn9054559</t>
  </si>
  <si>
    <t>a6JXt5078309</t>
  </si>
  <si>
    <t>Billing Request- 00104209</t>
  </si>
  <si>
    <t>a6JXt1712562</t>
  </si>
  <si>
    <t>Billing Request- 00104210</t>
  </si>
  <si>
    <t>a6Jat8278516</t>
  </si>
  <si>
    <t>a6JXt6970645</t>
  </si>
  <si>
    <t>Billing Request- 00104213</t>
  </si>
  <si>
    <t>a6JHn5898627</t>
  </si>
  <si>
    <t>Billing Request- 00104214</t>
  </si>
  <si>
    <t>a6Jat6704104</t>
  </si>
  <si>
    <t>a6JHn6368048</t>
  </si>
  <si>
    <t>Billing Request- 00104218</t>
  </si>
  <si>
    <t>a6JXt3873429</t>
  </si>
  <si>
    <t>a6Jat7109313</t>
  </si>
  <si>
    <t>a6JXt8822168</t>
  </si>
  <si>
    <t>a6Jat3613245</t>
  </si>
  <si>
    <t>a6JXt4549300</t>
  </si>
  <si>
    <t>a6JXt6832097</t>
  </si>
  <si>
    <t>Billing Request- 00104227</t>
  </si>
  <si>
    <t>a6JHn8331105</t>
  </si>
  <si>
    <t>a6JHn1876726</t>
  </si>
  <si>
    <t>a6Jat6559588</t>
  </si>
  <si>
    <t>a6JHn1778233</t>
  </si>
  <si>
    <t>a6Jat9464621</t>
  </si>
  <si>
    <t>Billing Request- 00104234</t>
  </si>
  <si>
    <t>a6Jat6614157</t>
  </si>
  <si>
    <t>a6Jat9264613</t>
  </si>
  <si>
    <t>Billing Request- 00104236</t>
  </si>
  <si>
    <t>a6JHn2636535</t>
  </si>
  <si>
    <t>a6Jat6561590</t>
  </si>
  <si>
    <t>a6Jat3239261</t>
  </si>
  <si>
    <t>Billing Request- 00104242</t>
  </si>
  <si>
    <t>a6JXt5572662</t>
  </si>
  <si>
    <t>Billing Request- 00104244</t>
  </si>
  <si>
    <t>a6JHn3026641</t>
  </si>
  <si>
    <t>Billing Request- 00104245</t>
  </si>
  <si>
    <t>a6JXt7359802</t>
  </si>
  <si>
    <t>a6Jat5404929</t>
  </si>
  <si>
    <t>a6JXt7865702</t>
  </si>
  <si>
    <t>a6JHn1480221</t>
  </si>
  <si>
    <t>a6Jat3306968</t>
  </si>
  <si>
    <t>Billing Request- 00104250</t>
  </si>
  <si>
    <t>a6JHn4266065</t>
  </si>
  <si>
    <t>Billing Request- 00104252</t>
  </si>
  <si>
    <t>a6JHn6466017</t>
  </si>
  <si>
    <t>Billing Request- 00104255</t>
  </si>
  <si>
    <t>a6JXt5013490</t>
  </si>
  <si>
    <t>a6Jat5880679</t>
  </si>
  <si>
    <t>Billing Request- 00104258</t>
  </si>
  <si>
    <t>a6Jat5319204</t>
  </si>
  <si>
    <t>a6JHn4745196</t>
  </si>
  <si>
    <t>a6Jat1898295</t>
  </si>
  <si>
    <t>Billing Request- 00104263</t>
  </si>
  <si>
    <t>a6JXt2684615</t>
  </si>
  <si>
    <t>Billing Request- 00104264</t>
  </si>
  <si>
    <t>a6JXt2386127</t>
  </si>
  <si>
    <t>a6JHn5944968</t>
  </si>
  <si>
    <t>a6JHn9136793</t>
  </si>
  <si>
    <t>a6Jat4847644</t>
  </si>
  <si>
    <t>Billing Request- 00104269</t>
  </si>
  <si>
    <t>a6Jat8329397</t>
  </si>
  <si>
    <t>a6JXt9213416</t>
  </si>
  <si>
    <t>a6JHn2679301</t>
  </si>
  <si>
    <t>Billing Request- 00104276</t>
  </si>
  <si>
    <t>a6JHn4042447</t>
  </si>
  <si>
    <t>a6Jat7137178</t>
  </si>
  <si>
    <t>a6JXt4005807</t>
  </si>
  <si>
    <t>a6JHn7895468</t>
  </si>
  <si>
    <t>a6Jat4449048</t>
  </si>
  <si>
    <t>Billing Request- 00104291</t>
  </si>
  <si>
    <t>a6JHn2239425</t>
  </si>
  <si>
    <t>a6JHn4848886</t>
  </si>
  <si>
    <t>a6Jat8183982</t>
  </si>
  <si>
    <t>a6JXt6334295</t>
  </si>
  <si>
    <t>a6JHn9433156</t>
  </si>
  <si>
    <t>Billing Request- 00104302</t>
  </si>
  <si>
    <t>Billing Request- 00104306</t>
  </si>
  <si>
    <t>Billing Request- 00104308</t>
  </si>
  <si>
    <t>a6JXt4726797</t>
  </si>
  <si>
    <t>a6JXt4928017</t>
  </si>
  <si>
    <t>a6Jat2414917</t>
  </si>
  <si>
    <t>a6Jat7214173</t>
  </si>
  <si>
    <t>a6JHn6115634</t>
  </si>
  <si>
    <t>Billing Request- 00104317</t>
  </si>
  <si>
    <t>Billing Request- 00104318</t>
  </si>
  <si>
    <t>a6JXt3381057</t>
  </si>
  <si>
    <t>Billing Request- 00104323</t>
  </si>
  <si>
    <t>a6Jat9561085</t>
  </si>
  <si>
    <t>Billing Request- 00104324</t>
  </si>
  <si>
    <t>a6JXt7487635</t>
  </si>
  <si>
    <t>a6JXt9424336</t>
  </si>
  <si>
    <t>Billing Request- 00104327</t>
  </si>
  <si>
    <t>a6JHn2866642</t>
  </si>
  <si>
    <t>Billing Request- 00104328</t>
  </si>
  <si>
    <t>a6Jat8859113</t>
  </si>
  <si>
    <t>a6JHn8186447</t>
  </si>
  <si>
    <t>a6Jat6128081</t>
  </si>
  <si>
    <t>a6JXt7969139</t>
  </si>
  <si>
    <t>a6Jat2896527</t>
  </si>
  <si>
    <t>a6JXt5585659</t>
  </si>
  <si>
    <t>Billing Request- 00104336</t>
  </si>
  <si>
    <t>a6JHn4388875</t>
  </si>
  <si>
    <t>a6Jat1645461</t>
  </si>
  <si>
    <t>Billing Request- 00104339</t>
  </si>
  <si>
    <t>a6JXt1142955</t>
  </si>
  <si>
    <t>Billing Request- 00104340</t>
  </si>
  <si>
    <t>a6JHn5135315</t>
  </si>
  <si>
    <t>Billing Request- 00104341</t>
  </si>
  <si>
    <t>a6Jat8245643</t>
  </si>
  <si>
    <t>a6Jat9493615</t>
  </si>
  <si>
    <t>a6JHn9930547</t>
  </si>
  <si>
    <t>a6JHn7448104</t>
  </si>
  <si>
    <t>a6JXt1140823</t>
  </si>
  <si>
    <t>a6JHn4458540</t>
  </si>
  <si>
    <t>Billing Request- 00104351</t>
  </si>
  <si>
    <t>a6Jat5932239</t>
  </si>
  <si>
    <t>Billing Request- 00104352</t>
  </si>
  <si>
    <t>a6JXt8979193</t>
  </si>
  <si>
    <t>a6JXt2406348</t>
  </si>
  <si>
    <t>a6JXt8122435</t>
  </si>
  <si>
    <t>Billing Request- 00104355</t>
  </si>
  <si>
    <t>a6JXt8979998</t>
  </si>
  <si>
    <t>a6Jat8375003</t>
  </si>
  <si>
    <t>a6JXt6530275</t>
  </si>
  <si>
    <t>Billing Request- 00104359</t>
  </si>
  <si>
    <t>a6JXt1164119</t>
  </si>
  <si>
    <t>Billing Request- 00104363</t>
  </si>
  <si>
    <t>a6JHn2682370</t>
  </si>
  <si>
    <t>Billing Request- 00104365</t>
  </si>
  <si>
    <t>a6JXt3482740</t>
  </si>
  <si>
    <t>Billing Request- 00104367</t>
  </si>
  <si>
    <t>a6JHn9329090</t>
  </si>
  <si>
    <t>a6JXt2241639</t>
  </si>
  <si>
    <t>a6JHn6358756</t>
  </si>
  <si>
    <t>Billing Request- 00104373</t>
  </si>
  <si>
    <t>a6JHn8322991</t>
  </si>
  <si>
    <t>a6JHn5859413</t>
  </si>
  <si>
    <t>a6JXt5144610</t>
  </si>
  <si>
    <t>a6Jat9975884</t>
  </si>
  <si>
    <t>Billing Request- 00104379</t>
  </si>
  <si>
    <t>a6JHn3389242</t>
  </si>
  <si>
    <t>a6JHn9558117</t>
  </si>
  <si>
    <t>Billing Request- 00104381</t>
  </si>
  <si>
    <t>a6JXt7362674</t>
  </si>
  <si>
    <t>a6JHn5470948</t>
  </si>
  <si>
    <t>Billing Request- 00104384</t>
  </si>
  <si>
    <t>a6JHn3634022</t>
  </si>
  <si>
    <t>a6JHn6224314</t>
  </si>
  <si>
    <t>Billing Request- 00104387</t>
  </si>
  <si>
    <t>a6JHn4323521</t>
  </si>
  <si>
    <t>Billing Request- 00104390</t>
  </si>
  <si>
    <t>a6JHn5927612</t>
  </si>
  <si>
    <t>Billing Request- 00104392</t>
  </si>
  <si>
    <t>a6JXt8431975</t>
  </si>
  <si>
    <t>Billing Request- 00104395</t>
  </si>
  <si>
    <t>a6Jat6050335</t>
  </si>
  <si>
    <t>a6Jat4291026</t>
  </si>
  <si>
    <t>Billing Request- 00104397</t>
  </si>
  <si>
    <t>a6Jat8769657</t>
  </si>
  <si>
    <t>a6JHn1189715</t>
  </si>
  <si>
    <t>Billing Request- 00104407</t>
  </si>
  <si>
    <t>a6JXt3404372</t>
  </si>
  <si>
    <t>Billing Request- 00104415</t>
  </si>
  <si>
    <t>a6Jat3424106</t>
  </si>
  <si>
    <t>a6JXt7528706</t>
  </si>
  <si>
    <t>a6JHn9596116</t>
  </si>
  <si>
    <t>a6JXt8275996</t>
  </si>
  <si>
    <t>Billing Request- 00104421</t>
  </si>
  <si>
    <t>Billing Request- 00104426</t>
  </si>
  <si>
    <t>Billing Request- 00104427</t>
  </si>
  <si>
    <t>a6JXt6017424</t>
  </si>
  <si>
    <t>a6JXt3701912</t>
  </si>
  <si>
    <t>a6JHn4749519</t>
  </si>
  <si>
    <t>a6JXt8202123</t>
  </si>
  <si>
    <t>a6Jat8721116</t>
  </si>
  <si>
    <t>a6JHn2816485</t>
  </si>
  <si>
    <t>a6Jat3599531</t>
  </si>
  <si>
    <t>a6Jat2609212</t>
  </si>
  <si>
    <t>a6JHn5886686</t>
  </si>
  <si>
    <t>Billing Request- 00104441</t>
  </si>
  <si>
    <t>a6Jat1124908</t>
  </si>
  <si>
    <t>Billing Request- 00104442</t>
  </si>
  <si>
    <t>a6JXt4184031</t>
  </si>
  <si>
    <t>a6JHn6468515</t>
  </si>
  <si>
    <t>a6JHn6925861</t>
  </si>
  <si>
    <t>Billing Request- 00104445</t>
  </si>
  <si>
    <t>a6JHn1619635</t>
  </si>
  <si>
    <t>Billing Request- 00104450</t>
  </si>
  <si>
    <t>a6Jat4477667</t>
  </si>
  <si>
    <t>Billing Request- 00104454</t>
  </si>
  <si>
    <t>a6JHn6366867</t>
  </si>
  <si>
    <t>Billing Request- 00104455</t>
  </si>
  <si>
    <t>a6JHn6866549</t>
  </si>
  <si>
    <t>a6JXt6587167</t>
  </si>
  <si>
    <t>a6Jat5731957</t>
  </si>
  <si>
    <t>a6JXt6723129</t>
  </si>
  <si>
    <t>a6JHn8139701</t>
  </si>
  <si>
    <t>a6Jat9669225</t>
  </si>
  <si>
    <t>Billing Request- 00104463</t>
  </si>
  <si>
    <t>a6Jat4349758</t>
  </si>
  <si>
    <t>a6Jat5984582</t>
  </si>
  <si>
    <t>Billing Request- 00104466</t>
  </si>
  <si>
    <t>a6JXt6269544</t>
  </si>
  <si>
    <t>a6JXt8044262</t>
  </si>
  <si>
    <t>a6JHn2461765</t>
  </si>
  <si>
    <t>a6JXt6864413</t>
  </si>
  <si>
    <t>Billing Request- 00104472</t>
  </si>
  <si>
    <t>Billing Request- 00104477</t>
  </si>
  <si>
    <t>Billing Request- 00104480</t>
  </si>
  <si>
    <t>a6Jat7473301</t>
  </si>
  <si>
    <t>a6JXt7141336</t>
  </si>
  <si>
    <t>a6JHn2619836</t>
  </si>
  <si>
    <t>a6Jat2155305</t>
  </si>
  <si>
    <t>a6Jat8180944</t>
  </si>
  <si>
    <t>a6JXt3805553</t>
  </si>
  <si>
    <t>a6JHn8617932</t>
  </si>
  <si>
    <t>a6Jat7235222</t>
  </si>
  <si>
    <t>Billing Request- 00104493</t>
  </si>
  <si>
    <t>a6JXt5807148</t>
  </si>
  <si>
    <t>Billing Request- 00104494</t>
  </si>
  <si>
    <t>a6JHn7966211</t>
  </si>
  <si>
    <t>Billing Request- 00104495</t>
  </si>
  <si>
    <t>a6JXt3346808</t>
  </si>
  <si>
    <t>a6Jat5948813</t>
  </si>
  <si>
    <t>a6Jat8092015</t>
  </si>
  <si>
    <t>Billing Request- 00104500</t>
  </si>
  <si>
    <t>a6JXt1681539</t>
  </si>
  <si>
    <t>a6JXt2400418</t>
  </si>
  <si>
    <t>a6Jat1996110</t>
  </si>
  <si>
    <t>Billing Request- 00104509</t>
  </si>
  <si>
    <t>a6JXt7101238</t>
  </si>
  <si>
    <t>a6JHn6086984</t>
  </si>
  <si>
    <t>Billing Request- 00104516</t>
  </si>
  <si>
    <t>a6JXt2642440</t>
  </si>
  <si>
    <t>a6JHn4419219</t>
  </si>
  <si>
    <t>a6JXt8730250</t>
  </si>
  <si>
    <t>Billing Request- 00104523</t>
  </si>
  <si>
    <t>a6Jat1124054</t>
  </si>
  <si>
    <t>a6Jat2684394</t>
  </si>
  <si>
    <t>a6Jat6969048</t>
  </si>
  <si>
    <t>a6JXt4284150</t>
  </si>
  <si>
    <t>a6JXt6902803</t>
  </si>
  <si>
    <t>Billing Request- 00104539</t>
  </si>
  <si>
    <t>Billing Request- 00104540</t>
  </si>
  <si>
    <t>a6JHn6520283</t>
  </si>
  <si>
    <t>a6Jat7410978</t>
  </si>
  <si>
    <t>a6JXt9622363</t>
  </si>
  <si>
    <t>Billing Request- 00104549</t>
  </si>
  <si>
    <t>a6JXt2949351</t>
  </si>
  <si>
    <t>a6Jat5580308</t>
  </si>
  <si>
    <t>a6Jat9221080</t>
  </si>
  <si>
    <t>a6Jat7952409</t>
  </si>
  <si>
    <t>Billing Request- 00104555</t>
  </si>
  <si>
    <t>a6JHn4930372</t>
  </si>
  <si>
    <t>a6JXt5608686</t>
  </si>
  <si>
    <t>Billing Request- 00104557</t>
  </si>
  <si>
    <t>a6JXt2694511</t>
  </si>
  <si>
    <t>a6Jat4209825</t>
  </si>
  <si>
    <t>Billing Request- 00104559</t>
  </si>
  <si>
    <t>a6JXt2907362</t>
  </si>
  <si>
    <t>Billing Request- 00104560</t>
  </si>
  <si>
    <t>a6Jat7661277</t>
  </si>
  <si>
    <t>a6JXt8715461</t>
  </si>
  <si>
    <t>a6Jat1211789</t>
  </si>
  <si>
    <t>a6JXt2319149</t>
  </si>
  <si>
    <t>Billing Request- 00104564</t>
  </si>
  <si>
    <t>a6Jat7494342</t>
  </si>
  <si>
    <t>Billing Request- 00104568</t>
  </si>
  <si>
    <t>a6Jat6791413</t>
  </si>
  <si>
    <t>a6Jat5701971</t>
  </si>
  <si>
    <t>Billing Request- 00104580</t>
  </si>
  <si>
    <t>a6JXt4644223</t>
  </si>
  <si>
    <t>a6JXt1779183</t>
  </si>
  <si>
    <t>Billing Request- 00104583</t>
  </si>
  <si>
    <t>a6JXt2140853</t>
  </si>
  <si>
    <t>Billing Request- 00104584</t>
  </si>
  <si>
    <t>a6JHn2334200</t>
  </si>
  <si>
    <t>a6JXt6018933</t>
  </si>
  <si>
    <t>a6Jat5442304</t>
  </si>
  <si>
    <t>a6JXt8926809</t>
  </si>
  <si>
    <t>a6JXt9939908</t>
  </si>
  <si>
    <t>a6JHn2044145</t>
  </si>
  <si>
    <t>Billing Request- 00104590</t>
  </si>
  <si>
    <t>a6JXt6195171</t>
  </si>
  <si>
    <t>a6JHn9941391</t>
  </si>
  <si>
    <t>Billing Request- 00104592</t>
  </si>
  <si>
    <t>a6Jat9414625</t>
  </si>
  <si>
    <t>a6Jat2054290</t>
  </si>
  <si>
    <t>a6Jat1960296</t>
  </si>
  <si>
    <t>a6JHn1321949</t>
  </si>
  <si>
    <t>a6JHn3623644</t>
  </si>
  <si>
    <t>Billing Request- 00104599</t>
  </si>
  <si>
    <t>a6Jat4558662</t>
  </si>
  <si>
    <t>a6JXt5794514</t>
  </si>
  <si>
    <t>a6JXt4011272</t>
  </si>
  <si>
    <t>a6Jat4242480</t>
  </si>
  <si>
    <t>Billing Request- 00104612</t>
  </si>
  <si>
    <t>a6JXt5252431</t>
  </si>
  <si>
    <t>Billing Request- 00104613</t>
  </si>
  <si>
    <t>a6JHn1620656</t>
  </si>
  <si>
    <t>Billing Request- 00104614</t>
  </si>
  <si>
    <t>a6JHn7275637</t>
  </si>
  <si>
    <t>a6Jat4018281</t>
  </si>
  <si>
    <t>a6JHn4633878</t>
  </si>
  <si>
    <t>a6Jat7977522</t>
  </si>
  <si>
    <t>a6JHn1894765</t>
  </si>
  <si>
    <t>Billing Request- 00104621</t>
  </si>
  <si>
    <t>a6Jat5981429</t>
  </si>
  <si>
    <t>Billing Request- 00104622</t>
  </si>
  <si>
    <t>a6JXt9383571</t>
  </si>
  <si>
    <t>Billing Request- 00104623</t>
  </si>
  <si>
    <t>a6Jat3898378</t>
  </si>
  <si>
    <t>a6Jat6724961</t>
  </si>
  <si>
    <t>a6Jat3504101</t>
  </si>
  <si>
    <t>a6JXt3004667</t>
  </si>
  <si>
    <t>Billing Request- 00104632</t>
  </si>
  <si>
    <t>a6JXt4128270</t>
  </si>
  <si>
    <t>a6Jat7272391</t>
  </si>
  <si>
    <t>a6Jat4227537</t>
  </si>
  <si>
    <t>Billing Request- 00104636</t>
  </si>
  <si>
    <t>a6Jat4142615</t>
  </si>
  <si>
    <t>a6Jat9661983</t>
  </si>
  <si>
    <t>a6JXt6249530</t>
  </si>
  <si>
    <t>a6Jat6796396</t>
  </si>
  <si>
    <t>a6JHn1090089</t>
  </si>
  <si>
    <t>a6Jat4943263</t>
  </si>
  <si>
    <t>Billing Request- 00104642</t>
  </si>
  <si>
    <t>a6JHn2955151</t>
  </si>
  <si>
    <t>a6JXt2671390</t>
  </si>
  <si>
    <t>a6Jat4067028</t>
  </si>
  <si>
    <t>Billing Request- 00104646</t>
  </si>
  <si>
    <t>a6JXt5314482</t>
  </si>
  <si>
    <t>a6Jat5664955</t>
  </si>
  <si>
    <t>a6Jat3470780</t>
  </si>
  <si>
    <t>a6JXt7524855</t>
  </si>
  <si>
    <t>a6JHn8733086</t>
  </si>
  <si>
    <t>Billing Request- 00104655</t>
  </si>
  <si>
    <t>a6JXt5712242</t>
  </si>
  <si>
    <t>a6JXt7155043</t>
  </si>
  <si>
    <t>Billing Request- 00104657</t>
  </si>
  <si>
    <t>a6JHn8609649</t>
  </si>
  <si>
    <t>a6JXt7030060</t>
  </si>
  <si>
    <t>a6JHn6254828</t>
  </si>
  <si>
    <t>a6JXt7332082</t>
  </si>
  <si>
    <t>a6JXt8966928</t>
  </si>
  <si>
    <t>a6JHn5693705</t>
  </si>
  <si>
    <t>a6Jat6866885</t>
  </si>
  <si>
    <t>a6Jat9505331</t>
  </si>
  <si>
    <t>Billing Request- 00104667</t>
  </si>
  <si>
    <t>a6JHn8423695</t>
  </si>
  <si>
    <t>a6Jat1893719</t>
  </si>
  <si>
    <t>a6JHn8054923</t>
  </si>
  <si>
    <t>a6JXt2991456</t>
  </si>
  <si>
    <t>Billing Request- 00104676</t>
  </si>
  <si>
    <t>Billing Request- 00104679</t>
  </si>
  <si>
    <t>a6JHn6667867</t>
  </si>
  <si>
    <t>a6JXt7029753</t>
  </si>
  <si>
    <t>a6JHn7683219</t>
  </si>
  <si>
    <t>a6JXt2148155</t>
  </si>
  <si>
    <t>Billing Request- 00104687</t>
  </si>
  <si>
    <t>Billing Request- 00104689</t>
  </si>
  <si>
    <t>a6JXt9262486</t>
  </si>
  <si>
    <t>a6JXt2285523</t>
  </si>
  <si>
    <t>Billing Request- 00104692</t>
  </si>
  <si>
    <t>Billing Request- 00104693</t>
  </si>
  <si>
    <t>a6JHn4009142</t>
  </si>
  <si>
    <t>Billing Request- 00104697</t>
  </si>
  <si>
    <t>a6JHn8300787</t>
  </si>
  <si>
    <t>Billing Request- 00104698</t>
  </si>
  <si>
    <t>a6Jat5597572</t>
  </si>
  <si>
    <t>Billing Request- 00104699</t>
  </si>
  <si>
    <t>a6Jat5454133</t>
  </si>
  <si>
    <t>a6Jat8201829</t>
  </si>
  <si>
    <t>a6Jat6332319</t>
  </si>
  <si>
    <t>Billing Request- 00104704</t>
  </si>
  <si>
    <t>a6JXt3832531</t>
  </si>
  <si>
    <t>a6JXt2890368</t>
  </si>
  <si>
    <t>a6JXt8326823</t>
  </si>
  <si>
    <t>a6JHn3061416</t>
  </si>
  <si>
    <t>a6JXt9328682</t>
  </si>
  <si>
    <t>a6JXt5699531</t>
  </si>
  <si>
    <t>a6JXt5139326</t>
  </si>
  <si>
    <t>a6JHn1086576</t>
  </si>
  <si>
    <t>a6Jat8179576</t>
  </si>
  <si>
    <t>a6Jat6846764</t>
  </si>
  <si>
    <t>Billing Request- 00104720</t>
  </si>
  <si>
    <t>a6Jat9534820</t>
  </si>
  <si>
    <t>a6Jat2929683</t>
  </si>
  <si>
    <t>a6JXt7193786</t>
  </si>
  <si>
    <t>a6JHn1762251</t>
  </si>
  <si>
    <t>a6Jat4937780</t>
  </si>
  <si>
    <t>a6Jat1789957</t>
  </si>
  <si>
    <t>a6JHn4012185</t>
  </si>
  <si>
    <t>Billing Request- 00104734</t>
  </si>
  <si>
    <t>a6JXt8279463</t>
  </si>
  <si>
    <t>a6Jat2944254</t>
  </si>
  <si>
    <t>Billing Request- 00104736</t>
  </si>
  <si>
    <t>a6Jat7482885</t>
  </si>
  <si>
    <t>Billing Request- 00104737</t>
  </si>
  <si>
    <t>a6Jat2479627</t>
  </si>
  <si>
    <t>a6JXt4438012</t>
  </si>
  <si>
    <t>Billing Request- 00104742</t>
  </si>
  <si>
    <t>a6JHn7723094</t>
  </si>
  <si>
    <t>Billing Request- 00104743</t>
  </si>
  <si>
    <t>a6Jat7532326</t>
  </si>
  <si>
    <t>Billing Request- 00104744</t>
  </si>
  <si>
    <t>a6Jat8224860</t>
  </si>
  <si>
    <t>a6JHn9941974</t>
  </si>
  <si>
    <t>a6JHn8754812</t>
  </si>
  <si>
    <t>Billing Request- 00104748</t>
  </si>
  <si>
    <t>a6JXt7306432</t>
  </si>
  <si>
    <t>a6Jat8788584</t>
  </si>
  <si>
    <t>Billing Request- 00104750</t>
  </si>
  <si>
    <t>a6JXt2951693</t>
  </si>
  <si>
    <t>Billing Request- 00104751</t>
  </si>
  <si>
    <t>a6JHn6218689</t>
  </si>
  <si>
    <t>Billing Request- 00104752</t>
  </si>
  <si>
    <t>a6Jat6791685</t>
  </si>
  <si>
    <t>a6JHn6919951</t>
  </si>
  <si>
    <t>Billing Request- 00104758</t>
  </si>
  <si>
    <t>Billing Request- 00104761</t>
  </si>
  <si>
    <t>Billing Request- 00104766</t>
  </si>
  <si>
    <t>a6JXt4272077</t>
  </si>
  <si>
    <t>a6JXt7135510</t>
  </si>
  <si>
    <t>Billing Request- 00104771</t>
  </si>
  <si>
    <t>a6JXt3897782</t>
  </si>
  <si>
    <t>a6JXt3712737</t>
  </si>
  <si>
    <t>a6JXt2956391</t>
  </si>
  <si>
    <t>Billing Request- 00104776</t>
  </si>
  <si>
    <t>a6JXt7719344</t>
  </si>
  <si>
    <t>a6JHn9880148</t>
  </si>
  <si>
    <t>a6Jat2677947</t>
  </si>
  <si>
    <t>Billing Request- 00104782</t>
  </si>
  <si>
    <t>a6JXt7628349</t>
  </si>
  <si>
    <t>a6Jat2561132</t>
  </si>
  <si>
    <t>Billing Request- 00104784</t>
  </si>
  <si>
    <t>a6Jat8393282</t>
  </si>
  <si>
    <t>a6Jat2011226</t>
  </si>
  <si>
    <t>a6JXt6376423</t>
  </si>
  <si>
    <t>a6Jat6800202</t>
  </si>
  <si>
    <t>a6Jat2197870</t>
  </si>
  <si>
    <t>Billing Request- 00104791</t>
  </si>
  <si>
    <t>a6JHn7870852</t>
  </si>
  <si>
    <t>Billing Request- 00104792</t>
  </si>
  <si>
    <t>a6Jat5389082</t>
  </si>
  <si>
    <t>Billing Request- 00104793</t>
  </si>
  <si>
    <t>a6JXt9744886</t>
  </si>
  <si>
    <t>Billing Request- 00104797</t>
  </si>
  <si>
    <t>a6JXt6872665</t>
  </si>
  <si>
    <t>a6JHn6007031</t>
  </si>
  <si>
    <t>a6JXt6442067</t>
  </si>
  <si>
    <t>a6Jat7573554</t>
  </si>
  <si>
    <t>a6JXt9926748</t>
  </si>
  <si>
    <t>Billing Request- 00104804</t>
  </si>
  <si>
    <t>a6JXt4020319</t>
  </si>
  <si>
    <t>a6JHn2603864</t>
  </si>
  <si>
    <t>Billing Request- 00104807</t>
  </si>
  <si>
    <t>a6Jat1791041</t>
  </si>
  <si>
    <t>Billing Request- 00104808</t>
  </si>
  <si>
    <t>a6JXt8501367</t>
  </si>
  <si>
    <t>Billing Request- 00104810</t>
  </si>
  <si>
    <t>a6JXt4347539</t>
  </si>
  <si>
    <t>a6JXt4953259</t>
  </si>
  <si>
    <t>a6Jat9410136</t>
  </si>
  <si>
    <t>a6JHn7847168</t>
  </si>
  <si>
    <t>Billing Request- 00104814</t>
  </si>
  <si>
    <t>Billing Request- 00104815</t>
  </si>
  <si>
    <t>a6JHn9760284</t>
  </si>
  <si>
    <t>a6JXt2564372</t>
  </si>
  <si>
    <t>a6Jat9116669</t>
  </si>
  <si>
    <t>a6JXt1341603</t>
  </si>
  <si>
    <t>a6Jat8562087</t>
  </si>
  <si>
    <t>Billing Request- 00104826</t>
  </si>
  <si>
    <t>a6JXt5921118</t>
  </si>
  <si>
    <t>Billing Request- 00104828</t>
  </si>
  <si>
    <t>a6Jat3890542</t>
  </si>
  <si>
    <t>a6JXt6259911</t>
  </si>
  <si>
    <t>a6JXt3752831</t>
  </si>
  <si>
    <t>a6JXt6335268</t>
  </si>
  <si>
    <t>a6Jat5431397</t>
  </si>
  <si>
    <t>a6Jat4663779</t>
  </si>
  <si>
    <t>a6Jat1875987</t>
  </si>
  <si>
    <t>Billing Request- 00104839</t>
  </si>
  <si>
    <t>a6JHn4730965</t>
  </si>
  <si>
    <t>a6Jat5695334</t>
  </si>
  <si>
    <t>a6JHn6585868</t>
  </si>
  <si>
    <t>a6JHn5369153</t>
  </si>
  <si>
    <t>a6JXt9644379</t>
  </si>
  <si>
    <t>a6Jat9949656</t>
  </si>
  <si>
    <t>a6JXt1163850</t>
  </si>
  <si>
    <t>a6JXt7645541</t>
  </si>
  <si>
    <t>a6Jat4734264</t>
  </si>
  <si>
    <t>a6JXt7827605</t>
  </si>
  <si>
    <t>a6JXt3662318</t>
  </si>
  <si>
    <t>Billing Request- 00104857</t>
  </si>
  <si>
    <t>a6JXt5615589</t>
  </si>
  <si>
    <t>Billing Request- 00104858</t>
  </si>
  <si>
    <t>a6Jat7391873</t>
  </si>
  <si>
    <t>Billing Request- 00104859</t>
  </si>
  <si>
    <t>a6JXt2566328</t>
  </si>
  <si>
    <t>Billing Request- 00104860</t>
  </si>
  <si>
    <t>a6Jat2432625</t>
  </si>
  <si>
    <t>Billing Request- 00104861</t>
  </si>
  <si>
    <t>a6JXt5196697</t>
  </si>
  <si>
    <t>a6Jat4336417</t>
  </si>
  <si>
    <t>a6JXt5757898</t>
  </si>
  <si>
    <t>Billing Request- 00104864</t>
  </si>
  <si>
    <t>a6JXt8712699</t>
  </si>
  <si>
    <t>a6JHn3108352</t>
  </si>
  <si>
    <t>a6Jat3955795</t>
  </si>
  <si>
    <t>a6JHn3874971</t>
  </si>
  <si>
    <t>a6JHn5875607</t>
  </si>
  <si>
    <t>Billing Request- 00104872</t>
  </si>
  <si>
    <t>Billing Request- 00104873</t>
  </si>
  <si>
    <t>Billing Request- 00104877</t>
  </si>
  <si>
    <t>a6JHn8928853</t>
  </si>
  <si>
    <t>Billing Request- 00104878</t>
  </si>
  <si>
    <t>a6JHn3831022</t>
  </si>
  <si>
    <t>a6JHn5217210</t>
  </si>
  <si>
    <t>Billing Request- 00104884</t>
  </si>
  <si>
    <t>a6JXt7813778</t>
  </si>
  <si>
    <t>a6JXt5410046</t>
  </si>
  <si>
    <t>Billing Request- 00104887</t>
  </si>
  <si>
    <t>a6Jat5408395</t>
  </si>
  <si>
    <t>a6JHn1841265</t>
  </si>
  <si>
    <t>a6Jat8144659</t>
  </si>
  <si>
    <t>a6JHn4257143</t>
  </si>
  <si>
    <t>a6JXt8753558</t>
  </si>
  <si>
    <t>Billing Request- 00104892</t>
  </si>
  <si>
    <t>a6JHn5757636</t>
  </si>
  <si>
    <t>Billing Request- 00104893</t>
  </si>
  <si>
    <t>a6Jat2416730</t>
  </si>
  <si>
    <t>a6Jat8559713</t>
  </si>
  <si>
    <t>Billing Request- 00104895</t>
  </si>
  <si>
    <t>a6JHn7862890</t>
  </si>
  <si>
    <t>a6JXt4533182</t>
  </si>
  <si>
    <t>Billing Request- 00104898</t>
  </si>
  <si>
    <t>a6JHn8523893</t>
  </si>
  <si>
    <t>a6JXt2166015</t>
  </si>
  <si>
    <t>a6Jat2427336</t>
  </si>
  <si>
    <t>Billing Request- 00104902</t>
  </si>
  <si>
    <t>a6Jat9072345</t>
  </si>
  <si>
    <t>a6Jat4566855</t>
  </si>
  <si>
    <t>Billing Request- 00104904</t>
  </si>
  <si>
    <t>a6JHn6175907</t>
  </si>
  <si>
    <t>a6JXt9366198</t>
  </si>
  <si>
    <t>a6Jat3192171</t>
  </si>
  <si>
    <t>a6JXt8991485</t>
  </si>
  <si>
    <t>Billing Request- 00104914</t>
  </si>
  <si>
    <t>a6JHn8241248</t>
  </si>
  <si>
    <t>a6JXt1925388</t>
  </si>
  <si>
    <t>a6Jat4632352</t>
  </si>
  <si>
    <t>a6JXt4152619</t>
  </si>
  <si>
    <t>a6Jat6136658</t>
  </si>
  <si>
    <t>a6Jat8718306</t>
  </si>
  <si>
    <t>a6JHn8114189</t>
  </si>
  <si>
    <t>Billing Request- 00104922</t>
  </si>
  <si>
    <t>a6Jat4558326</t>
  </si>
  <si>
    <t>a6Jat7099658</t>
  </si>
  <si>
    <t>a6JXt9065534</t>
  </si>
  <si>
    <t>a6JHn8379369</t>
  </si>
  <si>
    <t>a6JHn9282866</t>
  </si>
  <si>
    <t>Billing Request- 00104928</t>
  </si>
  <si>
    <t>a6JHn2270281</t>
  </si>
  <si>
    <t>Billing Request- 00104929</t>
  </si>
  <si>
    <t>a6JHn1850992</t>
  </si>
  <si>
    <t>Billing Request- 00104930</t>
  </si>
  <si>
    <t>a6JHn6892384</t>
  </si>
  <si>
    <t>a6JHn6373422</t>
  </si>
  <si>
    <t>Billing Request- 00104932</t>
  </si>
  <si>
    <t>a6JXt2138038</t>
  </si>
  <si>
    <t>a6JHn6255352</t>
  </si>
  <si>
    <t>Billing Request- 00104936</t>
  </si>
  <si>
    <t>a6JXt8354796</t>
  </si>
  <si>
    <t>a6JHn3829976</t>
  </si>
  <si>
    <t>Billing Request- 00104940</t>
  </si>
  <si>
    <t>a6Jat3114044</t>
  </si>
  <si>
    <t>a6JHn7628708</t>
  </si>
  <si>
    <t>Billing Request- 00104943</t>
  </si>
  <si>
    <t>a6JHn9968056</t>
  </si>
  <si>
    <t>a6Jat3493523</t>
  </si>
  <si>
    <t>Billing Request- 00104945</t>
  </si>
  <si>
    <t>a6Jat6738161</t>
  </si>
  <si>
    <t>a6JHn4219055</t>
  </si>
  <si>
    <t>Billing Request- 00104948</t>
  </si>
  <si>
    <t>a6Jat3711462</t>
  </si>
  <si>
    <t>a6JHn3122246</t>
  </si>
  <si>
    <t>a6JXt1641541</t>
  </si>
  <si>
    <t>Billing Request- 00104953</t>
  </si>
  <si>
    <t>Billing Request- 00104957</t>
  </si>
  <si>
    <t>a6JHn4536863</t>
  </si>
  <si>
    <t>a6JHn5024576</t>
  </si>
  <si>
    <t>a6JXt6103567</t>
  </si>
  <si>
    <t>Billing Request- 00104960</t>
  </si>
  <si>
    <t>a6JHn6288077</t>
  </si>
  <si>
    <t>a6JXt4506276</t>
  </si>
  <si>
    <t>a6Jat9592429</t>
  </si>
  <si>
    <t>a6JHn1095489</t>
  </si>
  <si>
    <t>Billing Request- 00104965</t>
  </si>
  <si>
    <t>a6JXt4665598</t>
  </si>
  <si>
    <t>a6JHn3676933</t>
  </si>
  <si>
    <t>a6JHn4829965</t>
  </si>
  <si>
    <t>a6JXt6020258</t>
  </si>
  <si>
    <t>Billing Request- 00104975</t>
  </si>
  <si>
    <t>a6JHn6205899</t>
  </si>
  <si>
    <t>a6Jat8720795</t>
  </si>
  <si>
    <t>a6Jat1621374</t>
  </si>
  <si>
    <t>a6JXt8676730</t>
  </si>
  <si>
    <t>a6Jat5505598</t>
  </si>
  <si>
    <t>a6JHn3511735</t>
  </si>
  <si>
    <t>a6Jat8024192</t>
  </si>
  <si>
    <t>a6Jat7401407</t>
  </si>
  <si>
    <t>a6Jat9504500</t>
  </si>
  <si>
    <t>a6JHn5689965</t>
  </si>
  <si>
    <t>Billing Request- 00104986</t>
  </si>
  <si>
    <t>a6JHn8625580</t>
  </si>
  <si>
    <t>a6Jat4807676</t>
  </si>
  <si>
    <t>Billing Request- 00104988</t>
  </si>
  <si>
    <t>Billing Request- 00104989</t>
  </si>
  <si>
    <t>a6JHn2221018</t>
  </si>
  <si>
    <t>a6Jat5216748</t>
  </si>
  <si>
    <t>Billing Request- 00104991</t>
  </si>
  <si>
    <t>a6Jat2901813</t>
  </si>
  <si>
    <t>a6JHn4652860</t>
  </si>
  <si>
    <t>a6Jat3596606</t>
  </si>
  <si>
    <t>a6JHn1828113</t>
  </si>
  <si>
    <t>Billing Request- 00104996</t>
  </si>
  <si>
    <t>a6JHn8088937</t>
  </si>
  <si>
    <t>Billing Request- 00104997</t>
  </si>
  <si>
    <t>a6JXt4659188</t>
  </si>
  <si>
    <t>a6JHn9370928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</si>
</sst>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2" x14ac:knownFonts="1">
    <font>
      <sz val="11"/>
      <color theme="1"/>
      <name val="Calibri"/>
      <family val="2"/>
      <charset val="1"/>
    </font>
    <font>
      <b/>
      <sz val="16"/>
      <color rgb="FFFFFFFF"/>
      <name val="Calibri"/>
      <family val="2"/>
    </font>
    <font>
      <sz val="9"/>
      <color rgb="FFFFFFFF"/>
      <name val="Calibri"/>
      <family val="2"/>
    </font>
    <font>
      <sz val="10"/>
      <color rgb="FFFFFFFF"/>
      <name val="Calibri"/>
      <family val="2"/>
    </font>
    <font>
      <b/>
      <sz val="22"/>
      <color rgb="FF1F3864"/>
      <name val="Calibri"/>
      <family val="2"/>
    </font>
    <font>
      <sz val="9"/>
      <color rgb="FF808080"/>
      <name val="Calibri"/>
      <family val="2"/>
    </font>
    <font>
      <sz val="9"/>
      <color rgb="FF404040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sz val="10"/>
      <color rgb="FF404040"/>
      <name val="Calibri"/>
      <family val="2"/>
    </font>
    <font>
      <b/>
      <sz val="9"/>
      <color rgb="FFFFFFFF"/>
      <name val="Calibri"/>
      <family val="2"/>
    </font>
    <font>
      <b/>
      <sz val="13"/>
      <color rgb="FFFFFFFF"/>
      <name val="Calibri"/>
      <family val="2"/>
    </font>
    <font>
      <b/>
      <sz val="9"/>
      <color rgb="FF1F3864"/>
      <name val="Calibri"/>
      <family val="2"/>
    </font>
    <font>
      <b/>
      <sz val="9"/>
      <color rgb="FF404040"/>
      <name val="Calibri"/>
      <family val="2"/>
    </font>
    <font>
      <b/>
      <sz val="10"/>
      <color rgb="FFFFFFFF"/>
      <name val="Calibri"/>
      <family val="2"/>
    </font>
    <font>
      <b/>
      <sz val="8"/>
      <color rgb="FF404040"/>
      <name val="Calibri"/>
      <family val="2"/>
    </font>
    <font>
      <sz val="8"/>
      <color rgb="FF404040"/>
      <name val="Calibri"/>
      <family val="2"/>
    </font>
    <font>
      <b/>
      <sz val="8"/>
      <color rgb="FF1F3864"/>
      <name val="Calibri"/>
      <family val="2"/>
    </font>
    <font>
      <b/>
      <sz val="11"/>
      <color rgb="FFFFFFFF"/>
      <name val="Calibri"/>
      <family val="2"/>
    </font>
    <font>
      <sz val="11"/>
      <color rgb="FFC00000"/>
      <name val="Calibri"/>
      <family val="2"/>
      <charset val="1"/>
    </font>
    <font>
      <sz val="9"/>
      <color rgb="FF40404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1F3864"/>
        <bgColor rgb="FF333399"/>
      </patternFill>
    </fill>
    <fill>
      <patternFill patternType="solid">
        <fgColor rgb="FF2E75B6"/>
        <bgColor rgb="FF4F81BD"/>
      </patternFill>
    </fill>
    <fill>
      <patternFill patternType="solid">
        <fgColor rgb="FFDEEAF1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1F6B75"/>
        <bgColor rgb="FF008080"/>
      </patternFill>
    </fill>
    <fill>
      <patternFill patternType="solid">
        <fgColor rgb="FF375623"/>
        <bgColor rgb="FF404040"/>
      </patternFill>
    </fill>
    <fill>
      <patternFill patternType="solid">
        <fgColor rgb="FFC55A11"/>
        <bgColor rgb="FFC0504D"/>
      </patternFill>
    </fill>
    <fill>
      <patternFill patternType="solid">
        <fgColor rgb="FFF2F2F2"/>
        <bgColor rgb="FFE2EFDA"/>
      </patternFill>
    </fill>
    <fill>
      <patternFill patternType="solid">
        <fgColor rgb="FF808080"/>
        <bgColor rgb="FF878787"/>
      </patternFill>
    </fill>
    <fill>
      <patternFill patternType="solid">
        <fgColor rgb="FF7030A0"/>
        <bgColor rgb="FF333399"/>
      </patternFill>
    </fill>
    <fill>
      <patternFill patternType="solid">
        <fgColor rgb="FFFFFFFF"/>
        <bgColor rgb="FFF2F2F2"/>
      </patternFill>
    </fill>
    <fill>
      <patternFill patternType="solid">
        <fgColor rgb="FFBDD7EE"/>
        <bgColor rgb="FFD9D9D9"/>
      </patternFill>
    </fill>
    <fill>
      <patternFill patternType="solid">
        <fgColor rgb="FFE2EFDA"/>
        <bgColor rgb="FFDEEAF1"/>
      </patternFill>
    </fill>
    <fill>
      <patternFill patternType="solid">
        <fgColor rgb="FFFCE4D6"/>
        <bgColor rgb="FFFFF2CC"/>
      </patternFill>
    </fill>
  </fills>
  <borders count="10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1" fillId="2" borderId="2" xfId="0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0" fontId="11" fillId="8" borderId="2" xfId="0" applyFont="1" applyFill="1" applyBorder="1" applyAlignment="1">
      <alignment horizontal="left" vertical="center"/>
    </xf>
    <xf numFmtId="0" fontId="11" fillId="11" borderId="2" xfId="0" applyFont="1" applyFill="1" applyBorder="1" applyAlignment="1">
      <alignment horizontal="left" vertical="center"/>
    </xf>
    <xf numFmtId="0" fontId="6" fillId="12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13" fillId="12" borderId="2" xfId="0" applyFont="1" applyFill="1" applyBorder="1" applyAlignment="1">
      <alignment horizontal="center"/>
    </xf>
    <xf numFmtId="0" fontId="6" fillId="12" borderId="2" xfId="0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/>
    </xf>
    <xf numFmtId="0" fontId="1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164" fontId="13" fillId="4" borderId="2" xfId="0" applyNumberFormat="1" applyFont="1" applyFill="1" applyBorder="1" applyAlignment="1">
      <alignment horizontal="center"/>
    </xf>
    <xf numFmtId="0" fontId="13" fillId="12" borderId="2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164" fontId="6" fillId="12" borderId="2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left" vertical="center"/>
    </xf>
    <xf numFmtId="0" fontId="0" fillId="0" borderId="2" xfId="0" applyBorder="1"/>
    <xf numFmtId="0" fontId="16" fillId="13" borderId="2" xfId="0" applyFont="1" applyFill="1" applyBorder="1" applyAlignment="1">
      <alignment horizontal="left" vertical="center"/>
    </xf>
    <xf numFmtId="0" fontId="16" fillId="13" borderId="2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left" vertical="center"/>
    </xf>
    <xf numFmtId="0" fontId="17" fillId="12" borderId="2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7" fillId="9" borderId="2" xfId="0" applyFont="1" applyFill="1" applyBorder="1" applyAlignment="1">
      <alignment horizontal="left" vertical="center"/>
    </xf>
    <xf numFmtId="0" fontId="6" fillId="14" borderId="2" xfId="0" applyFont="1" applyFill="1" applyBorder="1" applyAlignment="1">
      <alignment horizontal="left" vertical="center"/>
    </xf>
    <xf numFmtId="0" fontId="13" fillId="14" borderId="2" xfId="0" applyFont="1" applyFill="1" applyBorder="1" applyAlignment="1">
      <alignment horizontal="center"/>
    </xf>
    <xf numFmtId="165" fontId="6" fillId="14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left" vertical="center"/>
    </xf>
    <xf numFmtId="0" fontId="13" fillId="5" borderId="2" xfId="0" applyFont="1" applyFill="1" applyBorder="1" applyAlignment="1">
      <alignment horizontal="center"/>
    </xf>
    <xf numFmtId="0" fontId="6" fillId="15" borderId="2" xfId="0" applyFont="1" applyFill="1" applyBorder="1" applyAlignment="1">
      <alignment horizontal="left" vertical="center"/>
    </xf>
    <xf numFmtId="0" fontId="13" fillId="15" borderId="2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left" vertical="center"/>
    </xf>
    <xf numFmtId="0" fontId="14" fillId="13" borderId="2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/>
    </xf>
    <xf numFmtId="165" fontId="6" fillId="9" borderId="2" xfId="0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20" fillId="0" borderId="0" xfId="0" applyFont="1"/>
    <xf numFmtId="0" fontId="16" fillId="13" borderId="2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13" fillId="0" borderId="2" xfId="0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0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1" fillId="14" borderId="2" xfId="0" applyFont="1" applyFill="1" applyBorder="1" applyAlignment="1">
      <alignment horizontal="left" vertical="center"/>
    </xf>
    <xf numFmtId="1" fontId="13" fillId="9" borderId="2" xfId="0" applyNumberFormat="1" applyFont="1" applyFill="1" applyBorder="1" applyAlignment="1">
      <alignment horizontal="center"/>
    </xf>
    <xf numFmtId="1" fontId="13" fillId="12" borderId="2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4" borderId="3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10" fontId="5" fillId="4" borderId="1" xfId="0" applyNumberFormat="1" applyFont="1" applyFill="1" applyBorder="1" applyAlignment="1">
      <alignment horizontal="center" vertical="center"/>
    </xf>
    <xf numFmtId="10" fontId="5" fillId="4" borderId="3" xfId="0" applyNumberFormat="1" applyFont="1" applyFill="1" applyBorder="1" applyAlignment="1">
      <alignment horizontal="center" vertical="center"/>
    </xf>
    <xf numFmtId="10" fontId="5" fillId="4" borderId="9" xfId="0" applyNumberFormat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left" vertical="top" wrapText="1"/>
    </xf>
    <xf numFmtId="0" fontId="9" fillId="7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0" fillId="0" borderId="0" xfId="0" applyAlignment="1">
      <alignment horizontal="center" wrapText="1"/>
    </xf>
    <xf numFmtId="0" fontId="6" fillId="4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13" borderId="7" xfId="0" applyFont="1" applyFill="1" applyBorder="1" applyAlignment="1">
      <alignment horizontal="center" vertical="center"/>
    </xf>
    <xf numFmtId="0" fontId="14" fillId="13" borderId="8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FF66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008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6B75"/>
      <rgbColor rgb="FFBFBFBF"/>
      <rgbColor rgb="FF808080"/>
      <rgbColor rgb="FF9999FF"/>
      <rgbColor rgb="FF7030A0"/>
      <rgbColor rgb="FFFFF2CC"/>
      <rgbColor rgb="FFDEEAF1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D9D9D9"/>
      <rgbColor rgb="FFFF99CC"/>
      <rgbColor rgb="FFCC99FF"/>
      <rgbColor rgb="FFFCE4D6"/>
      <rgbColor rgb="FF2E75B6"/>
      <rgbColor rgb="FF4BACC6"/>
      <rgbColor rgb="FF9BBB59"/>
      <rgbColor rgb="FFFFCC00"/>
      <rgbColor rgb="FFFF9900"/>
      <rgbColor rgb="FFC55A11"/>
      <rgbColor rgb="FF8064A2"/>
      <rgbColor rgb="FF878787"/>
      <rgbColor rgb="FF1F3864"/>
      <rgbColor rgb="FF4F81BD"/>
      <rgbColor rgb="FF003300"/>
      <rgbColor rgb="FF375623"/>
      <rgbColor rgb="FF993300"/>
      <rgbColor rgb="FFC0504D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00"/>
      <color rgb="FFFFFF66"/>
      <color rgb="FF008000"/>
      <color rgb="FF41631B"/>
      <color rgb="FF0068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4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microsoft.com/office/2006/relationships/vbaProject" Target="vbaProject.bin"/><Relationship Id="rId10" Type="http://schemas.microsoft.com/office/2007/relationships/slicerCache" Target="slicerCaches/slicerCache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5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_PivotTables!$B$2:$B$3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_PivotTables!$B$4:$B$21</c:f>
              <c:numCache>
                <c:formatCode>General</c:formatCode>
                <c:ptCount val="17"/>
                <c:pt idx="0">
                  <c:v>153</c:v>
                </c:pt>
                <c:pt idx="1">
                  <c:v>157</c:v>
                </c:pt>
                <c:pt idx="2">
                  <c:v>167</c:v>
                </c:pt>
                <c:pt idx="3">
                  <c:v>144</c:v>
                </c:pt>
                <c:pt idx="4">
                  <c:v>134</c:v>
                </c:pt>
                <c:pt idx="5">
                  <c:v>240</c:v>
                </c:pt>
                <c:pt idx="6">
                  <c:v>202</c:v>
                </c:pt>
                <c:pt idx="7">
                  <c:v>235</c:v>
                </c:pt>
                <c:pt idx="8">
                  <c:v>217</c:v>
                </c:pt>
                <c:pt idx="9">
                  <c:v>146</c:v>
                </c:pt>
                <c:pt idx="10">
                  <c:v>152</c:v>
                </c:pt>
                <c:pt idx="11">
                  <c:v>76</c:v>
                </c:pt>
                <c:pt idx="12">
                  <c:v>141</c:v>
                </c:pt>
                <c:pt idx="13">
                  <c:v>138</c:v>
                </c:pt>
                <c:pt idx="14">
                  <c:v>141</c:v>
                </c:pt>
                <c:pt idx="15">
                  <c:v>170</c:v>
                </c:pt>
                <c:pt idx="16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D1-4662-96CF-F57A52392F13}"/>
            </c:ext>
          </c:extLst>
        </c:ser>
        <c:ser>
          <c:idx val="1"/>
          <c:order val="1"/>
          <c:tx>
            <c:strRef>
              <c:f>_PivotTables!$C$2:$C$3</c:f>
              <c:strCache>
                <c:ptCount val="1"/>
                <c:pt idx="0">
                  <c:v>Remove/Inactive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_PivotTables!$C$4:$C$21</c:f>
              <c:numCache>
                <c:formatCode>General</c:formatCode>
                <c:ptCount val="1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13</c:v>
                </c:pt>
                <c:pt idx="4">
                  <c:v>10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9</c:v>
                </c:pt>
                <c:pt idx="9">
                  <c:v>13</c:v>
                </c:pt>
                <c:pt idx="10">
                  <c:v>7</c:v>
                </c:pt>
                <c:pt idx="11">
                  <c:v>4</c:v>
                </c:pt>
                <c:pt idx="12">
                  <c:v>5</c:v>
                </c:pt>
                <c:pt idx="13">
                  <c:v>14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D-4D6D-8128-3A4AC7FB648F}"/>
            </c:ext>
          </c:extLst>
        </c:ser>
        <c:ser>
          <c:idx val="2"/>
          <c:order val="2"/>
          <c:tx>
            <c:strRef>
              <c:f>_PivotTables!$D$2:$D$3</c:f>
              <c:strCache>
                <c:ptCount val="1"/>
                <c:pt idx="0">
                  <c:v>Waiting on Someone 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_PivotTables!$D$4:$D$21</c:f>
              <c:numCache>
                <c:formatCode>General</c:formatCode>
                <c:ptCount val="17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14</c:v>
                </c:pt>
                <c:pt idx="4">
                  <c:v>16</c:v>
                </c:pt>
                <c:pt idx="5">
                  <c:v>25</c:v>
                </c:pt>
                <c:pt idx="6">
                  <c:v>25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12</c:v>
                </c:pt>
                <c:pt idx="11">
                  <c:v>7</c:v>
                </c:pt>
                <c:pt idx="12">
                  <c:v>20</c:v>
                </c:pt>
                <c:pt idx="13">
                  <c:v>19</c:v>
                </c:pt>
                <c:pt idx="14">
                  <c:v>11</c:v>
                </c:pt>
                <c:pt idx="15">
                  <c:v>14</c:v>
                </c:pt>
                <c:pt idx="16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D-4D6D-8128-3A4AC7FB648F}"/>
            </c:ext>
          </c:extLst>
        </c:ser>
        <c:ser>
          <c:idx val="3"/>
          <c:order val="3"/>
          <c:tx>
            <c:strRef>
              <c:f>_PivotTables!$E$2:$E$3</c:f>
              <c:strCache>
                <c:ptCount val="1"/>
                <c:pt idx="0">
                  <c:v>Ready for Work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_PivotTables!$E$4:$E$21</c:f>
              <c:numCache>
                <c:formatCode>General</c:formatCode>
                <c:ptCount val="17"/>
                <c:pt idx="0">
                  <c:v>12</c:v>
                </c:pt>
                <c:pt idx="1">
                  <c:v>7</c:v>
                </c:pt>
                <c:pt idx="2">
                  <c:v>15</c:v>
                </c:pt>
                <c:pt idx="3">
                  <c:v>14</c:v>
                </c:pt>
                <c:pt idx="4">
                  <c:v>6</c:v>
                </c:pt>
                <c:pt idx="5">
                  <c:v>15</c:v>
                </c:pt>
                <c:pt idx="6">
                  <c:v>17</c:v>
                </c:pt>
                <c:pt idx="7">
                  <c:v>21</c:v>
                </c:pt>
                <c:pt idx="8">
                  <c:v>16</c:v>
                </c:pt>
                <c:pt idx="9">
                  <c:v>10</c:v>
                </c:pt>
                <c:pt idx="10">
                  <c:v>13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12</c:v>
                </c:pt>
                <c:pt idx="15">
                  <c:v>13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D-4D6D-8128-3A4AC7FB648F}"/>
            </c:ext>
          </c:extLst>
        </c:ser>
        <c:ser>
          <c:idx val="4"/>
          <c:order val="4"/>
          <c:tx>
            <c:strRef>
              <c:f>_PivotTables!$F$2:$F$3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_PivotTables!$F$4:$F$21</c:f>
              <c:numCache>
                <c:formatCode>General</c:formatCode>
                <c:ptCount val="17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10</c:v>
                </c:pt>
                <c:pt idx="6">
                  <c:v>3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  <c:pt idx="10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E-4A22-A27A-EC2A4EE9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179679"/>
        <c:axId val="136180639"/>
      </c:barChart>
      <c:catAx>
        <c:axId val="1361796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6180639"/>
        <c:crosses val="autoZero"/>
        <c:auto val="1"/>
        <c:lblAlgn val="ctr"/>
        <c:lblOffset val="100"/>
        <c:noMultiLvlLbl val="0"/>
      </c:catAx>
      <c:valAx>
        <c:axId val="136180639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 b="1"/>
                  <a:t>Requests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03239647127442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[Billing_Dashboard.xlsm]_PivotTables!TD6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_PivotTables!$AA$2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_PivotTables!$Z$3:$Z$20</c:f>
              <c:strCache>
                <c:ptCount val="1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  <c:pt idx="7">
                  <c:v>2025-08</c:v>
                </c:pt>
                <c:pt idx="8">
                  <c:v>2025-09</c:v>
                </c:pt>
                <c:pt idx="9">
                  <c:v>2025-10</c:v>
                </c:pt>
                <c:pt idx="10">
                  <c:v>2025-11</c:v>
                </c:pt>
                <c:pt idx="11">
                  <c:v>2025-12</c:v>
                </c:pt>
                <c:pt idx="12">
                  <c:v>2026-01</c:v>
                </c:pt>
                <c:pt idx="13">
                  <c:v>2026-02</c:v>
                </c:pt>
                <c:pt idx="14">
                  <c:v>2026-03</c:v>
                </c:pt>
                <c:pt idx="15">
                  <c:v>2026-04</c:v>
                </c:pt>
                <c:pt idx="16">
                  <c:v>2026-05</c:v>
                </c:pt>
              </c:strCache>
            </c:strRef>
          </c:cat>
          <c:val>
            <c:numRef>
              <c:f>_PivotTables!$AA$3:$AA$20</c:f>
              <c:numCache>
                <c:formatCode>General</c:formatCode>
                <c:ptCount val="17"/>
                <c:pt idx="0">
                  <c:v>192</c:v>
                </c:pt>
                <c:pt idx="1">
                  <c:v>200</c:v>
                </c:pt>
                <c:pt idx="2">
                  <c:v>180</c:v>
                </c:pt>
                <c:pt idx="3">
                  <c:v>186</c:v>
                </c:pt>
                <c:pt idx="4">
                  <c:v>186</c:v>
                </c:pt>
                <c:pt idx="5">
                  <c:v>183</c:v>
                </c:pt>
                <c:pt idx="6">
                  <c:v>209</c:v>
                </c:pt>
                <c:pt idx="7">
                  <c:v>191</c:v>
                </c:pt>
                <c:pt idx="8">
                  <c:v>191</c:v>
                </c:pt>
                <c:pt idx="9">
                  <c:v>209</c:v>
                </c:pt>
                <c:pt idx="10">
                  <c:v>190</c:v>
                </c:pt>
                <c:pt idx="11">
                  <c:v>169</c:v>
                </c:pt>
                <c:pt idx="12">
                  <c:v>306</c:v>
                </c:pt>
                <c:pt idx="13">
                  <c:v>263</c:v>
                </c:pt>
                <c:pt idx="14">
                  <c:v>295</c:v>
                </c:pt>
                <c:pt idx="15">
                  <c:v>267</c:v>
                </c:pt>
                <c:pt idx="1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5-441C-9FC9-2C447957E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03679"/>
        <c:axId val="136199359"/>
      </c:barChart>
      <c:catAx>
        <c:axId val="13620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9359"/>
        <c:crosses val="autoZero"/>
        <c:auto val="1"/>
        <c:lblAlgn val="ctr"/>
        <c:lblOffset val="100"/>
        <c:noMultiLvlLbl val="0"/>
      </c:catAx>
      <c:valAx>
        <c:axId val="136199359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 b="1"/>
                  <a:t>Billing</a:t>
                </a:r>
                <a:r>
                  <a:rPr lang="es-CR" b="1" baseline="0"/>
                  <a:t> Requests</a:t>
                </a:r>
                <a:endParaRPr lang="es-C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03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_PivotTables!$M$3:$M$10</c:f>
              <c:strCache>
                <c:ptCount val="7"/>
                <c:pt idx="0">
                  <c:v>Other Invoice Details</c:v>
                </c:pt>
                <c:pt idx="1">
                  <c:v>Late Billing Submission</c:v>
                </c:pt>
                <c:pt idx="2">
                  <c:v>Incorrect Invoice Amount</c:v>
                </c:pt>
                <c:pt idx="3">
                  <c:v>Agency Revision Request</c:v>
                </c:pt>
                <c:pt idx="4">
                  <c:v>Missing Backup Documentation</c:v>
                </c:pt>
                <c:pt idx="5">
                  <c:v>PO / IO Mismatch</c:v>
                </c:pt>
              </c:strCache>
            </c:strRef>
          </c:cat>
          <c:val>
            <c:numRef>
              <c:f>_PivotTables!$N$3:$N$10</c:f>
              <c:numCache>
                <c:formatCode>General</c:formatCode>
                <c:ptCount val="7"/>
                <c:pt idx="0">
                  <c:v>496</c:v>
                </c:pt>
                <c:pt idx="1">
                  <c:v>520</c:v>
                </c:pt>
                <c:pt idx="2">
                  <c:v>533</c:v>
                </c:pt>
                <c:pt idx="3">
                  <c:v>474</c:v>
                </c:pt>
                <c:pt idx="4">
                  <c:v>491</c:v>
                </c:pt>
                <c:pt idx="5">
                  <c:v>493</c:v>
                </c:pt>
                <c:pt idx="6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E-41E2-8893-BEBAFB44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204159"/>
        <c:axId val="136219039"/>
      </c:barChart>
      <c:catAx>
        <c:axId val="136204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19039"/>
        <c:crosses val="autoZero"/>
        <c:auto val="1"/>
        <c:lblAlgn val="ctr"/>
        <c:lblOffset val="100"/>
        <c:noMultiLvlLbl val="0"/>
      </c:catAx>
      <c:valAx>
        <c:axId val="136219039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04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[Billing_Dashboard.xlsm]_PivotTables!TD7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_PivotTables!$AE$2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_PivotTables!$AD$3:$AD$8</c:f>
              <c:strCache>
                <c:ptCount val="5"/>
                <c:pt idx="0">
                  <c:v>NASCAR</c:v>
                </c:pt>
                <c:pt idx="1">
                  <c:v>NBA</c:v>
                </c:pt>
                <c:pt idx="2">
                  <c:v>NWSL</c:v>
                </c:pt>
                <c:pt idx="3">
                  <c:v>Other</c:v>
                </c:pt>
                <c:pt idx="4">
                  <c:v>TNF / NFL</c:v>
                </c:pt>
              </c:strCache>
            </c:strRef>
          </c:cat>
          <c:val>
            <c:numRef>
              <c:f>_PivotTables!$AE$3:$AE$8</c:f>
              <c:numCache>
                <c:formatCode>General</c:formatCode>
                <c:ptCount val="5"/>
                <c:pt idx="0">
                  <c:v>711</c:v>
                </c:pt>
                <c:pt idx="1">
                  <c:v>728</c:v>
                </c:pt>
                <c:pt idx="2">
                  <c:v>717</c:v>
                </c:pt>
                <c:pt idx="3">
                  <c:v>990</c:v>
                </c:pt>
                <c:pt idx="4">
                  <c:v>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1-4E4B-BAFD-815545441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198879"/>
        <c:axId val="136199839"/>
      </c:barChart>
      <c:catAx>
        <c:axId val="13619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9839"/>
        <c:crosses val="autoZero"/>
        <c:auto val="1"/>
        <c:lblAlgn val="ctr"/>
        <c:lblOffset val="100"/>
        <c:noMultiLvlLbl val="0"/>
      </c:catAx>
      <c:valAx>
        <c:axId val="136199839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8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[Billing_Dashboard.xlsm]_PivotTables!TD5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_PivotTables!$V$2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_PivotTables!$U$3:$U$13</c:f>
              <c:strCache>
                <c:ptCount val="10"/>
                <c:pt idx="0">
                  <c:v>Connor Mora</c:v>
                </c:pt>
                <c:pt idx="1">
                  <c:v>Gabo Munoz</c:v>
                </c:pt>
                <c:pt idx="2">
                  <c:v>Tyler Ward</c:v>
                </c:pt>
                <c:pt idx="3">
                  <c:v>Elena Salazar Castillo</c:v>
                </c:pt>
                <c:pt idx="4">
                  <c:v>Kevin Parker</c:v>
                </c:pt>
                <c:pt idx="5">
                  <c:v>Sofia Morales</c:v>
                </c:pt>
                <c:pt idx="6">
                  <c:v>Andrew Rivera</c:v>
                </c:pt>
                <c:pt idx="7">
                  <c:v>Angelica Herrera Calvo</c:v>
                </c:pt>
                <c:pt idx="8">
                  <c:v>Laura Jenkins</c:v>
                </c:pt>
                <c:pt idx="9">
                  <c:v>Melissa Grant</c:v>
                </c:pt>
              </c:strCache>
            </c:strRef>
          </c:cat>
          <c:val>
            <c:numRef>
              <c:f>_PivotTables!$V$3:$V$13</c:f>
              <c:numCache>
                <c:formatCode>General</c:formatCode>
                <c:ptCount val="10"/>
                <c:pt idx="0">
                  <c:v>356</c:v>
                </c:pt>
                <c:pt idx="1">
                  <c:v>375</c:v>
                </c:pt>
                <c:pt idx="2">
                  <c:v>326</c:v>
                </c:pt>
                <c:pt idx="3">
                  <c:v>340</c:v>
                </c:pt>
                <c:pt idx="4">
                  <c:v>333</c:v>
                </c:pt>
                <c:pt idx="5">
                  <c:v>344</c:v>
                </c:pt>
                <c:pt idx="6">
                  <c:v>339</c:v>
                </c:pt>
                <c:pt idx="7">
                  <c:v>373</c:v>
                </c:pt>
                <c:pt idx="8">
                  <c:v>364</c:v>
                </c:pt>
                <c:pt idx="9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B-4DD7-AC7C-F62FAF57C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174399"/>
        <c:axId val="136176319"/>
      </c:barChart>
      <c:catAx>
        <c:axId val="136174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6319"/>
        <c:crosses val="autoZero"/>
        <c:auto val="1"/>
        <c:lblAlgn val="ctr"/>
        <c:lblOffset val="100"/>
        <c:noMultiLvlLbl val="0"/>
      </c:catAx>
      <c:valAx>
        <c:axId val="136176319"/>
        <c:scaling>
          <c:orientation val="minMax"/>
          <c:max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878787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_PivotTables!$R$2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_PivotTables!$Q$3:$Q$8</c:f>
              <c:strCache>
                <c:ptCount val="5"/>
                <c:pt idx="0">
                  <c:v>0-7 days</c:v>
                </c:pt>
                <c:pt idx="1">
                  <c:v>8-14 days</c:v>
                </c:pt>
                <c:pt idx="2">
                  <c:v>15-30 days</c:v>
                </c:pt>
                <c:pt idx="3">
                  <c:v>31-60 days</c:v>
                </c:pt>
                <c:pt idx="4">
                  <c:v>61+ days</c:v>
                </c:pt>
              </c:strCache>
            </c:strRef>
          </c:cat>
          <c:val>
            <c:numRef>
              <c:f>_PivotTables!$R$3:$R$8</c:f>
              <c:numCache>
                <c:formatCode>General</c:formatCode>
                <c:ptCount val="5"/>
                <c:pt idx="0">
                  <c:v>291</c:v>
                </c:pt>
                <c:pt idx="1">
                  <c:v>262</c:v>
                </c:pt>
                <c:pt idx="2">
                  <c:v>550</c:v>
                </c:pt>
                <c:pt idx="3">
                  <c:v>929</c:v>
                </c:pt>
                <c:pt idx="4">
                  <c:v>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25-40B9-9C08-080DA63F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9494272"/>
        <c:axId val="479493792"/>
      </c:barChart>
      <c:catAx>
        <c:axId val="4794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479493792"/>
        <c:crosses val="autoZero"/>
        <c:auto val="1"/>
        <c:lblAlgn val="ctr"/>
        <c:lblOffset val="100"/>
        <c:noMultiLvlLbl val="0"/>
      </c:catAx>
      <c:valAx>
        <c:axId val="47949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 b="1"/>
                  <a:t>Completed</a:t>
                </a:r>
                <a:r>
                  <a:rPr lang="es-CR" b="1" baseline="0"/>
                  <a:t> Requests</a:t>
                </a:r>
                <a:endParaRPr lang="es-C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4794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[Billing_Dashboard.xlsm]_PivotTables!TD2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_PivotTables!$J$2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CF-441D-9B51-80032CB25C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CF-441D-9B51-80032CB25C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CF-441D-9B51-80032CB25C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CF-441D-9B51-80032CB25C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7CF-441D-9B51-80032CB25C03}"/>
              </c:ext>
            </c:extLst>
          </c:dPt>
          <c:cat>
            <c:strRef>
              <c:f>_PivotTables!$I$3:$I$8</c:f>
              <c:strCache>
                <c:ptCount val="5"/>
                <c:pt idx="0">
                  <c:v>Complete</c:v>
                </c:pt>
                <c:pt idx="1">
                  <c:v>Remove/Inactive</c:v>
                </c:pt>
                <c:pt idx="2">
                  <c:v>Waiting on Someone Else</c:v>
                </c:pt>
                <c:pt idx="3">
                  <c:v>Ready for Work</c:v>
                </c:pt>
                <c:pt idx="4">
                  <c:v>Blocked</c:v>
                </c:pt>
              </c:strCache>
            </c:strRef>
          </c:cat>
          <c:val>
            <c:numRef>
              <c:f>_PivotTables!$J$3:$J$8</c:f>
              <c:numCache>
                <c:formatCode>General</c:formatCode>
                <c:ptCount val="5"/>
                <c:pt idx="0">
                  <c:v>2769</c:v>
                </c:pt>
                <c:pt idx="1">
                  <c:v>177</c:v>
                </c:pt>
                <c:pt idx="2">
                  <c:v>274</c:v>
                </c:pt>
                <c:pt idx="3">
                  <c:v>212</c:v>
                </c:pt>
                <c:pt idx="4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CF-441D-9B51-80032CB25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_PivotTables!$B$2:$B$3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_PivotTables!$B$4:$B$21</c:f>
              <c:numCache>
                <c:formatCode>General</c:formatCode>
                <c:ptCount val="17"/>
                <c:pt idx="0">
                  <c:v>153</c:v>
                </c:pt>
                <c:pt idx="1">
                  <c:v>157</c:v>
                </c:pt>
                <c:pt idx="2">
                  <c:v>167</c:v>
                </c:pt>
                <c:pt idx="3">
                  <c:v>144</c:v>
                </c:pt>
                <c:pt idx="4">
                  <c:v>134</c:v>
                </c:pt>
                <c:pt idx="5">
                  <c:v>240</c:v>
                </c:pt>
                <c:pt idx="6">
                  <c:v>202</c:v>
                </c:pt>
                <c:pt idx="7">
                  <c:v>235</c:v>
                </c:pt>
                <c:pt idx="8">
                  <c:v>217</c:v>
                </c:pt>
                <c:pt idx="9">
                  <c:v>146</c:v>
                </c:pt>
                <c:pt idx="10">
                  <c:v>152</c:v>
                </c:pt>
                <c:pt idx="11">
                  <c:v>76</c:v>
                </c:pt>
                <c:pt idx="12">
                  <c:v>141</c:v>
                </c:pt>
                <c:pt idx="13">
                  <c:v>138</c:v>
                </c:pt>
                <c:pt idx="14">
                  <c:v>141</c:v>
                </c:pt>
                <c:pt idx="15">
                  <c:v>170</c:v>
                </c:pt>
                <c:pt idx="16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76-46BF-B3C4-6BD4A17C4636}"/>
            </c:ext>
          </c:extLst>
        </c:ser>
        <c:ser>
          <c:idx val="1"/>
          <c:order val="1"/>
          <c:tx>
            <c:strRef>
              <c:f>_PivotTables!$C$2:$C$3</c:f>
              <c:strCache>
                <c:ptCount val="1"/>
                <c:pt idx="0">
                  <c:v>Remove/Inactive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_PivotTables!$C$4:$C$21</c:f>
              <c:numCache>
                <c:formatCode>General</c:formatCode>
                <c:ptCount val="1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13</c:v>
                </c:pt>
                <c:pt idx="4">
                  <c:v>10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9</c:v>
                </c:pt>
                <c:pt idx="9">
                  <c:v>13</c:v>
                </c:pt>
                <c:pt idx="10">
                  <c:v>7</c:v>
                </c:pt>
                <c:pt idx="11">
                  <c:v>4</c:v>
                </c:pt>
                <c:pt idx="12">
                  <c:v>5</c:v>
                </c:pt>
                <c:pt idx="13">
                  <c:v>14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0-4B23-85F8-6D1130229DE1}"/>
            </c:ext>
          </c:extLst>
        </c:ser>
        <c:ser>
          <c:idx val="2"/>
          <c:order val="2"/>
          <c:tx>
            <c:strRef>
              <c:f>_PivotTables!$D$2:$D$3</c:f>
              <c:strCache>
                <c:ptCount val="1"/>
                <c:pt idx="0">
                  <c:v>Waiting on Someone 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_PivotTables!$D$4:$D$21</c:f>
              <c:numCache>
                <c:formatCode>General</c:formatCode>
                <c:ptCount val="17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14</c:v>
                </c:pt>
                <c:pt idx="4">
                  <c:v>16</c:v>
                </c:pt>
                <c:pt idx="5">
                  <c:v>25</c:v>
                </c:pt>
                <c:pt idx="6">
                  <c:v>25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12</c:v>
                </c:pt>
                <c:pt idx="11">
                  <c:v>7</c:v>
                </c:pt>
                <c:pt idx="12">
                  <c:v>20</c:v>
                </c:pt>
                <c:pt idx="13">
                  <c:v>19</c:v>
                </c:pt>
                <c:pt idx="14">
                  <c:v>11</c:v>
                </c:pt>
                <c:pt idx="15">
                  <c:v>14</c:v>
                </c:pt>
                <c:pt idx="16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00-4B23-85F8-6D1130229DE1}"/>
            </c:ext>
          </c:extLst>
        </c:ser>
        <c:ser>
          <c:idx val="3"/>
          <c:order val="3"/>
          <c:tx>
            <c:strRef>
              <c:f>_PivotTables!$E$2:$E$3</c:f>
              <c:strCache>
                <c:ptCount val="1"/>
                <c:pt idx="0">
                  <c:v>Ready for Work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_PivotTables!$E$4:$E$21</c:f>
              <c:numCache>
                <c:formatCode>General</c:formatCode>
                <c:ptCount val="17"/>
                <c:pt idx="0">
                  <c:v>12</c:v>
                </c:pt>
                <c:pt idx="1">
                  <c:v>7</c:v>
                </c:pt>
                <c:pt idx="2">
                  <c:v>15</c:v>
                </c:pt>
                <c:pt idx="3">
                  <c:v>14</c:v>
                </c:pt>
                <c:pt idx="4">
                  <c:v>6</c:v>
                </c:pt>
                <c:pt idx="5">
                  <c:v>15</c:v>
                </c:pt>
                <c:pt idx="6">
                  <c:v>17</c:v>
                </c:pt>
                <c:pt idx="7">
                  <c:v>21</c:v>
                </c:pt>
                <c:pt idx="8">
                  <c:v>16</c:v>
                </c:pt>
                <c:pt idx="9">
                  <c:v>10</c:v>
                </c:pt>
                <c:pt idx="10">
                  <c:v>13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12</c:v>
                </c:pt>
                <c:pt idx="15">
                  <c:v>13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00-4B23-85F8-6D1130229DE1}"/>
            </c:ext>
          </c:extLst>
        </c:ser>
        <c:ser>
          <c:idx val="4"/>
          <c:order val="4"/>
          <c:tx>
            <c:strRef>
              <c:f>_PivotTables!$F$2:$F$3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_PivotTables!$A$4:$A$21</c:f>
              <c:strCache>
                <c:ptCount val="17"/>
                <c:pt idx="0">
                  <c:v>2025-08</c:v>
                </c:pt>
                <c:pt idx="1">
                  <c:v>2025-09</c:v>
                </c:pt>
                <c:pt idx="2">
                  <c:v>2025-10</c:v>
                </c:pt>
                <c:pt idx="3">
                  <c:v>2025-11</c:v>
                </c:pt>
                <c:pt idx="4">
                  <c:v>2025-12</c:v>
                </c:pt>
                <c:pt idx="5">
                  <c:v>2026-01</c:v>
                </c:pt>
                <c:pt idx="6">
                  <c:v>2026-02</c:v>
                </c:pt>
                <c:pt idx="7">
                  <c:v>2026-03</c:v>
                </c:pt>
                <c:pt idx="8">
                  <c:v>2026-04</c:v>
                </c:pt>
                <c:pt idx="9">
                  <c:v>2025-01</c:v>
                </c:pt>
                <c:pt idx="10">
                  <c:v>2025-05</c:v>
                </c:pt>
                <c:pt idx="11">
                  <c:v>2026-05</c:v>
                </c:pt>
                <c:pt idx="12">
                  <c:v>2025-06</c:v>
                </c:pt>
                <c:pt idx="13">
                  <c:v>2025-04</c:v>
                </c:pt>
                <c:pt idx="14">
                  <c:v>2025-03</c:v>
                </c:pt>
                <c:pt idx="15">
                  <c:v>2025-07</c:v>
                </c:pt>
                <c:pt idx="16">
                  <c:v>2025-02</c:v>
                </c:pt>
              </c:strCache>
            </c:strRef>
          </c:cat>
          <c:val>
            <c:numRef>
              <c:f>_PivotTables!$F$4:$F$21</c:f>
              <c:numCache>
                <c:formatCode>General</c:formatCode>
                <c:ptCount val="17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10</c:v>
                </c:pt>
                <c:pt idx="6">
                  <c:v>3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  <c:pt idx="10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0-4282-997E-4CBF678E7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179679"/>
        <c:axId val="136180639"/>
      </c:barChart>
      <c:catAx>
        <c:axId val="13617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80639"/>
        <c:crosses val="autoZero"/>
        <c:auto val="1"/>
        <c:lblAlgn val="ctr"/>
        <c:lblOffset val="100"/>
        <c:noMultiLvlLbl val="0"/>
      </c:catAx>
      <c:valAx>
        <c:axId val="13618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_PivotTables!$J$2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1B-45E6-BCB2-2B403EB44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1B-45E6-BCB2-2B403EB445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1B-45E6-BCB2-2B403EB445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A1B-45E6-BCB2-2B403EB445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BB-4D05-B946-E020B1BCC90F}"/>
              </c:ext>
            </c:extLst>
          </c:dPt>
          <c:cat>
            <c:strRef>
              <c:f>_PivotTables!$I$3:$I$8</c:f>
              <c:strCache>
                <c:ptCount val="5"/>
                <c:pt idx="0">
                  <c:v>Complete</c:v>
                </c:pt>
                <c:pt idx="1">
                  <c:v>Remove/Inactive</c:v>
                </c:pt>
                <c:pt idx="2">
                  <c:v>Waiting on Someone Else</c:v>
                </c:pt>
                <c:pt idx="3">
                  <c:v>Ready for Work</c:v>
                </c:pt>
                <c:pt idx="4">
                  <c:v>Blocked</c:v>
                </c:pt>
              </c:strCache>
            </c:strRef>
          </c:cat>
          <c:val>
            <c:numRef>
              <c:f>_PivotTables!$J$3:$J$8</c:f>
              <c:numCache>
                <c:formatCode>General</c:formatCode>
                <c:ptCount val="5"/>
                <c:pt idx="0">
                  <c:v>2769</c:v>
                </c:pt>
                <c:pt idx="1">
                  <c:v>177</c:v>
                </c:pt>
                <c:pt idx="2">
                  <c:v>274</c:v>
                </c:pt>
                <c:pt idx="3">
                  <c:v>212</c:v>
                </c:pt>
                <c:pt idx="4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52-47FD-81A2-D3B7D2B9A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_PivotTables!$V$2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_PivotTables!$U$3:$U$13</c:f>
              <c:strCache>
                <c:ptCount val="10"/>
                <c:pt idx="0">
                  <c:v>Connor Mora</c:v>
                </c:pt>
                <c:pt idx="1">
                  <c:v>Gabo Munoz</c:v>
                </c:pt>
                <c:pt idx="2">
                  <c:v>Tyler Ward</c:v>
                </c:pt>
                <c:pt idx="3">
                  <c:v>Elena Salazar Castillo</c:v>
                </c:pt>
                <c:pt idx="4">
                  <c:v>Kevin Parker</c:v>
                </c:pt>
                <c:pt idx="5">
                  <c:v>Sofia Morales</c:v>
                </c:pt>
                <c:pt idx="6">
                  <c:v>Andrew Rivera</c:v>
                </c:pt>
                <c:pt idx="7">
                  <c:v>Angelica Herrera Calvo</c:v>
                </c:pt>
                <c:pt idx="8">
                  <c:v>Laura Jenkins</c:v>
                </c:pt>
                <c:pt idx="9">
                  <c:v>Melissa Grant</c:v>
                </c:pt>
              </c:strCache>
            </c:strRef>
          </c:cat>
          <c:val>
            <c:numRef>
              <c:f>_PivotTables!$V$3:$V$13</c:f>
              <c:numCache>
                <c:formatCode>General</c:formatCode>
                <c:ptCount val="10"/>
                <c:pt idx="0">
                  <c:v>356</c:v>
                </c:pt>
                <c:pt idx="1">
                  <c:v>375</c:v>
                </c:pt>
                <c:pt idx="2">
                  <c:v>326</c:v>
                </c:pt>
                <c:pt idx="3">
                  <c:v>340</c:v>
                </c:pt>
                <c:pt idx="4">
                  <c:v>333</c:v>
                </c:pt>
                <c:pt idx="5">
                  <c:v>344</c:v>
                </c:pt>
                <c:pt idx="6">
                  <c:v>339</c:v>
                </c:pt>
                <c:pt idx="7">
                  <c:v>373</c:v>
                </c:pt>
                <c:pt idx="8">
                  <c:v>364</c:v>
                </c:pt>
                <c:pt idx="9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1-4999-9566-2844997D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174399"/>
        <c:axId val="136176319"/>
      </c:barChart>
      <c:catAx>
        <c:axId val="136174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6319"/>
        <c:crosses val="autoZero"/>
        <c:auto val="1"/>
        <c:lblAlgn val="ctr"/>
        <c:lblOffset val="100"/>
        <c:noMultiLvlLbl val="0"/>
      </c:catAx>
      <c:valAx>
        <c:axId val="13617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7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_PivotTables!$AE$2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_PivotTables!$AD$3:$AD$8</c:f>
              <c:strCache>
                <c:ptCount val="5"/>
                <c:pt idx="0">
                  <c:v>NASCAR</c:v>
                </c:pt>
                <c:pt idx="1">
                  <c:v>NBA</c:v>
                </c:pt>
                <c:pt idx="2">
                  <c:v>NWSL</c:v>
                </c:pt>
                <c:pt idx="3">
                  <c:v>Other</c:v>
                </c:pt>
                <c:pt idx="4">
                  <c:v>TNF / NFL</c:v>
                </c:pt>
              </c:strCache>
            </c:strRef>
          </c:cat>
          <c:val>
            <c:numRef>
              <c:f>_PivotTables!$AE$3:$AE$8</c:f>
              <c:numCache>
                <c:formatCode>General</c:formatCode>
                <c:ptCount val="5"/>
                <c:pt idx="0">
                  <c:v>711</c:v>
                </c:pt>
                <c:pt idx="1">
                  <c:v>728</c:v>
                </c:pt>
                <c:pt idx="2">
                  <c:v>717</c:v>
                </c:pt>
                <c:pt idx="3">
                  <c:v>990</c:v>
                </c:pt>
                <c:pt idx="4">
                  <c:v>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F-422D-BB05-85DE98F09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198879"/>
        <c:axId val="136199839"/>
      </c:barChart>
      <c:catAx>
        <c:axId val="136198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9839"/>
        <c:crosses val="autoZero"/>
        <c:auto val="1"/>
        <c:lblAlgn val="ctr"/>
        <c:lblOffset val="100"/>
        <c:noMultiLvlLbl val="0"/>
      </c:catAx>
      <c:valAx>
        <c:axId val="136199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_PivotTables!$AA$2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_PivotTables!$Z$3:$Z$20</c:f>
              <c:strCache>
                <c:ptCount val="1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  <c:pt idx="7">
                  <c:v>2025-08</c:v>
                </c:pt>
                <c:pt idx="8">
                  <c:v>2025-09</c:v>
                </c:pt>
                <c:pt idx="9">
                  <c:v>2025-10</c:v>
                </c:pt>
                <c:pt idx="10">
                  <c:v>2025-11</c:v>
                </c:pt>
                <c:pt idx="11">
                  <c:v>2025-12</c:v>
                </c:pt>
                <c:pt idx="12">
                  <c:v>2026-01</c:v>
                </c:pt>
                <c:pt idx="13">
                  <c:v>2026-02</c:v>
                </c:pt>
                <c:pt idx="14">
                  <c:v>2026-03</c:v>
                </c:pt>
                <c:pt idx="15">
                  <c:v>2026-04</c:v>
                </c:pt>
                <c:pt idx="16">
                  <c:v>2026-05</c:v>
                </c:pt>
              </c:strCache>
            </c:strRef>
          </c:cat>
          <c:val>
            <c:numRef>
              <c:f>_PivotTables!$AA$3:$AA$20</c:f>
              <c:numCache>
                <c:formatCode>General</c:formatCode>
                <c:ptCount val="17"/>
                <c:pt idx="0">
                  <c:v>192</c:v>
                </c:pt>
                <c:pt idx="1">
                  <c:v>200</c:v>
                </c:pt>
                <c:pt idx="2">
                  <c:v>180</c:v>
                </c:pt>
                <c:pt idx="3">
                  <c:v>186</c:v>
                </c:pt>
                <c:pt idx="4">
                  <c:v>186</c:v>
                </c:pt>
                <c:pt idx="5">
                  <c:v>183</c:v>
                </c:pt>
                <c:pt idx="6">
                  <c:v>209</c:v>
                </c:pt>
                <c:pt idx="7">
                  <c:v>191</c:v>
                </c:pt>
                <c:pt idx="8">
                  <c:v>191</c:v>
                </c:pt>
                <c:pt idx="9">
                  <c:v>209</c:v>
                </c:pt>
                <c:pt idx="10">
                  <c:v>190</c:v>
                </c:pt>
                <c:pt idx="11">
                  <c:v>169</c:v>
                </c:pt>
                <c:pt idx="12">
                  <c:v>306</c:v>
                </c:pt>
                <c:pt idx="13">
                  <c:v>263</c:v>
                </c:pt>
                <c:pt idx="14">
                  <c:v>295</c:v>
                </c:pt>
                <c:pt idx="15">
                  <c:v>267</c:v>
                </c:pt>
                <c:pt idx="1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C-4DA0-81A8-92EEE6245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03679"/>
        <c:axId val="136199359"/>
      </c:barChart>
      <c:catAx>
        <c:axId val="13620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199359"/>
        <c:crosses val="autoZero"/>
        <c:auto val="1"/>
        <c:lblAlgn val="ctr"/>
        <c:lblOffset val="100"/>
        <c:noMultiLvlLbl val="0"/>
      </c:catAx>
      <c:valAx>
        <c:axId val="13619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0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_PivotTables!$N$2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_PivotTables!$M$3:$M$10</c:f>
              <c:strCache>
                <c:ptCount val="7"/>
                <c:pt idx="0">
                  <c:v>Other Invoice Details</c:v>
                </c:pt>
                <c:pt idx="1">
                  <c:v>Late Billing Submission</c:v>
                </c:pt>
                <c:pt idx="2">
                  <c:v>Incorrect Invoice Amount</c:v>
                </c:pt>
                <c:pt idx="3">
                  <c:v>Agency Revision Request</c:v>
                </c:pt>
                <c:pt idx="4">
                  <c:v>Missing Backup Documentation</c:v>
                </c:pt>
                <c:pt idx="5">
                  <c:v>PO / IO Mismatch</c:v>
                </c:pt>
              </c:strCache>
            </c:strRef>
          </c:cat>
          <c:val>
            <c:numRef>
              <c:f>_PivotTables!$N$3:$N$10</c:f>
              <c:numCache>
                <c:formatCode>General</c:formatCode>
                <c:ptCount val="7"/>
                <c:pt idx="0">
                  <c:v>496</c:v>
                </c:pt>
                <c:pt idx="1">
                  <c:v>520</c:v>
                </c:pt>
                <c:pt idx="2">
                  <c:v>533</c:v>
                </c:pt>
                <c:pt idx="3">
                  <c:v>474</c:v>
                </c:pt>
                <c:pt idx="4">
                  <c:v>491</c:v>
                </c:pt>
                <c:pt idx="5">
                  <c:v>493</c:v>
                </c:pt>
                <c:pt idx="6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8-43C0-8193-552DED144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204159"/>
        <c:axId val="136219039"/>
      </c:barChart>
      <c:catAx>
        <c:axId val="136204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19039"/>
        <c:crosses val="autoZero"/>
        <c:auto val="1"/>
        <c:lblAlgn val="ctr"/>
        <c:lblOffset val="100"/>
        <c:noMultiLvlLbl val="0"/>
      </c:catAx>
      <c:valAx>
        <c:axId val="13621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3620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[Billing_Dashboard.xlsm]_PivotTables!TD4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_PivotTables!$R$2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_PivotTables!$Q$3:$Q$8</c:f>
              <c:strCache>
                <c:ptCount val="5"/>
                <c:pt idx="0">
                  <c:v>0-7 days</c:v>
                </c:pt>
                <c:pt idx="1">
                  <c:v>8-14 days</c:v>
                </c:pt>
                <c:pt idx="2">
                  <c:v>15-30 days</c:v>
                </c:pt>
                <c:pt idx="3">
                  <c:v>31-60 days</c:v>
                </c:pt>
                <c:pt idx="4">
                  <c:v>61+ days</c:v>
                </c:pt>
              </c:strCache>
            </c:strRef>
          </c:cat>
          <c:val>
            <c:numRef>
              <c:f>_PivotTables!$R$3:$R$8</c:f>
              <c:numCache>
                <c:formatCode>General</c:formatCode>
                <c:ptCount val="5"/>
                <c:pt idx="0">
                  <c:v>291</c:v>
                </c:pt>
                <c:pt idx="1">
                  <c:v>262</c:v>
                </c:pt>
                <c:pt idx="2">
                  <c:v>550</c:v>
                </c:pt>
                <c:pt idx="3">
                  <c:v>929</c:v>
                </c:pt>
                <c:pt idx="4">
                  <c:v>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B-4F81-9C80-64E7536EB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9494272"/>
        <c:axId val="479493792"/>
      </c:barChart>
      <c:catAx>
        <c:axId val="4794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479493792"/>
        <c:crosses val="autoZero"/>
        <c:auto val="1"/>
        <c:lblAlgn val="ctr"/>
        <c:lblOffset val="100"/>
        <c:noMultiLvlLbl val="0"/>
      </c:catAx>
      <c:valAx>
        <c:axId val="47949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4794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11</xdr:col>
      <xdr:colOff>0</xdr:colOff>
      <xdr:row>19</xdr:row>
      <xdr:rowOff>182034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F96B320-4CD2-48CA-83F5-F3442853D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8</xdr:row>
      <xdr:rowOff>0</xdr:rowOff>
    </xdr:from>
    <xdr:to>
      <xdr:col>25</xdr:col>
      <xdr:colOff>1</xdr:colOff>
      <xdr:row>19</xdr:row>
      <xdr:rowOff>182034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69D2E8-5F6C-49B5-BE2B-10F3E5EE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23</xdr:row>
      <xdr:rowOff>0</xdr:rowOff>
    </xdr:from>
    <xdr:to>
      <xdr:col>11</xdr:col>
      <xdr:colOff>0</xdr:colOff>
      <xdr:row>35</xdr:row>
      <xdr:rowOff>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795A062-CB63-4725-BEB5-E0452F62E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25</xdr:col>
      <xdr:colOff>0</xdr:colOff>
      <xdr:row>35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D4E15AD5-A7EA-47D7-AB34-6F692EF44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25</xdr:col>
      <xdr:colOff>0</xdr:colOff>
      <xdr:row>50</xdr:row>
      <xdr:rowOff>41564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26622C1-07F3-4B21-A44B-E2DB52EDD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23</xdr:row>
      <xdr:rowOff>0</xdr:rowOff>
    </xdr:from>
    <xdr:to>
      <xdr:col>18</xdr:col>
      <xdr:colOff>0</xdr:colOff>
      <xdr:row>35</xdr:row>
      <xdr:rowOff>15875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807B39-7195-486F-9C60-F3BE0CB6F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229809</xdr:colOff>
      <xdr:row>2</xdr:row>
      <xdr:rowOff>56507</xdr:rowOff>
    </xdr:from>
    <xdr:to>
      <xdr:col>3</xdr:col>
      <xdr:colOff>489856</xdr:colOff>
      <xdr:row>5</xdr:row>
      <xdr:rowOff>137773</xdr:rowOff>
    </xdr:to>
    <xdr:sp macro="[0]!ActualizarTodo" textlink="">
      <xdr:nvSpPr>
        <xdr:cNvPr id="3" name="Elipse 2">
          <a:extLst>
            <a:ext uri="{FF2B5EF4-FFF2-40B4-BE49-F238E27FC236}">
              <a16:creationId xmlns:a16="http://schemas.microsoft.com/office/drawing/2014/main" id="{CD7F1B04-02F7-FA11-A848-6F05A2BDF309}"/>
            </a:ext>
          </a:extLst>
        </xdr:cNvPr>
        <xdr:cNvSpPr/>
      </xdr:nvSpPr>
      <xdr:spPr>
        <a:xfrm>
          <a:off x="396497" y="711351"/>
          <a:ext cx="1426859" cy="91470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400" b="1">
              <a:solidFill>
                <a:sysClr val="windowText" lastClr="000000"/>
              </a:solidFill>
            </a:rPr>
            <a:t>Actualizar Dashboard</a:t>
          </a:r>
        </a:p>
      </xdr:txBody>
    </xdr:sp>
    <xdr:clientData/>
  </xdr:twoCellAnchor>
  <xdr:twoCellAnchor editAs="oneCell">
    <xdr:from>
      <xdr:col>1</xdr:col>
      <xdr:colOff>3176</xdr:colOff>
      <xdr:row>7</xdr:row>
      <xdr:rowOff>14818</xdr:rowOff>
    </xdr:from>
    <xdr:to>
      <xdr:col>4</xdr:col>
      <xdr:colOff>0</xdr:colOff>
      <xdr:row>14</xdr:row>
      <xdr:rowOff>31751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Opportunity Category">
              <a:extLst>
                <a:ext uri="{FF2B5EF4-FFF2-40B4-BE49-F238E27FC236}">
                  <a16:creationId xmlns:a16="http://schemas.microsoft.com/office/drawing/2014/main" id="{B08054BA-E3FA-4E3B-5F8E-6B24B277E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portunity 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069" y="1770139"/>
              <a:ext cx="1752145" cy="17042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1967</xdr:colOff>
      <xdr:row>14</xdr:row>
      <xdr:rowOff>107043</xdr:rowOff>
    </xdr:from>
    <xdr:to>
      <xdr:col>4</xdr:col>
      <xdr:colOff>2221</xdr:colOff>
      <xdr:row>22</xdr:row>
      <xdr:rowOff>107345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tatus">
              <a:extLst>
                <a:ext uri="{FF2B5EF4-FFF2-40B4-BE49-F238E27FC236}">
                  <a16:creationId xmlns:a16="http://schemas.microsoft.com/office/drawing/2014/main" id="{142E58AC-6038-71E1-199E-D072BAAF19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860" y="3549650"/>
              <a:ext cx="1755575" cy="17420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4988</xdr:colOff>
      <xdr:row>22</xdr:row>
      <xdr:rowOff>221645</xdr:rowOff>
    </xdr:from>
    <xdr:to>
      <xdr:col>4</xdr:col>
      <xdr:colOff>5242</xdr:colOff>
      <xdr:row>27</xdr:row>
      <xdr:rowOff>214691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urpose of Request">
              <a:extLst>
                <a:ext uri="{FF2B5EF4-FFF2-40B4-BE49-F238E27FC236}">
                  <a16:creationId xmlns:a16="http://schemas.microsoft.com/office/drawing/2014/main" id="{E95E14C8-DCF3-8C1E-7A7C-BB967C2728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urpose of Reques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881" y="5405966"/>
              <a:ext cx="1755575" cy="12176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9525</xdr:colOff>
      <xdr:row>28</xdr:row>
      <xdr:rowOff>90110</xdr:rowOff>
    </xdr:from>
    <xdr:to>
      <xdr:col>4</xdr:col>
      <xdr:colOff>10584</xdr:colOff>
      <xdr:row>39</xdr:row>
      <xdr:rowOff>31750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Year-Month">
              <a:extLst>
                <a:ext uri="{FF2B5EF4-FFF2-40B4-BE49-F238E27FC236}">
                  <a16:creationId xmlns:a16="http://schemas.microsoft.com/office/drawing/2014/main" id="{7FF838D7-A375-2082-0FBF-8BE3E8B0B6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-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418" y="6730396"/>
              <a:ext cx="1756380" cy="24453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14062</xdr:colOff>
      <xdr:row>39</xdr:row>
      <xdr:rowOff>89353</xdr:rowOff>
    </xdr:from>
    <xdr:to>
      <xdr:col>4</xdr:col>
      <xdr:colOff>10583</xdr:colOff>
      <xdr:row>50</xdr:row>
      <xdr:rowOff>46264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Billing Request: Created By">
              <a:extLst>
                <a:ext uri="{FF2B5EF4-FFF2-40B4-BE49-F238E27FC236}">
                  <a16:creationId xmlns:a16="http://schemas.microsoft.com/office/drawing/2014/main" id="{E4F65FA5-BF86-7EDA-AEEA-4DDD779AE6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illing Request: Created B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955" y="9233353"/>
              <a:ext cx="1751842" cy="25014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24</xdr:col>
      <xdr:colOff>299358</xdr:colOff>
      <xdr:row>1</xdr:row>
      <xdr:rowOff>108857</xdr:rowOff>
    </xdr:from>
    <xdr:to>
      <xdr:col>25</xdr:col>
      <xdr:colOff>0</xdr:colOff>
      <xdr:row>3</xdr:row>
      <xdr:rowOff>136071</xdr:rowOff>
    </xdr:to>
    <xdr:sp macro="[0]!MostrarHojas_Adm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DDF5DE5-4E01-FFF7-0782-B605F1DAC134}"/>
            </a:ext>
          </a:extLst>
        </xdr:cNvPr>
        <xdr:cNvSpPr/>
      </xdr:nvSpPr>
      <xdr:spPr>
        <a:xfrm>
          <a:off x="16097251" y="639536"/>
          <a:ext cx="1292678" cy="421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🔓 </a:t>
          </a:r>
          <a:r>
            <a:rPr lang="es-CR" b="1">
              <a:solidFill>
                <a:srgbClr val="FF0000"/>
              </a:solidFill>
            </a:rPr>
            <a:t>Admin Access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312964</xdr:colOff>
      <xdr:row>3</xdr:row>
      <xdr:rowOff>272142</xdr:rowOff>
    </xdr:from>
    <xdr:to>
      <xdr:col>25</xdr:col>
      <xdr:colOff>13606</xdr:colOff>
      <xdr:row>5</xdr:row>
      <xdr:rowOff>136070</xdr:rowOff>
    </xdr:to>
    <xdr:sp macro="[0]!OcultarHojas_Admin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05F2668-84B5-421E-BFA8-9CB9C5C43168}"/>
            </a:ext>
          </a:extLst>
        </xdr:cNvPr>
        <xdr:cNvSpPr/>
      </xdr:nvSpPr>
      <xdr:spPr>
        <a:xfrm>
          <a:off x="16110857" y="1197428"/>
          <a:ext cx="1292678" cy="421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C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🔒</a:t>
          </a:r>
          <a:r>
            <a:rPr lang="es-C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Close Admin </a:t>
          </a:r>
          <a:endParaRPr lang="es-CR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18</xdr:col>
      <xdr:colOff>0</xdr:colOff>
      <xdr:row>20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109A4-7499-4F94-BC82-A8803988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476259</xdr:colOff>
      <xdr:row>8</xdr:row>
      <xdr:rowOff>1851</xdr:rowOff>
    </xdr:from>
    <xdr:to>
      <xdr:col>25</xdr:col>
      <xdr:colOff>921</xdr:colOff>
      <xdr:row>9</xdr:row>
      <xdr:rowOff>150988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Year">
              <a:extLst>
                <a:ext uri="{FF2B5EF4-FFF2-40B4-BE49-F238E27FC236}">
                  <a16:creationId xmlns:a16="http://schemas.microsoft.com/office/drawing/2014/main" id="{BA68F7BA-DCA3-1530-401F-1EEFE297B9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2040" y="2061632"/>
              <a:ext cx="1120100" cy="3753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8</xdr:col>
      <xdr:colOff>529938</xdr:colOff>
      <xdr:row>20</xdr:row>
      <xdr:rowOff>107249</xdr:rowOff>
    </xdr:to>
    <xdr:sp macro="[0]!OcultarHojas_Adm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A80C118-99D1-481C-B78A-54C348478E5E}"/>
            </a:ext>
          </a:extLst>
        </xdr:cNvPr>
        <xdr:cNvSpPr/>
      </xdr:nvSpPr>
      <xdr:spPr>
        <a:xfrm>
          <a:off x="6000750" y="5486400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35718</xdr:colOff>
      <xdr:row>1</xdr:row>
      <xdr:rowOff>23813</xdr:rowOff>
    </xdr:from>
    <xdr:to>
      <xdr:col>19</xdr:col>
      <xdr:colOff>237044</xdr:colOff>
      <xdr:row>3</xdr:row>
      <xdr:rowOff>26287</xdr:rowOff>
    </xdr:to>
    <xdr:sp macro="[0]!OcultarHojas_Admi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010E48B-9DD7-4BCD-AB0F-712D2D48602E}"/>
            </a:ext>
          </a:extLst>
        </xdr:cNvPr>
        <xdr:cNvSpPr/>
      </xdr:nvSpPr>
      <xdr:spPr>
        <a:xfrm>
          <a:off x="36159281" y="214313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41671</xdr:colOff>
      <xdr:row>21</xdr:row>
      <xdr:rowOff>134541</xdr:rowOff>
    </xdr:from>
    <xdr:to>
      <xdr:col>3</xdr:col>
      <xdr:colOff>279796</xdr:colOff>
      <xdr:row>36</xdr:row>
      <xdr:rowOff>20241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60635D-CCC5-6B00-2364-E0E75C6EF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5952</xdr:colOff>
      <xdr:row>21</xdr:row>
      <xdr:rowOff>15477</xdr:rowOff>
    </xdr:from>
    <xdr:to>
      <xdr:col>9</xdr:col>
      <xdr:colOff>696515</xdr:colOff>
      <xdr:row>35</xdr:row>
      <xdr:rowOff>91677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DCC3BE-2779-4067-676E-EAE28CCE2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732233</xdr:colOff>
      <xdr:row>20</xdr:row>
      <xdr:rowOff>15477</xdr:rowOff>
    </xdr:from>
    <xdr:to>
      <xdr:col>23</xdr:col>
      <xdr:colOff>422671</xdr:colOff>
      <xdr:row>34</xdr:row>
      <xdr:rowOff>91677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AD8E15-FD43-B85D-DE08-9C116A8E7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17859</xdr:colOff>
      <xdr:row>16</xdr:row>
      <xdr:rowOff>3571</xdr:rowOff>
    </xdr:from>
    <xdr:to>
      <xdr:col>33</xdr:col>
      <xdr:colOff>65484</xdr:colOff>
      <xdr:row>30</xdr:row>
      <xdr:rowOff>79771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E9AA292-DFF2-C666-22E5-E44B8AE5C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257685</xdr:colOff>
      <xdr:row>29</xdr:row>
      <xdr:rowOff>5273</xdr:rowOff>
    </xdr:from>
    <xdr:to>
      <xdr:col>28</xdr:col>
      <xdr:colOff>305310</xdr:colOff>
      <xdr:row>43</xdr:row>
      <xdr:rowOff>81473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C82CA5-2FCC-4F9E-3910-60C9A553A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756046</xdr:colOff>
      <xdr:row>12</xdr:row>
      <xdr:rowOff>27384</xdr:rowOff>
    </xdr:from>
    <xdr:to>
      <xdr:col>14</xdr:col>
      <xdr:colOff>339327</xdr:colOff>
      <xdr:row>26</xdr:row>
      <xdr:rowOff>103584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1F10622-5A31-0270-24CD-CFE9B1A6E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17859</xdr:colOff>
      <xdr:row>11</xdr:row>
      <xdr:rowOff>170259</xdr:rowOff>
    </xdr:from>
    <xdr:to>
      <xdr:col>18</xdr:col>
      <xdr:colOff>172641</xdr:colOff>
      <xdr:row>26</xdr:row>
      <xdr:rowOff>55959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971570E-A361-00F0-9D1F-ACEFA4840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214312</xdr:colOff>
      <xdr:row>11</xdr:row>
      <xdr:rowOff>11906</xdr:rowOff>
    </xdr:from>
    <xdr:to>
      <xdr:col>10</xdr:col>
      <xdr:colOff>1582450</xdr:colOff>
      <xdr:row>13</xdr:row>
      <xdr:rowOff>14380</xdr:rowOff>
    </xdr:to>
    <xdr:sp macro="[0]!OcultarHojas_Admin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FBCC28-29E3-4D74-B55F-D47C83D9B558}"/>
            </a:ext>
          </a:extLst>
        </xdr:cNvPr>
        <xdr:cNvSpPr/>
      </xdr:nvSpPr>
      <xdr:spPr>
        <a:xfrm>
          <a:off x="16132968" y="2107406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40821</xdr:colOff>
      <xdr:row>0</xdr:row>
      <xdr:rowOff>95250</xdr:rowOff>
    </xdr:from>
    <xdr:to>
      <xdr:col>11</xdr:col>
      <xdr:colOff>238745</xdr:colOff>
      <xdr:row>1</xdr:row>
      <xdr:rowOff>84117</xdr:rowOff>
    </xdr:to>
    <xdr:sp macro="[0]!OcultarHojas_Adm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1647401-0A67-48E3-820B-468542AD4EA8}"/>
            </a:ext>
          </a:extLst>
        </xdr:cNvPr>
        <xdr:cNvSpPr/>
      </xdr:nvSpPr>
      <xdr:spPr>
        <a:xfrm>
          <a:off x="11756571" y="95250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11</xdr:col>
      <xdr:colOff>197924</xdr:colOff>
      <xdr:row>2</xdr:row>
      <xdr:rowOff>233795</xdr:rowOff>
    </xdr:to>
    <xdr:sp macro="[0]!OcultarHojas_Adm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04FE2FB-CB0F-44C5-900F-B5DB2418BB25}"/>
            </a:ext>
          </a:extLst>
        </xdr:cNvPr>
        <xdr:cNvSpPr/>
      </xdr:nvSpPr>
      <xdr:spPr>
        <a:xfrm>
          <a:off x="8953500" y="394607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68037</xdr:colOff>
      <xdr:row>0</xdr:row>
      <xdr:rowOff>272143</xdr:rowOff>
    </xdr:from>
    <xdr:to>
      <xdr:col>10</xdr:col>
      <xdr:colOff>274125</xdr:colOff>
      <xdr:row>2</xdr:row>
      <xdr:rowOff>111331</xdr:rowOff>
    </xdr:to>
    <xdr:sp macro="[0]!OcultarHojas_Adm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64A289-1CEA-4F7E-91D7-DB81FE50AC90}"/>
            </a:ext>
          </a:extLst>
        </xdr:cNvPr>
        <xdr:cNvSpPr/>
      </xdr:nvSpPr>
      <xdr:spPr>
        <a:xfrm>
          <a:off x="7198180" y="272143"/>
          <a:ext cx="1376302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60612</xdr:colOff>
      <xdr:row>0</xdr:row>
      <xdr:rowOff>296883</xdr:rowOff>
    </xdr:from>
    <xdr:to>
      <xdr:col>9</xdr:col>
      <xdr:colOff>258536</xdr:colOff>
      <xdr:row>2</xdr:row>
      <xdr:rowOff>136071</xdr:rowOff>
    </xdr:to>
    <xdr:sp macro="[0]!OcultarHojas_Adm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0C9226E-8AA1-48A6-8BCA-7D5C071B5F7F}"/>
            </a:ext>
          </a:extLst>
        </xdr:cNvPr>
        <xdr:cNvSpPr/>
      </xdr:nvSpPr>
      <xdr:spPr>
        <a:xfrm>
          <a:off x="6510398" y="296883"/>
          <a:ext cx="1368138" cy="3834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/>
            <a:t>🔒</a:t>
          </a:r>
          <a:r>
            <a:rPr lang="es-CR" b="1">
              <a:solidFill>
                <a:srgbClr val="FF0000"/>
              </a:solidFill>
            </a:rPr>
            <a:t> Close Admin </a:t>
          </a:r>
          <a:endParaRPr lang="es-CR" sz="1100" b="1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yerling" refreshedDate="46151.800760185186" createdVersion="8" refreshedVersion="8" minRefreshableVersion="3" recordCount="3515" xr:uid="{EE820823-FB5D-4DA1-89FE-9C6A55B65EE2}">
  <cacheSource type="worksheet">
    <worksheetSource name="GAb"/>
  </cacheSource>
  <cacheFields count="16">
    <cacheField name="Status" numFmtId="0">
      <sharedItems count="5">
        <s v="Complete"/>
        <s v="Remove/Inactive"/>
        <s v="Blocked"/>
        <s v="Ready for Work"/>
        <s v="Waiting on Someone Else"/>
      </sharedItems>
    </cacheField>
    <cacheField name="Opportunity" numFmtId="0">
      <sharedItems/>
    </cacheField>
    <cacheField name="Billing Request: Billing Request Identifier" numFmtId="0">
      <sharedItems/>
    </cacheField>
    <cacheField name="Billing Request: Created By" numFmtId="0">
      <sharedItems count="32">
        <s v="Kevin Parker"/>
        <s v="Connor Mora"/>
        <s v="Elena Salazar Castillo"/>
        <s v="Sofia Morales"/>
        <s v="Gabo Munoz"/>
        <s v="Tyler Ward"/>
        <s v="Laura Jenkins"/>
        <s v="Angelica Herrera Calvo"/>
        <s v="Andrew Rivera"/>
        <s v="Melissa Grant"/>
        <s v="Ariana Vega" u="1"/>
        <s v="Matt Barwise" u="1"/>
        <s v="Graham Devine" u="1"/>
        <s v="Xia Zheng" u="1"/>
        <s v="Mariana Zelaya Quiros" u="1"/>
        <s v="Billy Pan" u="1"/>
        <s v="Matthew Miselis" u="1"/>
        <s v="Fabriccio Vasquez" u="1"/>
        <s v="Gabriel Johnston Leon" u="1"/>
        <s v="Brenden Freedman" u="1"/>
        <s v="Drew Morgan" u="1"/>
        <s v="Jordan Kim" u="1"/>
        <s v="Cameron Blake" u="1"/>
        <s v="Morgan Lee" u="1"/>
        <s v="Jamie Flores" u="1"/>
        <s v="Harper Quinn" u="1"/>
        <s v="Casey Patel" u="1"/>
        <s v="Taylor Brooks" u="1"/>
        <s v="Avery Scott" u="1"/>
        <s v="Sam Carter" u="1"/>
        <s v="Riley Chen" u="1"/>
        <s v="Alex Rivera" u="1"/>
      </sharedItems>
    </cacheField>
    <cacheField name="Billing Request: Created Date" numFmtId="14">
      <sharedItems containsSemiMixedTypes="0" containsNonDate="0" containsDate="1" containsString="0" minDate="2025-01-01T00:00:00" maxDate="2026-05-10T00:00:00"/>
    </cacheField>
    <cacheField name="Billing Request: Last Modified Date" numFmtId="14">
      <sharedItems containsSemiMixedTypes="0" containsNonDate="0" containsDate="1" containsString="0" minDate="2025-01-07T00:00:00" maxDate="2026-05-10T00:00:00"/>
    </cacheField>
    <cacheField name="Purpose of Request" numFmtId="0">
      <sharedItems count="6">
        <s v="Invoice Revision: Missed Billing"/>
        <s v="Invoice Copy"/>
        <s v="Invoice Revision: Credit/Rebill"/>
        <s v="Account Adjustment" u="1"/>
        <s v="Data Validation" u="1"/>
        <s v="Tax Review" u="1"/>
      </sharedItems>
    </cacheField>
    <cacheField name="Billing Request: ID" numFmtId="0">
      <sharedItems/>
    </cacheField>
    <cacheField name="Defect Reason Codes" numFmtId="0">
      <sharedItems count="23">
        <s v="Late Billing Submission"/>
        <s v=""/>
        <s v="Agency Revision Request"/>
        <s v="Incorrect Invoice Amount"/>
        <s v="Missing Backup Documentation"/>
        <s v="PO / IO Mismatch"/>
        <s v="Other Invoice Details"/>
        <s v="Change Name/Address - Client Miss" u="1"/>
        <s v="Incorrect Amount Billed" u="1"/>
        <s v="Change Name/Address - Sales Miss" u="1"/>
        <s v="PO Number" u="1"/>
        <s v="Missing/Incorrect Tax/VAT ID" u="1"/>
        <s v="WriteOff (Duplicate)" u="1"/>
        <s v="Data Error" u="1"/>
        <s v="Approval Delay" u="1"/>
        <s v="Late Submission" u="1"/>
        <s v="Incorrect Mapping" u="1"/>
        <s v="Missing Info" u="1"/>
        <s v="Duplicate Request" u="1"/>
        <s v="Manual Adjustment" u="1"/>
        <s v="System Error" u="1"/>
        <s v="Pricing Issue" u="1"/>
        <s v="Client Change" u="1"/>
      </sharedItems>
    </cacheField>
    <cacheField name="Months of Service" numFmtId="0">
      <sharedItems/>
    </cacheField>
    <cacheField name="Defect Root Cause" numFmtId="0">
      <sharedItems/>
    </cacheField>
    <cacheField name="Days to Resolve" numFmtId="0">
      <sharedItems containsSemiMixedTypes="0" containsString="0" containsNumber="1" containsInteger="1" minValue="-5" maxValue="120"/>
    </cacheField>
    <cacheField name="SLA_Bucket" numFmtId="0">
      <sharedItems count="5">
        <s v="61+ days"/>
        <s v="31-60 days"/>
        <s v="0-7 days"/>
        <s v="15-30 days"/>
        <s v="8-14 days"/>
      </sharedItems>
    </cacheField>
    <cacheField name="Year-Month" numFmtId="0">
      <sharedItems count="24">
        <s v="2025-01"/>
        <s v="2026-02"/>
        <s v="2026-03"/>
        <s v="2025-04"/>
        <s v="2025-05"/>
        <s v="2025-10"/>
        <s v="2025-02"/>
        <s v="2026-01"/>
        <s v="2025-08"/>
        <s v="2025-06"/>
        <s v="2026-04"/>
        <s v="2025-12"/>
        <s v="2025-07"/>
        <s v="2025-03"/>
        <s v="2025-09"/>
        <s v="2025-11"/>
        <s v="2026-05"/>
        <s v="2026-10" u="1"/>
        <s v="2026-11" u="1"/>
        <s v="2026-07" u="1"/>
        <s v="2026-12" u="1"/>
        <s v="2026-08" u="1"/>
        <s v="2026-09" u="1"/>
        <s v="2026-06" u="1"/>
      </sharedItems>
    </cacheField>
    <cacheField name="Opportunity Category" numFmtId="0">
      <sharedItems count="5">
        <s v="NASCAR"/>
        <s v="NWSL"/>
        <s v="NBA"/>
        <s v="Other"/>
        <s v="TNF / NFL"/>
      </sharedItems>
    </cacheField>
    <cacheField name="Year" numFmtId="0">
      <sharedItems containsSemiMixedTypes="0" containsString="0" containsNumber="1" containsInteger="1" minValue="2025" maxValue="2026" count="2">
        <n v="2025"/>
        <n v="2026"/>
      </sharedItems>
    </cacheField>
  </cacheFields>
  <extLst>
    <ext xmlns:x14="http://schemas.microsoft.com/office/spreadsheetml/2009/9/main" uri="{725AE2AE-9491-48be-B2B4-4EB974FC3084}">
      <x14:pivotCacheDefinition pivotCacheId="19783318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5">
  <r>
    <x v="0"/>
    <s v="NASCAR P&amp;Q 2025"/>
    <s v="Billing Request- 00100000"/>
    <x v="0"/>
    <d v="2025-01-13T00:00:00"/>
    <d v="2025-04-18T00:00:00"/>
    <x v="0"/>
    <s v="a6JXt2458591"/>
    <x v="0"/>
    <s v="Feb"/>
    <s v="Client requested retroactive billing adjustments."/>
    <n v="95"/>
    <x v="0"/>
    <x v="0"/>
    <x v="0"/>
    <x v="0"/>
  </r>
  <r>
    <x v="0"/>
    <s v="NASCAR Apex 2025 2026"/>
    <s v="Billing Request- 00100002"/>
    <x v="1"/>
    <d v="2026-02-10T00:00:00"/>
    <d v="2026-05-06T00:00:00"/>
    <x v="1"/>
    <s v="a6JHn2714803"/>
    <x v="0"/>
    <s v="Apr"/>
    <s v="Invoice details mismatch with approved campaign."/>
    <n v="85"/>
    <x v="0"/>
    <x v="1"/>
    <x v="0"/>
    <x v="1"/>
  </r>
  <r>
    <x v="1"/>
    <s v="NWSL Halftime Sponsorship 2026"/>
    <s v="Billing Request- 00100003"/>
    <x v="0"/>
    <d v="2026-03-09T00:00:00"/>
    <d v="2026-05-09T00:00:00"/>
    <x v="2"/>
    <s v="a6JXt5918715"/>
    <x v="1"/>
    <s v="Dec"/>
    <s v="Manual billing entry issue."/>
    <n v="61"/>
    <x v="0"/>
    <x v="2"/>
    <x v="1"/>
    <x v="1"/>
  </r>
  <r>
    <x v="1"/>
    <s v="NBA League Pass 2025"/>
    <s v="Billing Request- 00100004"/>
    <x v="2"/>
    <d v="2025-01-24T00:00:00"/>
    <d v="2025-04-19T00:00:00"/>
    <x v="0"/>
    <s v="a6Jat7377459"/>
    <x v="0"/>
    <s v="Dec"/>
    <s v="Agency submitted updated invoice mapping."/>
    <n v="85"/>
    <x v="0"/>
    <x v="0"/>
    <x v="2"/>
    <x v="0"/>
  </r>
  <r>
    <x v="2"/>
    <s v="DirecTV NASCAR Campaign 2025"/>
    <s v="Billing Request- 00100005"/>
    <x v="3"/>
    <d v="2025-04-18T00:00:00"/>
    <d v="2025-07-13T00:00:00"/>
    <x v="0"/>
    <s v="a6JXt3871230"/>
    <x v="2"/>
    <s v="Aug"/>
    <s v="Agency submitted updated invoice mapping."/>
    <n v="86"/>
    <x v="0"/>
    <x v="3"/>
    <x v="0"/>
    <x v="0"/>
  </r>
  <r>
    <x v="0"/>
    <s v="Retail Media Expansion 2025"/>
    <s v="Billing Request- 00100006"/>
    <x v="4"/>
    <d v="2025-05-19T00:00:00"/>
    <d v="2025-09-15T00:00:00"/>
    <x v="0"/>
    <s v="a6Jat4842788"/>
    <x v="1"/>
    <s v="Nov"/>
    <s v="Missing supporting documentation from vendor."/>
    <n v="119"/>
    <x v="0"/>
    <x v="4"/>
    <x v="3"/>
    <x v="0"/>
  </r>
  <r>
    <x v="3"/>
    <s v="Streaming Bundle Initiative 2025"/>
    <s v="Billing Request- 00100008"/>
    <x v="3"/>
    <d v="2025-10-03T00:00:00"/>
    <d v="2025-11-06T00:00:00"/>
    <x v="2"/>
    <s v="a6Jat3320821"/>
    <x v="0"/>
    <s v="Mar"/>
    <s v="Client requested retroactive billing adjustments."/>
    <n v="34"/>
    <x v="1"/>
    <x v="5"/>
    <x v="3"/>
    <x v="0"/>
  </r>
  <r>
    <x v="0"/>
    <s v="Amazon NBA Live Sports 2026"/>
    <s v="Billing Request- 00100009"/>
    <x v="3"/>
    <d v="2026-02-09T00:00:00"/>
    <d v="2026-05-01T00:00:00"/>
    <x v="2"/>
    <s v="a6JXt8852574"/>
    <x v="3"/>
    <s v="Nov; Dec"/>
    <s v="Client requested retroactive billing adjustments."/>
    <n v="81"/>
    <x v="0"/>
    <x v="1"/>
    <x v="2"/>
    <x v="1"/>
  </r>
  <r>
    <x v="0"/>
    <s v="Global Consumer Products 2025"/>
    <s v="Billing Request- 00100010"/>
    <x v="5"/>
    <d v="2025-02-28T00:00:00"/>
    <d v="2025-05-27T00:00:00"/>
    <x v="2"/>
    <s v="a6JHn8294150"/>
    <x v="0"/>
    <s v="Jan"/>
    <s v="Late media plan changes from client."/>
    <n v="88"/>
    <x v="0"/>
    <x v="6"/>
    <x v="3"/>
    <x v="0"/>
  </r>
  <r>
    <x v="4"/>
    <s v="TNF Sponsorship 2026"/>
    <s v="Billing Request- 00100011"/>
    <x v="6"/>
    <d v="2026-02-15T00:00:00"/>
    <d v="2026-04-21T00:00:00"/>
    <x v="2"/>
    <s v="a6Jat3564217"/>
    <x v="1"/>
    <s v="Jun"/>
    <s v=""/>
    <n v="65"/>
    <x v="0"/>
    <x v="1"/>
    <x v="4"/>
    <x v="1"/>
  </r>
  <r>
    <x v="0"/>
    <s v="NASCAR Apex 2025 2026"/>
    <s v="Billing Request- 00100012"/>
    <x v="4"/>
    <d v="2026-01-01T00:00:00"/>
    <d v="2026-03-19T00:00:00"/>
    <x v="1"/>
    <s v="a6JHn5017343"/>
    <x v="4"/>
    <s v="Mar"/>
    <s v="Incorrect legal terms delayed PTS."/>
    <n v="77"/>
    <x v="0"/>
    <x v="7"/>
    <x v="0"/>
    <x v="1"/>
  </r>
  <r>
    <x v="0"/>
    <s v="Retail Media Expansion 2025"/>
    <s v="Billing Request- 00100013"/>
    <x v="2"/>
    <d v="2025-02-05T00:00:00"/>
    <d v="2025-05-14T00:00:00"/>
    <x v="2"/>
    <s v="a6JXt3770370"/>
    <x v="5"/>
    <s v="Mar; Apr"/>
    <s v="Manual billing entry issue."/>
    <n v="98"/>
    <x v="0"/>
    <x v="6"/>
    <x v="3"/>
    <x v="0"/>
  </r>
  <r>
    <x v="0"/>
    <s v="NWSL Prime Video 2026"/>
    <s v="Billing Request- 00100014"/>
    <x v="7"/>
    <d v="2026-02-21T00:00:00"/>
    <d v="2026-05-07T00:00:00"/>
    <x v="2"/>
    <s v="a6Jat5159166"/>
    <x v="6"/>
    <s v="Nov"/>
    <s v="Client requested retroactive billing adjustments."/>
    <n v="75"/>
    <x v="0"/>
    <x v="1"/>
    <x v="1"/>
    <x v="1"/>
  </r>
  <r>
    <x v="0"/>
    <s v="WNBA Incremental Scatter 2025"/>
    <s v="Billing Request- 00100015"/>
    <x v="4"/>
    <d v="2025-04-28T00:00:00"/>
    <d v="2025-07-13T00:00:00"/>
    <x v="0"/>
    <s v="a6Jat2130789"/>
    <x v="1"/>
    <s v="Nov"/>
    <s v="Incorrect legal terms delayed PTS."/>
    <n v="76"/>
    <x v="0"/>
    <x v="3"/>
    <x v="2"/>
    <x v="0"/>
  </r>
  <r>
    <x v="0"/>
    <s v="NWSL Halftime Sponsorship 2025"/>
    <s v="Billing Request- 00100016"/>
    <x v="7"/>
    <d v="2025-05-23T00:00:00"/>
    <d v="2025-08-17T00:00:00"/>
    <x v="0"/>
    <s v="a6JXt8930103"/>
    <x v="1"/>
    <s v="Jul; Aug"/>
    <s v="Missing supporting documentation from vendor."/>
    <n v="86"/>
    <x v="0"/>
    <x v="4"/>
    <x v="1"/>
    <x v="0"/>
  </r>
  <r>
    <x v="0"/>
    <s v="NBA Playoffs Campaign 2026"/>
    <s v="Billing Request- 00100018"/>
    <x v="8"/>
    <d v="2026-01-28T00:00:00"/>
    <d v="2026-03-01T00:00:00"/>
    <x v="2"/>
    <s v="a6Jat5673212"/>
    <x v="4"/>
    <s v="Mar"/>
    <s v="Finance validation process delay."/>
    <n v="32"/>
    <x v="1"/>
    <x v="7"/>
    <x v="2"/>
    <x v="1"/>
  </r>
  <r>
    <x v="1"/>
    <s v="Confluence Academy 2026"/>
    <s v="Billing Request- 00100019"/>
    <x v="9"/>
    <d v="2026-01-26T00:00:00"/>
    <d v="2026-02-02T00:00:00"/>
    <x v="1"/>
    <s v="a6Jat3790237"/>
    <x v="0"/>
    <s v="Jul; Aug"/>
    <s v="Manual billing entry issue."/>
    <n v="7"/>
    <x v="2"/>
    <x v="7"/>
    <x v="3"/>
    <x v="1"/>
  </r>
  <r>
    <x v="1"/>
    <s v="NWSL Halftime Sponsorship 2026"/>
    <s v="Billing Request- 00100020"/>
    <x v="9"/>
    <d v="2026-01-16T00:00:00"/>
    <d v="2026-02-07T00:00:00"/>
    <x v="2"/>
    <s v="a6JHn5785687"/>
    <x v="2"/>
    <s v="Nov; Dec"/>
    <s v="Finance validation process delay."/>
    <n v="22"/>
    <x v="3"/>
    <x v="7"/>
    <x v="1"/>
    <x v="1"/>
  </r>
  <r>
    <x v="2"/>
    <s v="Global Consumer Products 2025"/>
    <s v="Billing Request- 00100023"/>
    <x v="7"/>
    <d v="2025-08-03T00:00:00"/>
    <d v="2025-10-27T00:00:00"/>
    <x v="2"/>
    <s v="a6JXt6271130"/>
    <x v="3"/>
    <s v="Jan; Feb"/>
    <s v="Agency submitted updated invoice mapping."/>
    <n v="85"/>
    <x v="0"/>
    <x v="8"/>
    <x v="3"/>
    <x v="0"/>
  </r>
  <r>
    <x v="0"/>
    <s v="NASCAR P&amp;Q 2025"/>
    <s v="Billing Request- 00100024"/>
    <x v="1"/>
    <d v="2025-06-03T00:00:00"/>
    <d v="2025-08-01T00:00:00"/>
    <x v="0"/>
    <s v="a6JXt2677407"/>
    <x v="5"/>
    <s v="Jul"/>
    <s v=""/>
    <n v="59"/>
    <x v="1"/>
    <x v="9"/>
    <x v="0"/>
    <x v="0"/>
  </r>
  <r>
    <x v="0"/>
    <s v="NFL Prime Video 2025"/>
    <s v="Billing Request- 00100026"/>
    <x v="2"/>
    <d v="2025-10-11T00:00:00"/>
    <d v="2025-11-19T00:00:00"/>
    <x v="0"/>
    <s v="a6JXt3607983"/>
    <x v="3"/>
    <s v="Jul"/>
    <s v="Invoice details mismatch with approved campaign."/>
    <n v="39"/>
    <x v="1"/>
    <x v="5"/>
    <x v="3"/>
    <x v="0"/>
  </r>
  <r>
    <x v="2"/>
    <s v="NWSL Halftime Sponsorship 2025"/>
    <s v="Billing Request- 00100030"/>
    <x v="9"/>
    <d v="2025-10-14T00:00:00"/>
    <d v="2026-02-05T00:00:00"/>
    <x v="2"/>
    <s v="a6Jat3970445"/>
    <x v="6"/>
    <s v="Jun"/>
    <s v="Invoice details mismatch with approved campaign."/>
    <n v="114"/>
    <x v="0"/>
    <x v="5"/>
    <x v="1"/>
    <x v="0"/>
  </r>
  <r>
    <x v="0"/>
    <s v="NBA League Pass 2026"/>
    <s v="Billing Request- 00100031"/>
    <x v="8"/>
    <d v="2026-04-16T00:00:00"/>
    <d v="2026-05-04T00:00:00"/>
    <x v="0"/>
    <s v="a6JHn1649691"/>
    <x v="4"/>
    <s v="Jul"/>
    <s v="Finance validation process delay."/>
    <n v="18"/>
    <x v="3"/>
    <x v="10"/>
    <x v="2"/>
    <x v="1"/>
  </r>
  <r>
    <x v="0"/>
    <s v="NFL Prime Video 2025"/>
    <s v="Billing Request- 00100032"/>
    <x v="6"/>
    <d v="2025-04-27T00:00:00"/>
    <d v="2025-05-26T00:00:00"/>
    <x v="2"/>
    <s v="a6Jat5682940"/>
    <x v="2"/>
    <s v="Sep; Oct"/>
    <s v="Missing supporting documentation from vendor."/>
    <n v="29"/>
    <x v="3"/>
    <x v="3"/>
    <x v="3"/>
    <x v="0"/>
  </r>
  <r>
    <x v="3"/>
    <s v="Amazon TNF 2024 2025"/>
    <s v="Billing Request- 00100033"/>
    <x v="4"/>
    <d v="2025-10-02T00:00:00"/>
    <d v="2025-11-14T00:00:00"/>
    <x v="2"/>
    <s v="a6JXt5453786"/>
    <x v="6"/>
    <s v="Mar; Apr"/>
    <s v="Invoice details mismatch with approved campaign."/>
    <n v="43"/>
    <x v="1"/>
    <x v="5"/>
    <x v="4"/>
    <x v="0"/>
  </r>
  <r>
    <x v="0"/>
    <s v="Confluence Academy 2025"/>
    <s v="Billing Request- 00100034"/>
    <x v="9"/>
    <d v="2025-06-10T00:00:00"/>
    <d v="2025-08-05T00:00:00"/>
    <x v="2"/>
    <s v="a6JHn1744682"/>
    <x v="6"/>
    <s v="Sep; Oct"/>
    <s v=""/>
    <n v="56"/>
    <x v="1"/>
    <x v="9"/>
    <x v="3"/>
    <x v="0"/>
  </r>
  <r>
    <x v="0"/>
    <s v="NASCAR Apex 2025 2025"/>
    <s v="Billing Request- 00100035"/>
    <x v="1"/>
    <d v="2025-12-10T00:00:00"/>
    <d v="2026-01-05T00:00:00"/>
    <x v="0"/>
    <s v="a6JHn6266630"/>
    <x v="2"/>
    <s v="Oct"/>
    <s v=""/>
    <n v="26"/>
    <x v="3"/>
    <x v="11"/>
    <x v="0"/>
    <x v="0"/>
  </r>
  <r>
    <x v="0"/>
    <s v="NWSL Prime Video 2025"/>
    <s v="Billing Request- 00100036"/>
    <x v="5"/>
    <d v="2025-07-29T00:00:00"/>
    <d v="2025-09-09T00:00:00"/>
    <x v="2"/>
    <s v="a6JXt7361002"/>
    <x v="5"/>
    <s v="Oct"/>
    <s v="Missing supporting documentation from vendor."/>
    <n v="42"/>
    <x v="1"/>
    <x v="12"/>
    <x v="1"/>
    <x v="0"/>
  </r>
  <r>
    <x v="0"/>
    <s v="NASCAR P&amp;Q 2025"/>
    <s v="Billing Request- 00100037"/>
    <x v="8"/>
    <d v="2025-01-01T00:00:00"/>
    <d v="2025-02-09T00:00:00"/>
    <x v="2"/>
    <s v="a6JXt6406444"/>
    <x v="0"/>
    <s v="May; Jun"/>
    <s v="Manual billing entry issue."/>
    <n v="39"/>
    <x v="1"/>
    <x v="0"/>
    <x v="0"/>
    <x v="0"/>
  </r>
  <r>
    <x v="0"/>
    <s v="TNF Sponsorship 2025"/>
    <s v="Billing Request- 00100038"/>
    <x v="7"/>
    <d v="2025-03-28T00:00:00"/>
    <d v="2025-06-21T00:00:00"/>
    <x v="0"/>
    <s v="a6JHn2566777"/>
    <x v="2"/>
    <s v="Oct"/>
    <s v="Manual billing entry issue."/>
    <n v="85"/>
    <x v="0"/>
    <x v="13"/>
    <x v="4"/>
    <x v="0"/>
  </r>
  <r>
    <x v="1"/>
    <s v="NFL Prime Video 2026"/>
    <s v="Billing Request- 00100039"/>
    <x v="9"/>
    <d v="2026-02-07T00:00:00"/>
    <d v="2026-02-11T00:00:00"/>
    <x v="2"/>
    <s v="a6Jat8640615"/>
    <x v="2"/>
    <s v="Jul"/>
    <s v="Missing supporting documentation from vendor."/>
    <n v="4"/>
    <x v="2"/>
    <x v="1"/>
    <x v="3"/>
    <x v="1"/>
  </r>
  <r>
    <x v="0"/>
    <s v="Amazon TNF 2024 2025"/>
    <s v="Billing Request- 00100040"/>
    <x v="8"/>
    <d v="2025-05-05T00:00:00"/>
    <d v="2025-05-24T00:00:00"/>
    <x v="2"/>
    <s v="a6JXt9689889"/>
    <x v="6"/>
    <s v="Nov; Dec"/>
    <s v="Manual billing entry issue."/>
    <n v="19"/>
    <x v="3"/>
    <x v="4"/>
    <x v="4"/>
    <x v="0"/>
  </r>
  <r>
    <x v="0"/>
    <s v="Amazon NBA Live Sports 2026"/>
    <s v="Billing Request- 00100041"/>
    <x v="8"/>
    <d v="2026-02-01T00:00:00"/>
    <d v="2026-04-01T00:00:00"/>
    <x v="1"/>
    <s v="a6JXt6323376"/>
    <x v="5"/>
    <s v="Sep; Oct"/>
    <s v="Missing supporting documentation from vendor."/>
    <n v="59"/>
    <x v="1"/>
    <x v="1"/>
    <x v="2"/>
    <x v="1"/>
  </r>
  <r>
    <x v="0"/>
    <s v="NWSL Prime Video 2026"/>
    <s v="Billing Request- 00100042"/>
    <x v="3"/>
    <d v="2026-04-25T00:00:00"/>
    <d v="2026-05-08T00:00:00"/>
    <x v="2"/>
    <s v="a6JXt5652512"/>
    <x v="0"/>
    <s v="Aug"/>
    <s v="Late media plan changes from client."/>
    <n v="13"/>
    <x v="4"/>
    <x v="10"/>
    <x v="1"/>
    <x v="1"/>
  </r>
  <r>
    <x v="0"/>
    <s v="NASCAR Apex 2025 2025"/>
    <s v="Billing Request- 00100043"/>
    <x v="7"/>
    <d v="2025-05-27T00:00:00"/>
    <d v="2025-06-27T00:00:00"/>
    <x v="2"/>
    <s v="a6Jat3530518"/>
    <x v="0"/>
    <s v="May"/>
    <s v="Manual billing entry issue."/>
    <n v="31"/>
    <x v="1"/>
    <x v="4"/>
    <x v="0"/>
    <x v="0"/>
  </r>
  <r>
    <x v="0"/>
    <s v="NWSL Prime Video 2025"/>
    <s v="Billing Request- 00100045"/>
    <x v="8"/>
    <d v="2025-06-30T00:00:00"/>
    <d v="2025-08-08T00:00:00"/>
    <x v="0"/>
    <s v="a6JXt4700025"/>
    <x v="4"/>
    <s v="Sep"/>
    <s v="Missing supporting documentation from vendor."/>
    <n v="39"/>
    <x v="1"/>
    <x v="9"/>
    <x v="1"/>
    <x v="0"/>
  </r>
  <r>
    <x v="4"/>
    <s v="NWSL Halftime Sponsorship 2025"/>
    <s v="Billing Request- 00100046"/>
    <x v="4"/>
    <d v="2025-07-19T00:00:00"/>
    <d v="2025-09-01T00:00:00"/>
    <x v="0"/>
    <s v="a6JXt9961107"/>
    <x v="0"/>
    <s v="Jan"/>
    <s v="Incorrect legal terms delayed PTS."/>
    <n v="44"/>
    <x v="1"/>
    <x v="12"/>
    <x v="1"/>
    <x v="0"/>
  </r>
  <r>
    <x v="0"/>
    <s v="NWSL Halftime Sponsorship 2025"/>
    <s v="Billing Request- 00100047"/>
    <x v="6"/>
    <d v="2025-03-11T00:00:00"/>
    <d v="2025-06-30T00:00:00"/>
    <x v="2"/>
    <s v="a6Jat8628588"/>
    <x v="3"/>
    <s v="Jan; Feb"/>
    <s v="Late media plan changes from client."/>
    <n v="111"/>
    <x v="0"/>
    <x v="13"/>
    <x v="1"/>
    <x v="0"/>
  </r>
  <r>
    <x v="0"/>
    <s v="NWSL Halftime Sponsorship 2026"/>
    <s v="Billing Request- 00100048"/>
    <x v="1"/>
    <d v="2026-04-18T00:00:00"/>
    <d v="2026-05-09T00:00:00"/>
    <x v="2"/>
    <s v="a6JHn4761823"/>
    <x v="1"/>
    <s v="Feb"/>
    <s v="Client requested retroactive billing adjustments."/>
    <n v="21"/>
    <x v="3"/>
    <x v="10"/>
    <x v="1"/>
    <x v="1"/>
  </r>
  <r>
    <x v="0"/>
    <s v="Retail Media Expansion 2026"/>
    <s v="Billing Request- 00100049"/>
    <x v="8"/>
    <d v="2026-02-21T00:00:00"/>
    <d v="2026-05-09T00:00:00"/>
    <x v="2"/>
    <s v="a6Jat4656838"/>
    <x v="2"/>
    <s v="Sep"/>
    <s v="Invoice details mismatch with approved campaign."/>
    <n v="77"/>
    <x v="0"/>
    <x v="1"/>
    <x v="3"/>
    <x v="1"/>
  </r>
  <r>
    <x v="0"/>
    <s v="Retail Media Expansion 2026"/>
    <s v="Billing Request- 00100051"/>
    <x v="0"/>
    <d v="2026-02-20T00:00:00"/>
    <d v="2026-03-02T00:00:00"/>
    <x v="0"/>
    <s v="a6JXt3030966"/>
    <x v="1"/>
    <s v="Feb"/>
    <s v="Invoice details mismatch with approved campaign."/>
    <n v="10"/>
    <x v="4"/>
    <x v="1"/>
    <x v="3"/>
    <x v="1"/>
  </r>
  <r>
    <x v="0"/>
    <s v="TNF Sponsorship 2025"/>
    <s v="Billing Request- 00100052"/>
    <x v="9"/>
    <d v="2025-12-05T00:00:00"/>
    <d v="2026-01-22T00:00:00"/>
    <x v="2"/>
    <s v="a6JHn2770648"/>
    <x v="3"/>
    <s v="May; Jun"/>
    <s v="Agency submitted updated invoice mapping."/>
    <n v="48"/>
    <x v="1"/>
    <x v="11"/>
    <x v="4"/>
    <x v="0"/>
  </r>
  <r>
    <x v="4"/>
    <s v="DirecTV NASCAR Campaign 2025"/>
    <s v="Billing Request- 00100053"/>
    <x v="9"/>
    <d v="2025-09-25T00:00:00"/>
    <d v="2025-12-18T00:00:00"/>
    <x v="2"/>
    <s v="a6JHn8799287"/>
    <x v="1"/>
    <s v="Sep"/>
    <s v="Invoice details mismatch with approved campaign."/>
    <n v="84"/>
    <x v="0"/>
    <x v="14"/>
    <x v="0"/>
    <x v="0"/>
  </r>
  <r>
    <x v="0"/>
    <s v="NWSL Halftime Sponsorship 2026"/>
    <s v="Billing Request- 00100054"/>
    <x v="6"/>
    <d v="2026-01-23T00:00:00"/>
    <d v="2026-02-28T00:00:00"/>
    <x v="2"/>
    <s v="a6JXt7358385"/>
    <x v="6"/>
    <s v="Jul; Aug"/>
    <s v="Invoice details mismatch with approved campaign."/>
    <n v="36"/>
    <x v="1"/>
    <x v="7"/>
    <x v="1"/>
    <x v="1"/>
  </r>
  <r>
    <x v="0"/>
    <s v="Amazon NBA Live Sports 2025"/>
    <s v="Billing Request- 00100056"/>
    <x v="2"/>
    <d v="2025-09-08T00:00:00"/>
    <d v="2025-11-19T00:00:00"/>
    <x v="2"/>
    <s v="a6Jat2561176"/>
    <x v="4"/>
    <s v="Jan; Feb"/>
    <s v="Manual billing entry issue."/>
    <n v="72"/>
    <x v="0"/>
    <x v="14"/>
    <x v="2"/>
    <x v="0"/>
  </r>
  <r>
    <x v="0"/>
    <s v="NWSL Prime Video 2025"/>
    <s v="Billing Request- 00100057"/>
    <x v="8"/>
    <d v="2025-10-25T00:00:00"/>
    <d v="2025-12-12T00:00:00"/>
    <x v="0"/>
    <s v="a6JHn6902401"/>
    <x v="3"/>
    <s v="Oct"/>
    <s v="Late media plan changes from client."/>
    <n v="48"/>
    <x v="1"/>
    <x v="5"/>
    <x v="1"/>
    <x v="0"/>
  </r>
  <r>
    <x v="0"/>
    <s v="NFL Prime Video 2025"/>
    <s v="Billing Request- 00100061"/>
    <x v="7"/>
    <d v="2025-10-23T00:00:00"/>
    <d v="2026-01-12T00:00:00"/>
    <x v="2"/>
    <s v="a6JHn2429098"/>
    <x v="6"/>
    <s v="Nov; Dec"/>
    <s v="Missing supporting documentation from vendor."/>
    <n v="81"/>
    <x v="0"/>
    <x v="5"/>
    <x v="3"/>
    <x v="0"/>
  </r>
  <r>
    <x v="0"/>
    <s v="Streaming Bundle Initiative 2025"/>
    <s v="Billing Request- 00100062"/>
    <x v="2"/>
    <d v="2025-11-13T00:00:00"/>
    <d v="2025-12-12T00:00:00"/>
    <x v="2"/>
    <s v="a6JXt8194570"/>
    <x v="5"/>
    <s v="Feb"/>
    <s v="Incorrect legal terms delayed PTS."/>
    <n v="29"/>
    <x v="3"/>
    <x v="15"/>
    <x v="3"/>
    <x v="0"/>
  </r>
  <r>
    <x v="0"/>
    <s v="DirecTV NASCAR Campaign 2026"/>
    <s v="Billing Request- 00100063"/>
    <x v="5"/>
    <d v="2026-02-23T00:00:00"/>
    <d v="2026-05-08T00:00:00"/>
    <x v="2"/>
    <s v="a6JXt2259379"/>
    <x v="6"/>
    <s v="Mar; Apr"/>
    <s v="Finance validation process delay."/>
    <n v="74"/>
    <x v="0"/>
    <x v="1"/>
    <x v="0"/>
    <x v="1"/>
  </r>
  <r>
    <x v="0"/>
    <s v="NFL Prime Video 2025"/>
    <s v="Billing Request- 00100064"/>
    <x v="7"/>
    <d v="2025-08-29T00:00:00"/>
    <d v="2025-10-06T00:00:00"/>
    <x v="2"/>
    <s v="a6JHn2194198"/>
    <x v="3"/>
    <s v="Jul"/>
    <s v="Missing supporting documentation from vendor."/>
    <n v="38"/>
    <x v="1"/>
    <x v="8"/>
    <x v="3"/>
    <x v="0"/>
  </r>
  <r>
    <x v="1"/>
    <s v="NWSL Prime Video 2026"/>
    <s v="Billing Request- 00100068"/>
    <x v="6"/>
    <d v="2026-02-16T00:00:00"/>
    <d v="2026-05-02T00:00:00"/>
    <x v="2"/>
    <s v="a6JHn6591986"/>
    <x v="2"/>
    <s v="Apr"/>
    <s v="Agency submitted updated invoice mapping."/>
    <n v="75"/>
    <x v="0"/>
    <x v="1"/>
    <x v="1"/>
    <x v="1"/>
  </r>
  <r>
    <x v="2"/>
    <s v="DirecTV NASCAR Campaign 2025"/>
    <s v="Billing Request- 00100069"/>
    <x v="8"/>
    <d v="2025-12-22T00:00:00"/>
    <d v="2026-02-24T00:00:00"/>
    <x v="0"/>
    <s v="a6JXt1615675"/>
    <x v="6"/>
    <s v="Nov"/>
    <s v="Late media plan changes from client."/>
    <n v="64"/>
    <x v="0"/>
    <x v="11"/>
    <x v="0"/>
    <x v="0"/>
  </r>
  <r>
    <x v="0"/>
    <s v="Confluence Academy 2025"/>
    <s v="Billing Request- 00100070"/>
    <x v="7"/>
    <d v="2025-07-26T00:00:00"/>
    <d v="2025-11-14T00:00:00"/>
    <x v="2"/>
    <s v="a6JHn1909393"/>
    <x v="5"/>
    <s v="Dec"/>
    <s v="Finance validation process delay."/>
    <n v="111"/>
    <x v="0"/>
    <x v="12"/>
    <x v="3"/>
    <x v="0"/>
  </r>
  <r>
    <x v="0"/>
    <s v="DirecTV NASCAR Campaign 2025"/>
    <s v="Billing Request- 00100071"/>
    <x v="1"/>
    <d v="2025-01-27T00:00:00"/>
    <d v="2025-02-23T00:00:00"/>
    <x v="2"/>
    <s v="a6JXt9132114"/>
    <x v="6"/>
    <s v="Aug"/>
    <s v="Agency submitted updated invoice mapping."/>
    <n v="27"/>
    <x v="3"/>
    <x v="0"/>
    <x v="0"/>
    <x v="0"/>
  </r>
  <r>
    <x v="0"/>
    <s v="NWSL Halftime Sponsorship 2025"/>
    <s v="Billing Request- 00100072"/>
    <x v="1"/>
    <d v="2025-01-08T00:00:00"/>
    <d v="2025-03-20T00:00:00"/>
    <x v="0"/>
    <s v="a6Jat8741810"/>
    <x v="2"/>
    <s v="May"/>
    <s v="Finance validation process delay."/>
    <n v="71"/>
    <x v="0"/>
    <x v="0"/>
    <x v="1"/>
    <x v="0"/>
  </r>
  <r>
    <x v="4"/>
    <s v="NASCAR Apex 2025 2026"/>
    <s v="Billing Request- 00100073"/>
    <x v="3"/>
    <d v="2026-03-16T00:00:00"/>
    <d v="2026-05-04T00:00:00"/>
    <x v="1"/>
    <s v="a6Jat8663605"/>
    <x v="4"/>
    <s v="Jan; Feb"/>
    <s v="Manual billing entry issue."/>
    <n v="49"/>
    <x v="1"/>
    <x v="2"/>
    <x v="0"/>
    <x v="1"/>
  </r>
  <r>
    <x v="0"/>
    <s v="NASCAR Apex 2025 2026"/>
    <s v="Billing Request- 00100074"/>
    <x v="2"/>
    <d v="2026-02-04T00:00:00"/>
    <d v="2026-05-09T00:00:00"/>
    <x v="0"/>
    <s v="a6JHn1043037"/>
    <x v="2"/>
    <s v="Oct"/>
    <s v="Finance validation process delay."/>
    <n v="94"/>
    <x v="0"/>
    <x v="1"/>
    <x v="0"/>
    <x v="1"/>
  </r>
  <r>
    <x v="0"/>
    <s v="NASCAR Apex 2025 2026"/>
    <s v="Billing Request- 00100075"/>
    <x v="7"/>
    <d v="2026-04-25T00:00:00"/>
    <d v="2026-05-06T00:00:00"/>
    <x v="2"/>
    <s v="a6JHn6398528"/>
    <x v="2"/>
    <s v="Aug"/>
    <s v="Missing supporting documentation from vendor."/>
    <n v="11"/>
    <x v="4"/>
    <x v="10"/>
    <x v="0"/>
    <x v="1"/>
  </r>
  <r>
    <x v="0"/>
    <s v="Prime Sports NFL 2025"/>
    <s v="Billing Request- 00100077"/>
    <x v="9"/>
    <d v="2025-10-30T00:00:00"/>
    <d v="2025-12-12T00:00:00"/>
    <x v="0"/>
    <s v="a6Jat3418526"/>
    <x v="1"/>
    <s v="May"/>
    <s v="Incorrect legal terms delayed PTS."/>
    <n v="43"/>
    <x v="1"/>
    <x v="5"/>
    <x v="3"/>
    <x v="0"/>
  </r>
  <r>
    <x v="0"/>
    <s v="Streaming Bundle Initiative 2025"/>
    <s v="Billing Request- 00100078"/>
    <x v="9"/>
    <d v="2025-05-16T00:00:00"/>
    <d v="2025-06-29T00:00:00"/>
    <x v="0"/>
    <s v="a6JXt9952696"/>
    <x v="3"/>
    <s v="Jul; Aug"/>
    <s v=""/>
    <n v="44"/>
    <x v="1"/>
    <x v="4"/>
    <x v="3"/>
    <x v="0"/>
  </r>
  <r>
    <x v="0"/>
    <s v="Retail Media Expansion 2025"/>
    <s v="Billing Request- 00100081"/>
    <x v="4"/>
    <d v="2025-05-04T00:00:00"/>
    <d v="2025-07-07T00:00:00"/>
    <x v="0"/>
    <s v="a6JHn5283671"/>
    <x v="1"/>
    <s v="May; Jun"/>
    <s v="Late media plan changes from client."/>
    <n v="64"/>
    <x v="0"/>
    <x v="4"/>
    <x v="3"/>
    <x v="0"/>
  </r>
  <r>
    <x v="1"/>
    <s v="NWSL Prime Video 2025"/>
    <s v="Billing Request- 00100082"/>
    <x v="8"/>
    <d v="2025-03-22T00:00:00"/>
    <d v="2025-04-01T00:00:00"/>
    <x v="2"/>
    <s v="a6JHn5195951"/>
    <x v="1"/>
    <s v="Oct"/>
    <s v="Manual billing entry issue."/>
    <n v="10"/>
    <x v="4"/>
    <x v="13"/>
    <x v="1"/>
    <x v="0"/>
  </r>
  <r>
    <x v="0"/>
    <s v="NWSL Prime Video 2026"/>
    <s v="Billing Request- 00100083"/>
    <x v="9"/>
    <d v="2026-05-04T00:00:00"/>
    <d v="2026-05-08T00:00:00"/>
    <x v="1"/>
    <s v="a6JHn1368085"/>
    <x v="3"/>
    <s v="Jan"/>
    <s v="Client requested retroactive billing adjustments."/>
    <n v="4"/>
    <x v="2"/>
    <x v="16"/>
    <x v="1"/>
    <x v="1"/>
  </r>
  <r>
    <x v="0"/>
    <s v="NBA League Pass 2026"/>
    <s v="Billing Request- 00100084"/>
    <x v="1"/>
    <d v="2026-05-08T00:00:00"/>
    <d v="2026-05-07T00:00:00"/>
    <x v="2"/>
    <s v="a6JHn3294774"/>
    <x v="2"/>
    <s v="Feb"/>
    <s v="Late media plan changes from client."/>
    <n v="-1"/>
    <x v="2"/>
    <x v="16"/>
    <x v="2"/>
    <x v="1"/>
  </r>
  <r>
    <x v="0"/>
    <s v="DirecTV NASCAR Campaign 2026"/>
    <s v="Billing Request- 00100085"/>
    <x v="5"/>
    <d v="2026-01-09T00:00:00"/>
    <d v="2026-03-25T00:00:00"/>
    <x v="0"/>
    <s v="a6JHn7970985"/>
    <x v="4"/>
    <s v="May"/>
    <s v=""/>
    <n v="75"/>
    <x v="0"/>
    <x v="7"/>
    <x v="0"/>
    <x v="1"/>
  </r>
  <r>
    <x v="0"/>
    <s v="NASCAR P&amp;Q 2026"/>
    <s v="Billing Request- 00100086"/>
    <x v="6"/>
    <d v="2026-04-04T00:00:00"/>
    <d v="2026-05-05T00:00:00"/>
    <x v="0"/>
    <s v="a6JHn5951651"/>
    <x v="1"/>
    <s v="Apr"/>
    <s v="Finance validation process delay."/>
    <n v="31"/>
    <x v="1"/>
    <x v="10"/>
    <x v="0"/>
    <x v="1"/>
  </r>
  <r>
    <x v="0"/>
    <s v="NWSL Prime Video 2026"/>
    <s v="Billing Request- 00100087"/>
    <x v="8"/>
    <d v="2026-02-06T00:00:00"/>
    <d v="2026-05-08T00:00:00"/>
    <x v="2"/>
    <s v="a6JHn3073474"/>
    <x v="3"/>
    <s v="Sep"/>
    <s v="Missing supporting documentation from vendor."/>
    <n v="91"/>
    <x v="0"/>
    <x v="1"/>
    <x v="1"/>
    <x v="1"/>
  </r>
  <r>
    <x v="0"/>
    <s v="Amazon NBA Live Sports 2026"/>
    <s v="Billing Request- 00100088"/>
    <x v="0"/>
    <d v="2026-04-06T00:00:00"/>
    <d v="2026-04-20T00:00:00"/>
    <x v="0"/>
    <s v="a6JXt6503032"/>
    <x v="4"/>
    <s v="Mar"/>
    <s v="Finance validation process delay."/>
    <n v="14"/>
    <x v="4"/>
    <x v="10"/>
    <x v="2"/>
    <x v="1"/>
  </r>
  <r>
    <x v="0"/>
    <s v="NFL Prime Video 2026"/>
    <s v="Billing Request- 00100089"/>
    <x v="1"/>
    <d v="2026-03-19T00:00:00"/>
    <d v="2026-05-06T00:00:00"/>
    <x v="2"/>
    <s v="a6JHn2948178"/>
    <x v="4"/>
    <s v="Nov; Dec"/>
    <s v="Agency submitted updated invoice mapping."/>
    <n v="48"/>
    <x v="1"/>
    <x v="2"/>
    <x v="3"/>
    <x v="1"/>
  </r>
  <r>
    <x v="0"/>
    <s v="Streaming Bundle Initiative 2025"/>
    <s v="Billing Request- 00100090"/>
    <x v="8"/>
    <d v="2025-07-09T00:00:00"/>
    <d v="2025-10-03T00:00:00"/>
    <x v="0"/>
    <s v="a6JHn2661307"/>
    <x v="5"/>
    <s v="Mar; Apr"/>
    <s v="Late media plan changes from client."/>
    <n v="86"/>
    <x v="0"/>
    <x v="12"/>
    <x v="3"/>
    <x v="0"/>
  </r>
  <r>
    <x v="0"/>
    <s v="NWSL Halftime Sponsorship 2025"/>
    <s v="Billing Request- 00100092"/>
    <x v="4"/>
    <d v="2025-04-08T00:00:00"/>
    <d v="2025-04-24T00:00:00"/>
    <x v="0"/>
    <s v="a6JXt1358318"/>
    <x v="1"/>
    <s v="Nov"/>
    <s v="Manual billing entry issue."/>
    <n v="16"/>
    <x v="3"/>
    <x v="3"/>
    <x v="1"/>
    <x v="0"/>
  </r>
  <r>
    <x v="0"/>
    <s v="Retail Media Expansion 2026"/>
    <s v="Billing Request- 00100093"/>
    <x v="5"/>
    <d v="2026-02-22T00:00:00"/>
    <d v="2026-03-03T00:00:00"/>
    <x v="0"/>
    <s v="a6Jat6512314"/>
    <x v="1"/>
    <s v="Jan"/>
    <s v="Late media plan changes from client."/>
    <n v="9"/>
    <x v="4"/>
    <x v="1"/>
    <x v="3"/>
    <x v="1"/>
  </r>
  <r>
    <x v="4"/>
    <s v="Global Consumer Products 2026"/>
    <s v="Billing Request- 00100094"/>
    <x v="4"/>
    <d v="2026-02-07T00:00:00"/>
    <d v="2026-02-24T00:00:00"/>
    <x v="2"/>
    <s v="a6Jat3211291"/>
    <x v="3"/>
    <s v="Aug"/>
    <s v="Invoice details mismatch with approved campaign."/>
    <n v="17"/>
    <x v="3"/>
    <x v="1"/>
    <x v="3"/>
    <x v="1"/>
  </r>
  <r>
    <x v="0"/>
    <s v="Global Consumer Products 2025"/>
    <s v="Billing Request- 00100096"/>
    <x v="9"/>
    <d v="2025-11-11T00:00:00"/>
    <d v="2025-11-17T00:00:00"/>
    <x v="1"/>
    <s v="a6Jat9035982"/>
    <x v="0"/>
    <s v="Apr"/>
    <s v="Finance validation process delay."/>
    <n v="6"/>
    <x v="2"/>
    <x v="15"/>
    <x v="3"/>
    <x v="0"/>
  </r>
  <r>
    <x v="0"/>
    <s v="TNF Sponsorship 2025"/>
    <s v="Billing Request- 00100097"/>
    <x v="9"/>
    <d v="2025-08-16T00:00:00"/>
    <d v="2025-08-26T00:00:00"/>
    <x v="2"/>
    <s v="a6JHn6455706"/>
    <x v="5"/>
    <s v="Sep; Oct"/>
    <s v="Late media plan changes from client."/>
    <n v="10"/>
    <x v="4"/>
    <x v="8"/>
    <x v="4"/>
    <x v="0"/>
  </r>
  <r>
    <x v="4"/>
    <s v="Amazon TNF 2024 2025"/>
    <s v="Billing Request- 00100098"/>
    <x v="9"/>
    <d v="2025-11-06T00:00:00"/>
    <d v="2026-01-01T00:00:00"/>
    <x v="0"/>
    <s v="a6JXt4607488"/>
    <x v="0"/>
    <s v="Aug"/>
    <s v="Missing supporting documentation from vendor."/>
    <n v="56"/>
    <x v="1"/>
    <x v="15"/>
    <x v="4"/>
    <x v="0"/>
  </r>
  <r>
    <x v="0"/>
    <s v="NWSL Halftime Sponsorship 2025"/>
    <s v="Billing Request- 00100099"/>
    <x v="5"/>
    <d v="2025-08-21T00:00:00"/>
    <d v="2025-10-12T00:00:00"/>
    <x v="2"/>
    <s v="a6JHn7279729"/>
    <x v="2"/>
    <s v="Jul; Aug"/>
    <s v="Incorrect legal terms delayed PTS."/>
    <n v="52"/>
    <x v="1"/>
    <x v="8"/>
    <x v="1"/>
    <x v="0"/>
  </r>
  <r>
    <x v="1"/>
    <s v="NWSL Halftime Sponsorship 2025"/>
    <s v="Billing Request- 00100101"/>
    <x v="0"/>
    <d v="2025-07-30T00:00:00"/>
    <d v="2025-09-14T00:00:00"/>
    <x v="2"/>
    <s v="a6JHn2738129"/>
    <x v="5"/>
    <s v="Jul"/>
    <s v="Agency submitted updated invoice mapping."/>
    <n v="46"/>
    <x v="1"/>
    <x v="12"/>
    <x v="1"/>
    <x v="0"/>
  </r>
  <r>
    <x v="4"/>
    <s v="TNF Sponsorship 2025"/>
    <s v="Billing Request- 00100102"/>
    <x v="9"/>
    <d v="2025-04-25T00:00:00"/>
    <d v="2025-08-12T00:00:00"/>
    <x v="2"/>
    <s v="a6JHn4794319"/>
    <x v="1"/>
    <s v="Nov; Dec"/>
    <s v=""/>
    <n v="109"/>
    <x v="0"/>
    <x v="3"/>
    <x v="4"/>
    <x v="0"/>
  </r>
  <r>
    <x v="0"/>
    <s v="WNBA Incremental Scatter 2025"/>
    <s v="Billing Request- 00100104"/>
    <x v="8"/>
    <d v="2025-07-25T00:00:00"/>
    <d v="2025-08-03T00:00:00"/>
    <x v="2"/>
    <s v="a6JHn8043620"/>
    <x v="3"/>
    <s v="Jun"/>
    <s v="Invoice details mismatch with approved campaign."/>
    <n v="9"/>
    <x v="4"/>
    <x v="12"/>
    <x v="2"/>
    <x v="0"/>
  </r>
  <r>
    <x v="3"/>
    <s v="Confluence Academy 2025"/>
    <s v="Billing Request- 00100105"/>
    <x v="1"/>
    <d v="2025-06-16T00:00:00"/>
    <d v="2025-09-24T00:00:00"/>
    <x v="2"/>
    <s v="a6JXt1834876"/>
    <x v="3"/>
    <s v="May; Jun"/>
    <s v="Missing supporting documentation from vendor."/>
    <n v="100"/>
    <x v="0"/>
    <x v="9"/>
    <x v="3"/>
    <x v="0"/>
  </r>
  <r>
    <x v="0"/>
    <s v="NASCAR P&amp;Q 2025"/>
    <s v="Billing Request- 00100106"/>
    <x v="2"/>
    <d v="2025-08-15T00:00:00"/>
    <d v="2025-10-08T00:00:00"/>
    <x v="2"/>
    <s v="a6JHn2860421"/>
    <x v="2"/>
    <s v="Jul; Aug"/>
    <s v=""/>
    <n v="54"/>
    <x v="1"/>
    <x v="8"/>
    <x v="0"/>
    <x v="0"/>
  </r>
  <r>
    <x v="0"/>
    <s v="NWSL Halftime Sponsorship 2025"/>
    <s v="Billing Request- 00100107"/>
    <x v="2"/>
    <d v="2025-01-24T00:00:00"/>
    <d v="2025-02-22T00:00:00"/>
    <x v="2"/>
    <s v="a6Jat3302417"/>
    <x v="3"/>
    <s v="Nov"/>
    <s v="Incorrect legal terms delayed PTS."/>
    <n v="29"/>
    <x v="3"/>
    <x v="0"/>
    <x v="1"/>
    <x v="0"/>
  </r>
  <r>
    <x v="0"/>
    <s v="NWSL Prime Video 2026"/>
    <s v="Billing Request- 00100110"/>
    <x v="0"/>
    <d v="2026-02-13T00:00:00"/>
    <d v="2026-05-05T00:00:00"/>
    <x v="0"/>
    <s v="a6Jat8309439"/>
    <x v="0"/>
    <s v="Sep; Oct"/>
    <s v="Incorrect legal terms delayed PTS."/>
    <n v="81"/>
    <x v="0"/>
    <x v="1"/>
    <x v="1"/>
    <x v="1"/>
  </r>
  <r>
    <x v="0"/>
    <s v="NASCAR P&amp;Q 2025"/>
    <s v="Billing Request- 00100111"/>
    <x v="3"/>
    <d v="2025-06-08T00:00:00"/>
    <d v="2025-09-12T00:00:00"/>
    <x v="2"/>
    <s v="a6JXt2913049"/>
    <x v="5"/>
    <s v="Jul"/>
    <s v="Invoice details mismatch with approved campaign."/>
    <n v="96"/>
    <x v="0"/>
    <x v="9"/>
    <x v="0"/>
    <x v="0"/>
  </r>
  <r>
    <x v="0"/>
    <s v="NBA Playoffs Campaign 2025"/>
    <s v="Billing Request- 00100112"/>
    <x v="1"/>
    <d v="2025-11-27T00:00:00"/>
    <d v="2026-03-12T00:00:00"/>
    <x v="2"/>
    <s v="a6Jat3564729"/>
    <x v="4"/>
    <s v="Jul; Aug"/>
    <s v="Finance validation process delay."/>
    <n v="105"/>
    <x v="0"/>
    <x v="15"/>
    <x v="2"/>
    <x v="0"/>
  </r>
  <r>
    <x v="3"/>
    <s v="Global Consumer Products 2026"/>
    <s v="Billing Request- 00100113"/>
    <x v="1"/>
    <d v="2026-04-25T00:00:00"/>
    <d v="2026-05-05T00:00:00"/>
    <x v="0"/>
    <s v="a6Jat8377995"/>
    <x v="0"/>
    <s v="May; Jun"/>
    <s v="Late media plan changes from client."/>
    <n v="10"/>
    <x v="4"/>
    <x v="10"/>
    <x v="3"/>
    <x v="1"/>
  </r>
  <r>
    <x v="0"/>
    <s v="Confluence Academy 2026"/>
    <s v="Billing Request- 00100114"/>
    <x v="2"/>
    <d v="2026-01-15T00:00:00"/>
    <d v="2026-03-02T00:00:00"/>
    <x v="2"/>
    <s v="a6Jat7186390"/>
    <x v="6"/>
    <s v="Mar"/>
    <s v=""/>
    <n v="46"/>
    <x v="1"/>
    <x v="7"/>
    <x v="3"/>
    <x v="1"/>
  </r>
  <r>
    <x v="3"/>
    <s v="Prime Sports NFL 2025"/>
    <s v="Billing Request- 00100115"/>
    <x v="0"/>
    <d v="2025-10-25T00:00:00"/>
    <d v="2026-01-04T00:00:00"/>
    <x v="2"/>
    <s v="a6Jat6394323"/>
    <x v="0"/>
    <s v="Sep; Oct"/>
    <s v="Agency submitted updated invoice mapping."/>
    <n v="71"/>
    <x v="0"/>
    <x v="5"/>
    <x v="3"/>
    <x v="0"/>
  </r>
  <r>
    <x v="0"/>
    <s v="NFL Prime Video 2026"/>
    <s v="Billing Request- 00100116"/>
    <x v="3"/>
    <d v="2026-04-26T00:00:00"/>
    <d v="2026-05-07T00:00:00"/>
    <x v="0"/>
    <s v="a6JHn9792411"/>
    <x v="5"/>
    <s v="Jun"/>
    <s v="Invoice details mismatch with approved campaign."/>
    <n v="11"/>
    <x v="4"/>
    <x v="10"/>
    <x v="3"/>
    <x v="1"/>
  </r>
  <r>
    <x v="0"/>
    <s v="NWSL Prime Video 2025"/>
    <s v="Billing Request- 00100117"/>
    <x v="1"/>
    <d v="2025-05-25T00:00:00"/>
    <d v="2025-07-14T00:00:00"/>
    <x v="2"/>
    <s v="a6JXt6614484"/>
    <x v="3"/>
    <s v="Apr"/>
    <s v=""/>
    <n v="50"/>
    <x v="1"/>
    <x v="4"/>
    <x v="1"/>
    <x v="0"/>
  </r>
  <r>
    <x v="0"/>
    <s v="Retail Media Expansion 2025"/>
    <s v="Billing Request- 00100118"/>
    <x v="2"/>
    <d v="2025-05-26T00:00:00"/>
    <d v="2025-06-28T00:00:00"/>
    <x v="2"/>
    <s v="a6Jat6869018"/>
    <x v="2"/>
    <s v="Jan; Feb"/>
    <s v="Agency submitted updated invoice mapping."/>
    <n v="33"/>
    <x v="1"/>
    <x v="4"/>
    <x v="3"/>
    <x v="0"/>
  </r>
  <r>
    <x v="0"/>
    <s v="Streaming Bundle Initiative 2025"/>
    <s v="Billing Request- 00100119"/>
    <x v="1"/>
    <d v="2025-02-13T00:00:00"/>
    <d v="2025-03-25T00:00:00"/>
    <x v="2"/>
    <s v="a6Jat9831414"/>
    <x v="2"/>
    <s v="Mar; Apr"/>
    <s v=""/>
    <n v="40"/>
    <x v="1"/>
    <x v="6"/>
    <x v="3"/>
    <x v="0"/>
  </r>
  <r>
    <x v="0"/>
    <s v="NBA Playoffs Campaign 2025"/>
    <s v="Billing Request- 00100120"/>
    <x v="5"/>
    <d v="2025-07-05T00:00:00"/>
    <d v="2025-08-14T00:00:00"/>
    <x v="0"/>
    <s v="a6Jat4800761"/>
    <x v="4"/>
    <s v="Mar"/>
    <s v="Late media plan changes from client."/>
    <n v="40"/>
    <x v="1"/>
    <x v="12"/>
    <x v="2"/>
    <x v="0"/>
  </r>
  <r>
    <x v="0"/>
    <s v="Confluence Academy 2026"/>
    <s v="Billing Request- 00100121"/>
    <x v="0"/>
    <d v="2026-01-26T00:00:00"/>
    <d v="2026-04-01T00:00:00"/>
    <x v="0"/>
    <s v="a6JXt3198638"/>
    <x v="0"/>
    <s v="May"/>
    <s v="Agency submitted updated invoice mapping."/>
    <n v="65"/>
    <x v="0"/>
    <x v="7"/>
    <x v="3"/>
    <x v="1"/>
  </r>
  <r>
    <x v="3"/>
    <s v="NBA Playoffs Campaign 2025"/>
    <s v="Billing Request- 00100124"/>
    <x v="3"/>
    <d v="2025-03-24T00:00:00"/>
    <d v="2025-07-07T00:00:00"/>
    <x v="2"/>
    <s v="a6JHn7227905"/>
    <x v="6"/>
    <s v="Sep; Oct"/>
    <s v="Incorrect legal terms delayed PTS."/>
    <n v="105"/>
    <x v="0"/>
    <x v="13"/>
    <x v="2"/>
    <x v="0"/>
  </r>
  <r>
    <x v="0"/>
    <s v="NWSL Halftime Sponsorship 2025"/>
    <s v="Billing Request- 00100126"/>
    <x v="5"/>
    <d v="2025-07-11T00:00:00"/>
    <d v="2025-08-11T00:00:00"/>
    <x v="2"/>
    <s v="a6Jat6625238"/>
    <x v="4"/>
    <s v="Feb"/>
    <s v="Late media plan changes from client."/>
    <n v="31"/>
    <x v="1"/>
    <x v="12"/>
    <x v="1"/>
    <x v="0"/>
  </r>
  <r>
    <x v="0"/>
    <s v="NWSL Prime Video 2026"/>
    <s v="Billing Request- 00100127"/>
    <x v="7"/>
    <d v="2026-05-01T00:00:00"/>
    <d v="2026-05-08T00:00:00"/>
    <x v="0"/>
    <s v="a6Jat5293691"/>
    <x v="1"/>
    <s v="May"/>
    <s v=""/>
    <n v="7"/>
    <x v="2"/>
    <x v="16"/>
    <x v="1"/>
    <x v="1"/>
  </r>
  <r>
    <x v="0"/>
    <s v="NASCAR P&amp;Q 2026"/>
    <s v="Billing Request- 00100128"/>
    <x v="1"/>
    <d v="2026-04-19T00:00:00"/>
    <d v="2026-05-04T00:00:00"/>
    <x v="2"/>
    <s v="a6JHn8669093"/>
    <x v="6"/>
    <s v="Jul; Aug"/>
    <s v=""/>
    <n v="15"/>
    <x v="3"/>
    <x v="10"/>
    <x v="0"/>
    <x v="1"/>
  </r>
  <r>
    <x v="0"/>
    <s v="Confluence Academy 2025"/>
    <s v="Billing Request- 00100130"/>
    <x v="6"/>
    <d v="2025-07-04T00:00:00"/>
    <d v="2025-07-13T00:00:00"/>
    <x v="2"/>
    <s v="a6JXt7490791"/>
    <x v="3"/>
    <s v="Jan"/>
    <s v="Invoice details mismatch with approved campaign."/>
    <n v="9"/>
    <x v="4"/>
    <x v="12"/>
    <x v="3"/>
    <x v="0"/>
  </r>
  <r>
    <x v="0"/>
    <s v="TNF Sponsorship 2026"/>
    <s v="Billing Request- 00100131"/>
    <x v="8"/>
    <d v="2026-03-30T00:00:00"/>
    <d v="2026-04-30T00:00:00"/>
    <x v="2"/>
    <s v="a6JHn3937508"/>
    <x v="2"/>
    <s v="Jul; Aug"/>
    <s v="Agency submitted updated invoice mapping."/>
    <n v="31"/>
    <x v="1"/>
    <x v="2"/>
    <x v="4"/>
    <x v="1"/>
  </r>
  <r>
    <x v="0"/>
    <s v="NWSL Halftime Sponsorship 2026"/>
    <s v="Billing Request- 00100132"/>
    <x v="6"/>
    <d v="2026-01-17T00:00:00"/>
    <d v="2026-04-19T00:00:00"/>
    <x v="2"/>
    <s v="a6Jat1703065"/>
    <x v="3"/>
    <s v="Sep; Oct"/>
    <s v="Missing supporting documentation from vendor."/>
    <n v="92"/>
    <x v="0"/>
    <x v="7"/>
    <x v="1"/>
    <x v="1"/>
  </r>
  <r>
    <x v="0"/>
    <s v="NBA League Pass 2026"/>
    <s v="Billing Request- 00100133"/>
    <x v="2"/>
    <d v="2026-05-02T00:00:00"/>
    <d v="2026-05-09T00:00:00"/>
    <x v="0"/>
    <s v="a6JXt6568772"/>
    <x v="6"/>
    <s v="Dec"/>
    <s v="Missing supporting documentation from vendor."/>
    <n v="7"/>
    <x v="2"/>
    <x v="16"/>
    <x v="2"/>
    <x v="1"/>
  </r>
  <r>
    <x v="0"/>
    <s v="NASCAR P&amp;Q 2026"/>
    <s v="Billing Request- 00100134"/>
    <x v="1"/>
    <d v="2026-04-23T00:00:00"/>
    <d v="2026-05-06T00:00:00"/>
    <x v="2"/>
    <s v="a6JXt5474830"/>
    <x v="2"/>
    <s v="Mar; Apr"/>
    <s v="Incorrect legal terms delayed PTS."/>
    <n v="13"/>
    <x v="4"/>
    <x v="10"/>
    <x v="0"/>
    <x v="1"/>
  </r>
  <r>
    <x v="0"/>
    <s v="NASCAR Apex 2025 2025"/>
    <s v="Billing Request- 00100135"/>
    <x v="8"/>
    <d v="2025-04-03T00:00:00"/>
    <d v="2025-06-12T00:00:00"/>
    <x v="2"/>
    <s v="a6JHn6142147"/>
    <x v="5"/>
    <s v="Mar; Apr"/>
    <s v="Agency submitted updated invoice mapping."/>
    <n v="70"/>
    <x v="0"/>
    <x v="3"/>
    <x v="0"/>
    <x v="0"/>
  </r>
  <r>
    <x v="0"/>
    <s v="TNF Sponsorship 2025"/>
    <s v="Billing Request- 00100136"/>
    <x v="1"/>
    <d v="2025-06-29T00:00:00"/>
    <d v="2025-08-26T00:00:00"/>
    <x v="2"/>
    <s v="a6JXt1962308"/>
    <x v="2"/>
    <s v="Jan; Feb"/>
    <s v="Invoice details mismatch with approved campaign."/>
    <n v="58"/>
    <x v="1"/>
    <x v="9"/>
    <x v="4"/>
    <x v="0"/>
  </r>
  <r>
    <x v="4"/>
    <s v="NFL Prime Video 2025"/>
    <s v="Billing Request- 00100137"/>
    <x v="5"/>
    <d v="2025-12-14T00:00:00"/>
    <d v="2026-01-04T00:00:00"/>
    <x v="0"/>
    <s v="a6JHn1583829"/>
    <x v="6"/>
    <s v="Aug"/>
    <s v="Invoice details mismatch with approved campaign."/>
    <n v="21"/>
    <x v="3"/>
    <x v="11"/>
    <x v="3"/>
    <x v="0"/>
  </r>
  <r>
    <x v="0"/>
    <s v="Retail Media Expansion 2025"/>
    <s v="Billing Request- 00100138"/>
    <x v="1"/>
    <d v="2025-10-18T00:00:00"/>
    <d v="2025-10-23T00:00:00"/>
    <x v="1"/>
    <s v="a6JHn8448065"/>
    <x v="5"/>
    <s v="May"/>
    <s v=""/>
    <n v="5"/>
    <x v="2"/>
    <x v="5"/>
    <x v="3"/>
    <x v="0"/>
  </r>
  <r>
    <x v="1"/>
    <s v="NASCAR P&amp;Q 2025"/>
    <s v="Billing Request- 00100139"/>
    <x v="3"/>
    <d v="2025-06-10T00:00:00"/>
    <d v="2025-09-02T00:00:00"/>
    <x v="2"/>
    <s v="a6Jat9372568"/>
    <x v="0"/>
    <s v="Nov; Dec"/>
    <s v="Incorrect legal terms delayed PTS."/>
    <n v="84"/>
    <x v="0"/>
    <x v="9"/>
    <x v="0"/>
    <x v="0"/>
  </r>
  <r>
    <x v="0"/>
    <s v="NBA Playoffs Campaign 2026"/>
    <s v="Billing Request- 00100142"/>
    <x v="8"/>
    <d v="2026-02-27T00:00:00"/>
    <d v="2026-03-15T00:00:00"/>
    <x v="2"/>
    <s v="a6JHn7189302"/>
    <x v="1"/>
    <s v="Nov; Dec"/>
    <s v="Agency submitted updated invoice mapping."/>
    <n v="16"/>
    <x v="3"/>
    <x v="1"/>
    <x v="2"/>
    <x v="1"/>
  </r>
  <r>
    <x v="1"/>
    <s v="NASCAR Apex 2025 2025"/>
    <s v="Billing Request- 00100143"/>
    <x v="9"/>
    <d v="2025-02-14T00:00:00"/>
    <d v="2025-02-23T00:00:00"/>
    <x v="0"/>
    <s v="a6JXt7891998"/>
    <x v="1"/>
    <s v="Mar"/>
    <s v="Agency submitted updated invoice mapping."/>
    <n v="9"/>
    <x v="4"/>
    <x v="6"/>
    <x v="0"/>
    <x v="0"/>
  </r>
  <r>
    <x v="0"/>
    <s v="NWSL Prime Video 2026"/>
    <s v="Billing Request- 00100144"/>
    <x v="5"/>
    <d v="2026-01-19T00:00:00"/>
    <d v="2026-03-18T00:00:00"/>
    <x v="0"/>
    <s v="a6JXt4052834"/>
    <x v="0"/>
    <s v="Sep; Oct"/>
    <s v="Client requested retroactive billing adjustments."/>
    <n v="58"/>
    <x v="1"/>
    <x v="7"/>
    <x v="1"/>
    <x v="1"/>
  </r>
  <r>
    <x v="0"/>
    <s v="NBA Playoffs Campaign 2026"/>
    <s v="Billing Request- 00100145"/>
    <x v="2"/>
    <d v="2026-02-09T00:00:00"/>
    <d v="2026-03-20T00:00:00"/>
    <x v="0"/>
    <s v="a6JHn9705660"/>
    <x v="1"/>
    <s v="Mar"/>
    <s v="Late media plan changes from client."/>
    <n v="39"/>
    <x v="1"/>
    <x v="1"/>
    <x v="2"/>
    <x v="1"/>
  </r>
  <r>
    <x v="4"/>
    <s v="Confluence Academy 2025"/>
    <s v="Billing Request- 00100147"/>
    <x v="7"/>
    <d v="2025-11-06T00:00:00"/>
    <d v="2025-12-20T00:00:00"/>
    <x v="2"/>
    <s v="a6Jat5440189"/>
    <x v="1"/>
    <s v="Mar; Apr"/>
    <s v="Client requested retroactive billing adjustments."/>
    <n v="44"/>
    <x v="1"/>
    <x v="15"/>
    <x v="3"/>
    <x v="0"/>
  </r>
  <r>
    <x v="1"/>
    <s v="DirecTV NASCAR Campaign 2025"/>
    <s v="Billing Request- 00100148"/>
    <x v="2"/>
    <d v="2025-11-18T00:00:00"/>
    <d v="2026-01-27T00:00:00"/>
    <x v="2"/>
    <s v="a6JXt7813102"/>
    <x v="0"/>
    <s v="Mar"/>
    <s v="Client requested retroactive billing adjustments."/>
    <n v="70"/>
    <x v="0"/>
    <x v="15"/>
    <x v="0"/>
    <x v="0"/>
  </r>
  <r>
    <x v="0"/>
    <s v="Amazon NBA Live Sports 2025"/>
    <s v="Billing Request- 00100150"/>
    <x v="4"/>
    <d v="2025-02-24T00:00:00"/>
    <d v="2025-04-06T00:00:00"/>
    <x v="2"/>
    <s v="a6Jat2624230"/>
    <x v="3"/>
    <s v="Jan; Feb"/>
    <s v="Missing supporting documentation from vendor."/>
    <n v="41"/>
    <x v="1"/>
    <x v="6"/>
    <x v="2"/>
    <x v="0"/>
  </r>
  <r>
    <x v="1"/>
    <s v="Streaming Bundle Initiative 2025"/>
    <s v="Billing Request- 00100152"/>
    <x v="4"/>
    <d v="2025-02-16T00:00:00"/>
    <d v="2025-04-08T00:00:00"/>
    <x v="2"/>
    <s v="a6JHn1816348"/>
    <x v="3"/>
    <s v="Jul; Aug"/>
    <s v="Finance validation process delay."/>
    <n v="51"/>
    <x v="1"/>
    <x v="6"/>
    <x v="3"/>
    <x v="0"/>
  </r>
  <r>
    <x v="0"/>
    <s v="Global Consumer Products 2025"/>
    <s v="Billing Request- 00100154"/>
    <x v="0"/>
    <d v="2025-04-10T00:00:00"/>
    <d v="2025-05-27T00:00:00"/>
    <x v="2"/>
    <s v="a6JXt5692934"/>
    <x v="2"/>
    <s v="Apr"/>
    <s v="Agency submitted updated invoice mapping."/>
    <n v="47"/>
    <x v="1"/>
    <x v="3"/>
    <x v="3"/>
    <x v="0"/>
  </r>
  <r>
    <x v="0"/>
    <s v="Global Consumer Products 2026"/>
    <s v="Billing Request- 00100155"/>
    <x v="3"/>
    <d v="2026-04-11T00:00:00"/>
    <d v="2026-05-07T00:00:00"/>
    <x v="2"/>
    <s v="a6JXt7734157"/>
    <x v="6"/>
    <s v="Feb"/>
    <s v="Client requested retroactive billing adjustments."/>
    <n v="26"/>
    <x v="3"/>
    <x v="10"/>
    <x v="3"/>
    <x v="1"/>
  </r>
  <r>
    <x v="0"/>
    <s v="Streaming Bundle Initiative 2026"/>
    <s v="Billing Request- 00100157"/>
    <x v="6"/>
    <d v="2026-03-18T00:00:00"/>
    <d v="2026-05-07T00:00:00"/>
    <x v="2"/>
    <s v="a6Jat7180018"/>
    <x v="2"/>
    <s v="Apr"/>
    <s v="Missing supporting documentation from vendor."/>
    <n v="50"/>
    <x v="1"/>
    <x v="2"/>
    <x v="3"/>
    <x v="1"/>
  </r>
  <r>
    <x v="0"/>
    <s v="Prime Sports NFL 2025"/>
    <s v="Billing Request- 00100158"/>
    <x v="4"/>
    <d v="2025-12-19T00:00:00"/>
    <d v="2026-03-10T00:00:00"/>
    <x v="0"/>
    <s v="a6JXt4817541"/>
    <x v="5"/>
    <s v="Jul; Aug"/>
    <s v="Agency submitted updated invoice mapping."/>
    <n v="81"/>
    <x v="0"/>
    <x v="11"/>
    <x v="3"/>
    <x v="0"/>
  </r>
  <r>
    <x v="4"/>
    <s v="NWSL Halftime Sponsorship 2025"/>
    <s v="Billing Request- 00100159"/>
    <x v="7"/>
    <d v="2025-11-14T00:00:00"/>
    <d v="2026-02-22T00:00:00"/>
    <x v="2"/>
    <s v="a6JXt2843740"/>
    <x v="6"/>
    <s v="May; Jun"/>
    <s v="Invoice details mismatch with approved campaign."/>
    <n v="100"/>
    <x v="0"/>
    <x v="15"/>
    <x v="1"/>
    <x v="0"/>
  </r>
  <r>
    <x v="0"/>
    <s v="Amazon NBA Live Sports 2025"/>
    <s v="Billing Request- 00100160"/>
    <x v="5"/>
    <d v="2025-07-31T00:00:00"/>
    <d v="2025-10-28T00:00:00"/>
    <x v="2"/>
    <s v="a6JHn2044906"/>
    <x v="5"/>
    <s v="Jul"/>
    <s v=""/>
    <n v="89"/>
    <x v="0"/>
    <x v="12"/>
    <x v="2"/>
    <x v="0"/>
  </r>
  <r>
    <x v="0"/>
    <s v="Streaming Bundle Initiative 2025"/>
    <s v="Billing Request- 00100161"/>
    <x v="3"/>
    <d v="2025-12-06T00:00:00"/>
    <d v="2026-02-06T00:00:00"/>
    <x v="2"/>
    <s v="a6JXt6743294"/>
    <x v="3"/>
    <s v="Sep"/>
    <s v="Finance validation process delay."/>
    <n v="62"/>
    <x v="0"/>
    <x v="11"/>
    <x v="3"/>
    <x v="0"/>
  </r>
  <r>
    <x v="0"/>
    <s v="NASCAR Apex 2025 2025"/>
    <s v="Billing Request- 00100163"/>
    <x v="6"/>
    <d v="2025-10-14T00:00:00"/>
    <d v="2026-02-11T00:00:00"/>
    <x v="0"/>
    <s v="a6JHn7619156"/>
    <x v="1"/>
    <s v="May"/>
    <s v="Late media plan changes from client."/>
    <n v="120"/>
    <x v="0"/>
    <x v="5"/>
    <x v="0"/>
    <x v="0"/>
  </r>
  <r>
    <x v="1"/>
    <s v="WNBA Incremental Scatter 2025"/>
    <s v="Billing Request- 00100166"/>
    <x v="8"/>
    <d v="2025-08-30T00:00:00"/>
    <d v="2025-09-12T00:00:00"/>
    <x v="1"/>
    <s v="a6Jat7826774"/>
    <x v="0"/>
    <s v="Jul"/>
    <s v="Late media plan changes from client."/>
    <n v="13"/>
    <x v="4"/>
    <x v="8"/>
    <x v="2"/>
    <x v="0"/>
  </r>
  <r>
    <x v="0"/>
    <s v="NFL Prime Video 2025"/>
    <s v="Billing Request- 00100167"/>
    <x v="9"/>
    <d v="2025-11-27T00:00:00"/>
    <d v="2025-12-05T00:00:00"/>
    <x v="0"/>
    <s v="a6Jat3937099"/>
    <x v="1"/>
    <s v="Jun"/>
    <s v="Client requested retroactive billing adjustments."/>
    <n v="8"/>
    <x v="4"/>
    <x v="15"/>
    <x v="3"/>
    <x v="0"/>
  </r>
  <r>
    <x v="3"/>
    <s v="NBA League Pass 2026"/>
    <s v="Billing Request- 00100168"/>
    <x v="6"/>
    <d v="2026-04-12T00:00:00"/>
    <d v="2026-05-06T00:00:00"/>
    <x v="2"/>
    <s v="a6JXt2800206"/>
    <x v="3"/>
    <s v="May; Jun"/>
    <s v=""/>
    <n v="24"/>
    <x v="3"/>
    <x v="10"/>
    <x v="2"/>
    <x v="1"/>
  </r>
  <r>
    <x v="0"/>
    <s v="Streaming Bundle Initiative 2025"/>
    <s v="Billing Request- 00100169"/>
    <x v="8"/>
    <d v="2025-03-10T00:00:00"/>
    <d v="2025-06-27T00:00:00"/>
    <x v="0"/>
    <s v="a6JHn3726201"/>
    <x v="2"/>
    <s v="Sep"/>
    <s v="Agency submitted updated invoice mapping."/>
    <n v="109"/>
    <x v="0"/>
    <x v="13"/>
    <x v="3"/>
    <x v="0"/>
  </r>
  <r>
    <x v="0"/>
    <s v="Amazon NBA Live Sports 2025"/>
    <s v="Billing Request- 00100171"/>
    <x v="7"/>
    <d v="2025-02-18T00:00:00"/>
    <d v="2025-03-14T00:00:00"/>
    <x v="2"/>
    <s v="a6JHn7435310"/>
    <x v="0"/>
    <s v="Sep"/>
    <s v="Invoice details mismatch with approved campaign."/>
    <n v="24"/>
    <x v="3"/>
    <x v="6"/>
    <x v="2"/>
    <x v="0"/>
  </r>
  <r>
    <x v="0"/>
    <s v="DirecTV NASCAR Campaign 2025"/>
    <s v="Billing Request- 00100172"/>
    <x v="8"/>
    <d v="2025-10-21T00:00:00"/>
    <d v="2025-10-23T00:00:00"/>
    <x v="2"/>
    <s v="a6JXt2983483"/>
    <x v="3"/>
    <s v="Jun"/>
    <s v="Missing supporting documentation from vendor."/>
    <n v="2"/>
    <x v="2"/>
    <x v="5"/>
    <x v="0"/>
    <x v="0"/>
  </r>
  <r>
    <x v="0"/>
    <s v="DirecTV NASCAR Campaign 2025"/>
    <s v="Billing Request- 00100173"/>
    <x v="0"/>
    <d v="2025-12-27T00:00:00"/>
    <d v="2026-04-05T00:00:00"/>
    <x v="0"/>
    <s v="a6JHn7166363"/>
    <x v="4"/>
    <s v="Aug"/>
    <s v="Agency submitted updated invoice mapping."/>
    <n v="99"/>
    <x v="0"/>
    <x v="11"/>
    <x v="0"/>
    <x v="0"/>
  </r>
  <r>
    <x v="0"/>
    <s v="Global Consumer Products 2025"/>
    <s v="Billing Request- 00100174"/>
    <x v="7"/>
    <d v="2025-08-21T00:00:00"/>
    <d v="2025-11-25T00:00:00"/>
    <x v="2"/>
    <s v="a6JHn4664338"/>
    <x v="2"/>
    <s v="Mar"/>
    <s v=""/>
    <n v="96"/>
    <x v="0"/>
    <x v="8"/>
    <x v="3"/>
    <x v="0"/>
  </r>
  <r>
    <x v="0"/>
    <s v="Amazon TNF 2024 2025"/>
    <s v="Billing Request- 00100175"/>
    <x v="0"/>
    <d v="2025-12-27T00:00:00"/>
    <d v="2026-02-12T00:00:00"/>
    <x v="2"/>
    <s v="a6JXt4391627"/>
    <x v="5"/>
    <s v="May"/>
    <s v="Agency submitted updated invoice mapping."/>
    <n v="47"/>
    <x v="1"/>
    <x v="11"/>
    <x v="4"/>
    <x v="0"/>
  </r>
  <r>
    <x v="0"/>
    <s v="NFL Prime Video 2025"/>
    <s v="Billing Request- 00100176"/>
    <x v="4"/>
    <d v="2025-09-24T00:00:00"/>
    <d v="2025-11-20T00:00:00"/>
    <x v="2"/>
    <s v="a6JXt8473959"/>
    <x v="0"/>
    <s v="May"/>
    <s v=""/>
    <n v="57"/>
    <x v="1"/>
    <x v="14"/>
    <x v="3"/>
    <x v="0"/>
  </r>
  <r>
    <x v="0"/>
    <s v="Streaming Bundle Initiative 2025"/>
    <s v="Billing Request- 00100177"/>
    <x v="2"/>
    <d v="2025-10-16T00:00:00"/>
    <d v="2025-10-24T00:00:00"/>
    <x v="2"/>
    <s v="a6Jat7642917"/>
    <x v="1"/>
    <s v="Jan"/>
    <s v="Manual billing entry issue."/>
    <n v="8"/>
    <x v="4"/>
    <x v="5"/>
    <x v="3"/>
    <x v="0"/>
  </r>
  <r>
    <x v="0"/>
    <s v="DirecTV NASCAR Campaign 2025"/>
    <s v="Billing Request- 00100178"/>
    <x v="4"/>
    <d v="2025-01-24T00:00:00"/>
    <d v="2025-03-20T00:00:00"/>
    <x v="1"/>
    <s v="a6Jat8920040"/>
    <x v="3"/>
    <s v="Mar; Apr"/>
    <s v="Agency submitted updated invoice mapping."/>
    <n v="55"/>
    <x v="1"/>
    <x v="0"/>
    <x v="0"/>
    <x v="0"/>
  </r>
  <r>
    <x v="0"/>
    <s v="NWSL Prime Video 2026"/>
    <s v="Billing Request- 00100179"/>
    <x v="6"/>
    <d v="2026-04-18T00:00:00"/>
    <d v="2026-05-06T00:00:00"/>
    <x v="0"/>
    <s v="a6JXt3231198"/>
    <x v="6"/>
    <s v="Jun"/>
    <s v=""/>
    <n v="18"/>
    <x v="3"/>
    <x v="10"/>
    <x v="1"/>
    <x v="1"/>
  </r>
  <r>
    <x v="0"/>
    <s v="WNBA Incremental Scatter 2025"/>
    <s v="Billing Request- 00100180"/>
    <x v="3"/>
    <d v="2025-03-07T00:00:00"/>
    <d v="2025-06-09T00:00:00"/>
    <x v="1"/>
    <s v="a6JHn8115687"/>
    <x v="0"/>
    <s v="Aug"/>
    <s v="Manual billing entry issue."/>
    <n v="94"/>
    <x v="0"/>
    <x v="13"/>
    <x v="2"/>
    <x v="0"/>
  </r>
  <r>
    <x v="0"/>
    <s v="WNBA Incremental Scatter 2025"/>
    <s v="Billing Request- 00100181"/>
    <x v="7"/>
    <d v="2025-03-21T00:00:00"/>
    <d v="2025-04-26T00:00:00"/>
    <x v="0"/>
    <s v="a6JXt1262492"/>
    <x v="4"/>
    <s v="Mar"/>
    <s v="Incorrect legal terms delayed PTS."/>
    <n v="36"/>
    <x v="1"/>
    <x v="13"/>
    <x v="2"/>
    <x v="0"/>
  </r>
  <r>
    <x v="0"/>
    <s v="NFL Prime Video 2025"/>
    <s v="Billing Request- 00100182"/>
    <x v="4"/>
    <d v="2025-08-17T00:00:00"/>
    <d v="2025-11-02T00:00:00"/>
    <x v="2"/>
    <s v="a6Jat4645172"/>
    <x v="4"/>
    <s v="Sep; Oct"/>
    <s v="Late media plan changes from client."/>
    <n v="77"/>
    <x v="0"/>
    <x v="8"/>
    <x v="3"/>
    <x v="0"/>
  </r>
  <r>
    <x v="0"/>
    <s v="NBA League Pass 2026"/>
    <s v="Billing Request- 00100186"/>
    <x v="1"/>
    <d v="2026-02-04T00:00:00"/>
    <d v="2026-03-26T00:00:00"/>
    <x v="0"/>
    <s v="a6JHn7225647"/>
    <x v="5"/>
    <s v="Jul"/>
    <s v="Client requested retroactive billing adjustments."/>
    <n v="50"/>
    <x v="1"/>
    <x v="1"/>
    <x v="2"/>
    <x v="1"/>
  </r>
  <r>
    <x v="0"/>
    <s v="WNBA Incremental Scatter 2026"/>
    <s v="Billing Request- 00100188"/>
    <x v="9"/>
    <d v="2026-01-04T00:00:00"/>
    <d v="2026-02-01T00:00:00"/>
    <x v="0"/>
    <s v="a6Jat4431161"/>
    <x v="4"/>
    <s v="Nov; Dec"/>
    <s v="Invoice details mismatch with approved campaign."/>
    <n v="28"/>
    <x v="3"/>
    <x v="7"/>
    <x v="2"/>
    <x v="1"/>
  </r>
  <r>
    <x v="0"/>
    <s v="NASCAR Apex 2025 2026"/>
    <s v="Billing Request- 00100189"/>
    <x v="1"/>
    <d v="2026-04-08T00:00:00"/>
    <d v="2026-05-05T00:00:00"/>
    <x v="2"/>
    <s v="a6JHn8818250"/>
    <x v="1"/>
    <s v="Jul; Aug"/>
    <s v="Invoice details mismatch with approved campaign."/>
    <n v="27"/>
    <x v="3"/>
    <x v="10"/>
    <x v="0"/>
    <x v="1"/>
  </r>
  <r>
    <x v="0"/>
    <s v="NFL Prime Video 2026"/>
    <s v="Billing Request- 00100190"/>
    <x v="2"/>
    <d v="2026-04-05T00:00:00"/>
    <d v="2026-05-06T00:00:00"/>
    <x v="2"/>
    <s v="a6JXt8005797"/>
    <x v="4"/>
    <s v="Jul"/>
    <s v="Invoice details mismatch with approved campaign."/>
    <n v="31"/>
    <x v="1"/>
    <x v="10"/>
    <x v="3"/>
    <x v="1"/>
  </r>
  <r>
    <x v="0"/>
    <s v="WNBA Incremental Scatter 2026"/>
    <s v="Billing Request- 00100193"/>
    <x v="6"/>
    <d v="2026-04-16T00:00:00"/>
    <d v="2026-05-04T00:00:00"/>
    <x v="2"/>
    <s v="a6JXt8650572"/>
    <x v="6"/>
    <s v="Jul; Aug"/>
    <s v="Finance validation process delay."/>
    <n v="18"/>
    <x v="3"/>
    <x v="10"/>
    <x v="2"/>
    <x v="1"/>
  </r>
  <r>
    <x v="0"/>
    <s v="NBA League Pass 2025"/>
    <s v="Billing Request- 00100196"/>
    <x v="1"/>
    <d v="2025-05-05T00:00:00"/>
    <d v="2025-08-03T00:00:00"/>
    <x v="0"/>
    <s v="a6JXt1531577"/>
    <x v="0"/>
    <s v="Jan; Feb"/>
    <s v="Missing supporting documentation from vendor."/>
    <n v="90"/>
    <x v="0"/>
    <x v="4"/>
    <x v="2"/>
    <x v="0"/>
  </r>
  <r>
    <x v="0"/>
    <s v="NFL Prime Video 2025"/>
    <s v="Billing Request- 00100197"/>
    <x v="0"/>
    <d v="2025-01-29T00:00:00"/>
    <d v="2025-04-21T00:00:00"/>
    <x v="0"/>
    <s v="a6JXt6557798"/>
    <x v="1"/>
    <s v="Apr"/>
    <s v=""/>
    <n v="82"/>
    <x v="0"/>
    <x v="0"/>
    <x v="3"/>
    <x v="0"/>
  </r>
  <r>
    <x v="0"/>
    <s v="Streaming Bundle Initiative 2026"/>
    <s v="Billing Request- 00100198"/>
    <x v="3"/>
    <d v="2026-02-28T00:00:00"/>
    <d v="2026-03-28T00:00:00"/>
    <x v="1"/>
    <s v="a6JXt5703878"/>
    <x v="5"/>
    <s v="Feb"/>
    <s v="Agency submitted updated invoice mapping."/>
    <n v="28"/>
    <x v="3"/>
    <x v="1"/>
    <x v="3"/>
    <x v="1"/>
  </r>
  <r>
    <x v="0"/>
    <s v="NBA Playoffs Campaign 2026"/>
    <s v="Billing Request- 00100199"/>
    <x v="2"/>
    <d v="2026-03-22T00:00:00"/>
    <d v="2026-03-25T00:00:00"/>
    <x v="0"/>
    <s v="a6JHn2290796"/>
    <x v="4"/>
    <s v="Aug"/>
    <s v="Missing supporting documentation from vendor."/>
    <n v="3"/>
    <x v="2"/>
    <x v="2"/>
    <x v="2"/>
    <x v="1"/>
  </r>
  <r>
    <x v="4"/>
    <s v="NWSL Halftime Sponsorship 2025"/>
    <s v="Billing Request- 00100200"/>
    <x v="6"/>
    <d v="2025-10-04T00:00:00"/>
    <d v="2025-11-16T00:00:00"/>
    <x v="0"/>
    <s v="a6Jat9401909"/>
    <x v="6"/>
    <s v="Apr"/>
    <s v="Missing supporting documentation from vendor."/>
    <n v="43"/>
    <x v="1"/>
    <x v="5"/>
    <x v="1"/>
    <x v="0"/>
  </r>
  <r>
    <x v="0"/>
    <s v="Amazon NBA Live Sports 2025"/>
    <s v="Billing Request- 00100202"/>
    <x v="1"/>
    <d v="2025-07-12T00:00:00"/>
    <d v="2025-09-06T00:00:00"/>
    <x v="2"/>
    <s v="a6Jat2233237"/>
    <x v="3"/>
    <s v="May"/>
    <s v="Missing supporting documentation from vendor."/>
    <n v="56"/>
    <x v="1"/>
    <x v="12"/>
    <x v="2"/>
    <x v="0"/>
  </r>
  <r>
    <x v="0"/>
    <s v="NWSL Prime Video 2025"/>
    <s v="Billing Request- 00100203"/>
    <x v="6"/>
    <d v="2025-11-21T00:00:00"/>
    <d v="2025-12-11T00:00:00"/>
    <x v="2"/>
    <s v="a6JHn8461429"/>
    <x v="1"/>
    <s v="Sep"/>
    <s v="Incorrect legal terms delayed PTS."/>
    <n v="20"/>
    <x v="3"/>
    <x v="15"/>
    <x v="1"/>
    <x v="0"/>
  </r>
  <r>
    <x v="0"/>
    <s v="NWSL Prime Video 2025"/>
    <s v="Billing Request- 00100206"/>
    <x v="2"/>
    <d v="2025-02-02T00:00:00"/>
    <d v="2025-02-24T00:00:00"/>
    <x v="2"/>
    <s v="a6Jat7058670"/>
    <x v="4"/>
    <s v="Jul; Aug"/>
    <s v="Manual billing entry issue."/>
    <n v="22"/>
    <x v="3"/>
    <x v="6"/>
    <x v="1"/>
    <x v="0"/>
  </r>
  <r>
    <x v="0"/>
    <s v="Prime Sports NFL 2025"/>
    <s v="Billing Request- 00100207"/>
    <x v="6"/>
    <d v="2025-03-11T00:00:00"/>
    <d v="2025-04-19T00:00:00"/>
    <x v="0"/>
    <s v="a6JHn8385715"/>
    <x v="0"/>
    <s v="May"/>
    <s v="Late media plan changes from client."/>
    <n v="39"/>
    <x v="1"/>
    <x v="13"/>
    <x v="3"/>
    <x v="0"/>
  </r>
  <r>
    <x v="0"/>
    <s v="NWSL Prime Video 2025"/>
    <s v="Billing Request- 00100208"/>
    <x v="8"/>
    <d v="2025-12-22T00:00:00"/>
    <d v="2026-01-17T00:00:00"/>
    <x v="2"/>
    <s v="a6JHn5889688"/>
    <x v="5"/>
    <s v="Aug"/>
    <s v="Invoice details mismatch with approved campaign."/>
    <n v="26"/>
    <x v="3"/>
    <x v="11"/>
    <x v="1"/>
    <x v="0"/>
  </r>
  <r>
    <x v="0"/>
    <s v="NFL Prime Video 2025"/>
    <s v="Billing Request- 00100209"/>
    <x v="8"/>
    <d v="2025-07-21T00:00:00"/>
    <d v="2025-09-06T00:00:00"/>
    <x v="2"/>
    <s v="a6JXt1451577"/>
    <x v="2"/>
    <s v="Jul"/>
    <s v="Finance validation process delay."/>
    <n v="47"/>
    <x v="1"/>
    <x v="12"/>
    <x v="3"/>
    <x v="0"/>
  </r>
  <r>
    <x v="0"/>
    <s v="NWSL Prime Video 2026"/>
    <s v="Billing Request- 00100210"/>
    <x v="9"/>
    <d v="2026-01-18T00:00:00"/>
    <d v="2026-05-03T00:00:00"/>
    <x v="2"/>
    <s v="a6JHn3586094"/>
    <x v="1"/>
    <s v="Jan; Feb"/>
    <s v="Incorrect legal terms delayed PTS."/>
    <n v="105"/>
    <x v="0"/>
    <x v="7"/>
    <x v="1"/>
    <x v="1"/>
  </r>
  <r>
    <x v="0"/>
    <s v="Streaming Bundle Initiative 2025"/>
    <s v="Billing Request- 00100211"/>
    <x v="3"/>
    <d v="2025-11-03T00:00:00"/>
    <d v="2026-01-04T00:00:00"/>
    <x v="1"/>
    <s v="a6JXt8017921"/>
    <x v="6"/>
    <s v="Dec"/>
    <s v=""/>
    <n v="62"/>
    <x v="0"/>
    <x v="15"/>
    <x v="3"/>
    <x v="0"/>
  </r>
  <r>
    <x v="0"/>
    <s v="NBA League Pass 2025"/>
    <s v="Billing Request- 00100212"/>
    <x v="6"/>
    <d v="2025-02-13T00:00:00"/>
    <d v="2025-02-27T00:00:00"/>
    <x v="2"/>
    <s v="a6JXt7704473"/>
    <x v="1"/>
    <s v="Mar; Apr"/>
    <s v="Incorrect legal terms delayed PTS."/>
    <n v="14"/>
    <x v="4"/>
    <x v="6"/>
    <x v="2"/>
    <x v="0"/>
  </r>
  <r>
    <x v="0"/>
    <s v="NWSL Prime Video 2025"/>
    <s v="Billing Request- 00100215"/>
    <x v="4"/>
    <d v="2025-09-01T00:00:00"/>
    <d v="2025-09-14T00:00:00"/>
    <x v="2"/>
    <s v="a6JXt2930810"/>
    <x v="1"/>
    <s v="Nov"/>
    <s v="Incorrect legal terms delayed PTS."/>
    <n v="13"/>
    <x v="4"/>
    <x v="14"/>
    <x v="1"/>
    <x v="0"/>
  </r>
  <r>
    <x v="0"/>
    <s v="NBA Playoffs Campaign 2025"/>
    <s v="Billing Request- 00100216"/>
    <x v="7"/>
    <d v="2025-03-26T00:00:00"/>
    <d v="2025-07-24T00:00:00"/>
    <x v="2"/>
    <s v="a6JHn8751982"/>
    <x v="1"/>
    <s v="Jan; Feb"/>
    <s v="Agency submitted updated invoice mapping."/>
    <n v="120"/>
    <x v="0"/>
    <x v="13"/>
    <x v="2"/>
    <x v="0"/>
  </r>
  <r>
    <x v="0"/>
    <s v="DirecTV NASCAR Campaign 2025"/>
    <s v="Billing Request- 00100219"/>
    <x v="6"/>
    <d v="2025-09-08T00:00:00"/>
    <d v="2025-11-15T00:00:00"/>
    <x v="2"/>
    <s v="a6Jat6837206"/>
    <x v="1"/>
    <s v="May; Jun"/>
    <s v="Agency submitted updated invoice mapping."/>
    <n v="68"/>
    <x v="0"/>
    <x v="14"/>
    <x v="0"/>
    <x v="0"/>
  </r>
  <r>
    <x v="0"/>
    <s v="Confluence Academy 2026"/>
    <s v="Billing Request- 00100220"/>
    <x v="1"/>
    <d v="2026-03-18T00:00:00"/>
    <d v="2026-05-05T00:00:00"/>
    <x v="2"/>
    <s v="a6Jat6123426"/>
    <x v="4"/>
    <s v="Dec"/>
    <s v="Agency submitted updated invoice mapping."/>
    <n v="48"/>
    <x v="1"/>
    <x v="2"/>
    <x v="3"/>
    <x v="1"/>
  </r>
  <r>
    <x v="0"/>
    <s v="Amazon NBA Live Sports 2025"/>
    <s v="Billing Request- 00100221"/>
    <x v="3"/>
    <d v="2025-08-03T00:00:00"/>
    <d v="2025-10-19T00:00:00"/>
    <x v="2"/>
    <s v="a6JXt3906397"/>
    <x v="4"/>
    <s v="Jul; Aug"/>
    <s v="Late media plan changes from client."/>
    <n v="77"/>
    <x v="0"/>
    <x v="8"/>
    <x v="2"/>
    <x v="0"/>
  </r>
  <r>
    <x v="0"/>
    <s v="NWSL Prime Video 2025"/>
    <s v="Billing Request- 00100223"/>
    <x v="0"/>
    <d v="2025-09-11T00:00:00"/>
    <d v="2025-11-03T00:00:00"/>
    <x v="2"/>
    <s v="a6Jat2386982"/>
    <x v="6"/>
    <s v="Aug"/>
    <s v="Late media plan changes from client."/>
    <n v="53"/>
    <x v="1"/>
    <x v="14"/>
    <x v="1"/>
    <x v="0"/>
  </r>
  <r>
    <x v="1"/>
    <s v="NWSL Halftime Sponsorship 2026"/>
    <s v="Billing Request- 00100225"/>
    <x v="2"/>
    <d v="2026-04-04T00:00:00"/>
    <d v="2026-05-09T00:00:00"/>
    <x v="2"/>
    <s v="a6JXt5152891"/>
    <x v="1"/>
    <s v="Feb"/>
    <s v="Finance validation process delay."/>
    <n v="35"/>
    <x v="1"/>
    <x v="10"/>
    <x v="1"/>
    <x v="1"/>
  </r>
  <r>
    <x v="0"/>
    <s v="WNBA Incremental Scatter 2025"/>
    <s v="Billing Request- 00100227"/>
    <x v="6"/>
    <d v="2025-04-16T00:00:00"/>
    <d v="2025-07-30T00:00:00"/>
    <x v="2"/>
    <s v="a6JXt3824903"/>
    <x v="2"/>
    <s v="Oct"/>
    <s v="Late media plan changes from client."/>
    <n v="105"/>
    <x v="0"/>
    <x v="3"/>
    <x v="2"/>
    <x v="0"/>
  </r>
  <r>
    <x v="1"/>
    <s v="NFL Prime Video 2025"/>
    <s v="Billing Request- 00100228"/>
    <x v="5"/>
    <d v="2025-09-21T00:00:00"/>
    <d v="2026-01-15T00:00:00"/>
    <x v="0"/>
    <s v="a6Jat5652716"/>
    <x v="2"/>
    <s v="May"/>
    <s v="Manual billing entry issue."/>
    <n v="116"/>
    <x v="0"/>
    <x v="14"/>
    <x v="3"/>
    <x v="0"/>
  </r>
  <r>
    <x v="1"/>
    <s v="NASCAR Apex 2025 2025"/>
    <s v="Billing Request- 00100230"/>
    <x v="8"/>
    <d v="2025-05-23T00:00:00"/>
    <d v="2025-08-20T00:00:00"/>
    <x v="2"/>
    <s v="a6Jat2562657"/>
    <x v="2"/>
    <s v="Dec"/>
    <s v="Incorrect legal terms delayed PTS."/>
    <n v="89"/>
    <x v="0"/>
    <x v="4"/>
    <x v="0"/>
    <x v="0"/>
  </r>
  <r>
    <x v="0"/>
    <s v="Amazon NBA Live Sports 2026"/>
    <s v="Billing Request- 00100231"/>
    <x v="0"/>
    <d v="2026-04-12T00:00:00"/>
    <d v="2026-05-06T00:00:00"/>
    <x v="0"/>
    <s v="a6JHn3191007"/>
    <x v="1"/>
    <s v="Jul; Aug"/>
    <s v="Invoice details mismatch with approved campaign."/>
    <n v="24"/>
    <x v="3"/>
    <x v="10"/>
    <x v="2"/>
    <x v="1"/>
  </r>
  <r>
    <x v="0"/>
    <s v="Prime Sports NFL 2026"/>
    <s v="Billing Request- 00100232"/>
    <x v="8"/>
    <d v="2026-01-13T00:00:00"/>
    <d v="2026-01-19T00:00:00"/>
    <x v="1"/>
    <s v="a6Jat8403549"/>
    <x v="6"/>
    <s v="Mar; Apr"/>
    <s v="Manual billing entry issue."/>
    <n v="6"/>
    <x v="2"/>
    <x v="7"/>
    <x v="3"/>
    <x v="1"/>
  </r>
  <r>
    <x v="3"/>
    <s v="NASCAR P&amp;Q 2026"/>
    <s v="Billing Request- 00100233"/>
    <x v="2"/>
    <d v="2026-02-03T00:00:00"/>
    <d v="2026-05-04T00:00:00"/>
    <x v="0"/>
    <s v="a6Jat7047102"/>
    <x v="6"/>
    <s v="Dec"/>
    <s v="Agency submitted updated invoice mapping."/>
    <n v="90"/>
    <x v="0"/>
    <x v="1"/>
    <x v="0"/>
    <x v="1"/>
  </r>
  <r>
    <x v="4"/>
    <s v="TNF Sponsorship 2025"/>
    <s v="Billing Request- 00100235"/>
    <x v="8"/>
    <d v="2025-08-16T00:00:00"/>
    <d v="2025-08-18T00:00:00"/>
    <x v="1"/>
    <s v="a6JHn3217531"/>
    <x v="6"/>
    <s v="Aug"/>
    <s v="Missing supporting documentation from vendor."/>
    <n v="2"/>
    <x v="2"/>
    <x v="8"/>
    <x v="4"/>
    <x v="0"/>
  </r>
  <r>
    <x v="0"/>
    <s v="Amazon NBA Live Sports 2025"/>
    <s v="Billing Request- 00100237"/>
    <x v="1"/>
    <d v="2025-04-20T00:00:00"/>
    <d v="2025-07-10T00:00:00"/>
    <x v="2"/>
    <s v="a6Jat2454383"/>
    <x v="4"/>
    <s v="Apr"/>
    <s v="Missing supporting documentation from vendor."/>
    <n v="81"/>
    <x v="0"/>
    <x v="3"/>
    <x v="2"/>
    <x v="0"/>
  </r>
  <r>
    <x v="0"/>
    <s v="NBA Playoffs Campaign 2025"/>
    <s v="Billing Request- 00100238"/>
    <x v="4"/>
    <d v="2025-08-08T00:00:00"/>
    <d v="2025-09-18T00:00:00"/>
    <x v="2"/>
    <s v="a6JXt5780177"/>
    <x v="1"/>
    <s v="Oct"/>
    <s v="Manual billing entry issue."/>
    <n v="41"/>
    <x v="1"/>
    <x v="8"/>
    <x v="2"/>
    <x v="0"/>
  </r>
  <r>
    <x v="0"/>
    <s v="NWSL Prime Video 2025"/>
    <s v="Billing Request- 00100239"/>
    <x v="9"/>
    <d v="2025-09-18T00:00:00"/>
    <d v="2025-10-13T00:00:00"/>
    <x v="0"/>
    <s v="a6Jat9302838"/>
    <x v="6"/>
    <s v="Aug"/>
    <s v="Finance validation process delay."/>
    <n v="25"/>
    <x v="3"/>
    <x v="14"/>
    <x v="1"/>
    <x v="0"/>
  </r>
  <r>
    <x v="2"/>
    <s v="TNF Sponsorship 2025"/>
    <s v="Billing Request- 00100240"/>
    <x v="6"/>
    <d v="2025-02-06T00:00:00"/>
    <d v="2025-04-15T00:00:00"/>
    <x v="2"/>
    <s v="a6JXt8060918"/>
    <x v="5"/>
    <s v="Jun"/>
    <s v="Finance validation process delay."/>
    <n v="68"/>
    <x v="0"/>
    <x v="6"/>
    <x v="4"/>
    <x v="0"/>
  </r>
  <r>
    <x v="0"/>
    <s v="Confluence Academy 2026"/>
    <s v="Billing Request- 00100241"/>
    <x v="3"/>
    <d v="2026-01-19T00:00:00"/>
    <d v="2026-01-22T00:00:00"/>
    <x v="2"/>
    <s v="a6Jat7676912"/>
    <x v="3"/>
    <s v="Sep; Oct"/>
    <s v="Missing supporting documentation from vendor."/>
    <n v="3"/>
    <x v="2"/>
    <x v="7"/>
    <x v="3"/>
    <x v="1"/>
  </r>
  <r>
    <x v="0"/>
    <s v="Retail Media Expansion 2025"/>
    <s v="Billing Request- 00100242"/>
    <x v="5"/>
    <d v="2025-07-25T00:00:00"/>
    <d v="2025-08-05T00:00:00"/>
    <x v="2"/>
    <s v="a6JXt4409088"/>
    <x v="5"/>
    <s v="Nov"/>
    <s v="Missing supporting documentation from vendor."/>
    <n v="11"/>
    <x v="4"/>
    <x v="12"/>
    <x v="3"/>
    <x v="0"/>
  </r>
  <r>
    <x v="0"/>
    <s v="TNF Sponsorship 2025"/>
    <s v="Billing Request- 00100243"/>
    <x v="7"/>
    <d v="2025-11-29T00:00:00"/>
    <d v="2026-02-25T00:00:00"/>
    <x v="0"/>
    <s v="a6Jat1971500"/>
    <x v="6"/>
    <s v="Mar; Apr"/>
    <s v="Incorrect legal terms delayed PTS."/>
    <n v="88"/>
    <x v="0"/>
    <x v="15"/>
    <x v="4"/>
    <x v="0"/>
  </r>
  <r>
    <x v="0"/>
    <s v="DirecTV NASCAR Campaign 2025"/>
    <s v="Billing Request- 00100244"/>
    <x v="5"/>
    <d v="2025-11-08T00:00:00"/>
    <d v="2025-11-16T00:00:00"/>
    <x v="0"/>
    <s v="a6Jat1212482"/>
    <x v="2"/>
    <s v="Jan"/>
    <s v="Agency submitted updated invoice mapping."/>
    <n v="8"/>
    <x v="4"/>
    <x v="15"/>
    <x v="0"/>
    <x v="0"/>
  </r>
  <r>
    <x v="0"/>
    <s v="Global Consumer Products 2025"/>
    <s v="Billing Request- 00100245"/>
    <x v="4"/>
    <d v="2025-06-27T00:00:00"/>
    <d v="2025-09-02T00:00:00"/>
    <x v="2"/>
    <s v="a6JHn2980663"/>
    <x v="3"/>
    <s v="Mar; Apr"/>
    <s v="Late media plan changes from client."/>
    <n v="67"/>
    <x v="0"/>
    <x v="9"/>
    <x v="3"/>
    <x v="0"/>
  </r>
  <r>
    <x v="0"/>
    <s v="Confluence Academy 2025"/>
    <s v="Billing Request- 00100246"/>
    <x v="0"/>
    <d v="2025-05-15T00:00:00"/>
    <d v="2025-08-15T00:00:00"/>
    <x v="2"/>
    <s v="a6Jat9382064"/>
    <x v="4"/>
    <s v="Dec"/>
    <s v="Agency submitted updated invoice mapping."/>
    <n v="92"/>
    <x v="0"/>
    <x v="4"/>
    <x v="3"/>
    <x v="0"/>
  </r>
  <r>
    <x v="0"/>
    <s v="Prime Sports NFL 2025"/>
    <s v="Billing Request- 00100248"/>
    <x v="2"/>
    <d v="2025-03-18T00:00:00"/>
    <d v="2025-04-10T00:00:00"/>
    <x v="2"/>
    <s v="a6JXt6367620"/>
    <x v="1"/>
    <s v="Mar"/>
    <s v="Invoice details mismatch with approved campaign."/>
    <n v="23"/>
    <x v="3"/>
    <x v="13"/>
    <x v="3"/>
    <x v="0"/>
  </r>
  <r>
    <x v="0"/>
    <s v="TNF Sponsorship 2025"/>
    <s v="Billing Request- 00100250"/>
    <x v="8"/>
    <d v="2025-10-11T00:00:00"/>
    <d v="2025-12-09T00:00:00"/>
    <x v="2"/>
    <s v="a6JHn5069884"/>
    <x v="3"/>
    <s v="Jul; Aug"/>
    <s v="Manual billing entry issue."/>
    <n v="59"/>
    <x v="1"/>
    <x v="5"/>
    <x v="4"/>
    <x v="0"/>
  </r>
  <r>
    <x v="0"/>
    <s v="NBA Playoffs Campaign 2025"/>
    <s v="Billing Request- 00100251"/>
    <x v="4"/>
    <d v="2025-10-07T00:00:00"/>
    <d v="2026-01-13T00:00:00"/>
    <x v="2"/>
    <s v="a6Jat6812025"/>
    <x v="3"/>
    <s v="Jan"/>
    <s v="Missing supporting documentation from vendor."/>
    <n v="98"/>
    <x v="0"/>
    <x v="5"/>
    <x v="2"/>
    <x v="0"/>
  </r>
  <r>
    <x v="0"/>
    <s v="NBA Playoffs Campaign 2026"/>
    <s v="Billing Request- 00100252"/>
    <x v="1"/>
    <d v="2026-03-20T00:00:00"/>
    <d v="2026-04-03T00:00:00"/>
    <x v="1"/>
    <s v="a6Jat5694689"/>
    <x v="6"/>
    <s v="Aug"/>
    <s v=""/>
    <n v="14"/>
    <x v="4"/>
    <x v="2"/>
    <x v="2"/>
    <x v="1"/>
  </r>
  <r>
    <x v="0"/>
    <s v="Amazon TNF 2024 2025"/>
    <s v="Billing Request- 00100253"/>
    <x v="0"/>
    <d v="2025-07-10T00:00:00"/>
    <d v="2025-09-07T00:00:00"/>
    <x v="0"/>
    <s v="a6JHn2255447"/>
    <x v="5"/>
    <s v="Feb"/>
    <s v="Missing supporting documentation from vendor."/>
    <n v="59"/>
    <x v="1"/>
    <x v="12"/>
    <x v="4"/>
    <x v="0"/>
  </r>
  <r>
    <x v="4"/>
    <s v="NASCAR Apex 2025 2025"/>
    <s v="Billing Request- 00100254"/>
    <x v="6"/>
    <d v="2025-03-08T00:00:00"/>
    <d v="2025-04-08T00:00:00"/>
    <x v="1"/>
    <s v="a6JHn6473593"/>
    <x v="0"/>
    <s v="Sep"/>
    <s v="Manual billing entry issue."/>
    <n v="31"/>
    <x v="1"/>
    <x v="13"/>
    <x v="0"/>
    <x v="0"/>
  </r>
  <r>
    <x v="0"/>
    <s v="NASCAR Apex 2025 2026"/>
    <s v="Billing Request- 00100256"/>
    <x v="0"/>
    <d v="2026-02-23T00:00:00"/>
    <d v="2026-04-22T00:00:00"/>
    <x v="2"/>
    <s v="a6Jat6103880"/>
    <x v="6"/>
    <s v="Jul"/>
    <s v="Invoice details mismatch with approved campaign."/>
    <n v="58"/>
    <x v="1"/>
    <x v="1"/>
    <x v="0"/>
    <x v="1"/>
  </r>
  <r>
    <x v="4"/>
    <s v="NWSL Halftime Sponsorship 2025"/>
    <s v="Billing Request- 00100258"/>
    <x v="7"/>
    <d v="2025-05-08T00:00:00"/>
    <d v="2025-05-21T00:00:00"/>
    <x v="2"/>
    <s v="a6Jat2034637"/>
    <x v="4"/>
    <s v="Jul"/>
    <s v="Missing supporting documentation from vendor."/>
    <n v="13"/>
    <x v="4"/>
    <x v="4"/>
    <x v="1"/>
    <x v="0"/>
  </r>
  <r>
    <x v="3"/>
    <s v="TNF Sponsorship 2025"/>
    <s v="Billing Request- 00100259"/>
    <x v="8"/>
    <d v="2025-11-19T00:00:00"/>
    <d v="2026-02-10T00:00:00"/>
    <x v="2"/>
    <s v="a6Jat4317700"/>
    <x v="1"/>
    <s v="May"/>
    <s v="Incorrect legal terms delayed PTS."/>
    <n v="83"/>
    <x v="0"/>
    <x v="15"/>
    <x v="4"/>
    <x v="0"/>
  </r>
  <r>
    <x v="0"/>
    <s v="Prime Sports NFL 2026"/>
    <s v="Billing Request- 00100260"/>
    <x v="8"/>
    <d v="2026-03-26T00:00:00"/>
    <d v="2026-04-11T00:00:00"/>
    <x v="1"/>
    <s v="a6JHn7626978"/>
    <x v="6"/>
    <s v="Jan; Feb"/>
    <s v="Missing supporting documentation from vendor."/>
    <n v="16"/>
    <x v="3"/>
    <x v="2"/>
    <x v="3"/>
    <x v="1"/>
  </r>
  <r>
    <x v="0"/>
    <s v="NWSL Halftime Sponsorship 2025"/>
    <s v="Billing Request- 00100262"/>
    <x v="3"/>
    <d v="2025-02-14T00:00:00"/>
    <d v="2025-03-22T00:00:00"/>
    <x v="0"/>
    <s v="a6JXt5180005"/>
    <x v="1"/>
    <s v="Jan"/>
    <s v="Missing supporting documentation from vendor."/>
    <n v="36"/>
    <x v="1"/>
    <x v="6"/>
    <x v="1"/>
    <x v="0"/>
  </r>
  <r>
    <x v="3"/>
    <s v="NWSL Prime Video 2026"/>
    <s v="Billing Request- 00100263"/>
    <x v="5"/>
    <d v="2026-04-02T00:00:00"/>
    <d v="2026-05-05T00:00:00"/>
    <x v="2"/>
    <s v="a6JHn5537157"/>
    <x v="6"/>
    <s v="Nov"/>
    <s v="Manual billing entry issue."/>
    <n v="33"/>
    <x v="1"/>
    <x v="10"/>
    <x v="1"/>
    <x v="1"/>
  </r>
  <r>
    <x v="0"/>
    <s v="Amazon NBA Live Sports 2025"/>
    <s v="Billing Request- 00100265"/>
    <x v="7"/>
    <d v="2025-01-29T00:00:00"/>
    <d v="2025-05-07T00:00:00"/>
    <x v="0"/>
    <s v="a6Jat3954473"/>
    <x v="5"/>
    <s v="Nov"/>
    <s v="Invoice details mismatch with approved campaign."/>
    <n v="98"/>
    <x v="0"/>
    <x v="0"/>
    <x v="2"/>
    <x v="0"/>
  </r>
  <r>
    <x v="0"/>
    <s v="DirecTV NASCAR Campaign 2026"/>
    <s v="Billing Request- 00100266"/>
    <x v="3"/>
    <d v="2026-01-08T00:00:00"/>
    <d v="2026-04-09T00:00:00"/>
    <x v="2"/>
    <s v="a6Jat9258194"/>
    <x v="3"/>
    <s v="Jun"/>
    <s v="Finance validation process delay."/>
    <n v="91"/>
    <x v="0"/>
    <x v="7"/>
    <x v="0"/>
    <x v="1"/>
  </r>
  <r>
    <x v="0"/>
    <s v="NWSL Prime Video 2025"/>
    <s v="Billing Request- 00100269"/>
    <x v="7"/>
    <d v="2025-03-11T00:00:00"/>
    <d v="2025-04-01T00:00:00"/>
    <x v="2"/>
    <s v="a6JXt6986539"/>
    <x v="2"/>
    <s v="Jun"/>
    <s v="Missing supporting documentation from vendor."/>
    <n v="21"/>
    <x v="3"/>
    <x v="13"/>
    <x v="1"/>
    <x v="0"/>
  </r>
  <r>
    <x v="0"/>
    <s v="NBA Playoffs Campaign 2025"/>
    <s v="Billing Request- 00100270"/>
    <x v="0"/>
    <d v="2025-12-19T00:00:00"/>
    <d v="2026-01-26T00:00:00"/>
    <x v="1"/>
    <s v="a6JXt7569981"/>
    <x v="6"/>
    <s v="Jun"/>
    <s v="Invoice details mismatch with approved campaign."/>
    <n v="38"/>
    <x v="1"/>
    <x v="11"/>
    <x v="2"/>
    <x v="0"/>
  </r>
  <r>
    <x v="0"/>
    <s v="Prime Sports NFL 2026"/>
    <s v="Billing Request- 00100271"/>
    <x v="6"/>
    <d v="2026-02-26T00:00:00"/>
    <d v="2026-05-05T00:00:00"/>
    <x v="0"/>
    <s v="a6Jat6818508"/>
    <x v="4"/>
    <s v="Mar"/>
    <s v="Invoice details mismatch with approved campaign."/>
    <n v="68"/>
    <x v="0"/>
    <x v="1"/>
    <x v="3"/>
    <x v="1"/>
  </r>
  <r>
    <x v="0"/>
    <s v="WNBA Incremental Scatter 2025"/>
    <s v="Billing Request- 00100272"/>
    <x v="4"/>
    <d v="2025-05-16T00:00:00"/>
    <d v="2025-06-12T00:00:00"/>
    <x v="0"/>
    <s v="a6JXt1021494"/>
    <x v="0"/>
    <s v="May; Jun"/>
    <s v="Missing supporting documentation from vendor."/>
    <n v="27"/>
    <x v="3"/>
    <x v="4"/>
    <x v="2"/>
    <x v="0"/>
  </r>
  <r>
    <x v="0"/>
    <s v="DirecTV NASCAR Campaign 2026"/>
    <s v="Billing Request- 00100273"/>
    <x v="5"/>
    <d v="2026-04-16T00:00:00"/>
    <d v="2026-05-06T00:00:00"/>
    <x v="0"/>
    <s v="a6JXt4784650"/>
    <x v="0"/>
    <s v="Mar"/>
    <s v="Client requested retroactive billing adjustments."/>
    <n v="20"/>
    <x v="3"/>
    <x v="10"/>
    <x v="0"/>
    <x v="1"/>
  </r>
  <r>
    <x v="0"/>
    <s v="Amazon NBA Live Sports 2025"/>
    <s v="Billing Request- 00100275"/>
    <x v="9"/>
    <d v="2025-08-09T00:00:00"/>
    <d v="2025-11-01T00:00:00"/>
    <x v="2"/>
    <s v="a6Jat4187406"/>
    <x v="2"/>
    <s v="Nov; Dec"/>
    <s v=""/>
    <n v="84"/>
    <x v="0"/>
    <x v="8"/>
    <x v="2"/>
    <x v="0"/>
  </r>
  <r>
    <x v="0"/>
    <s v="NASCAR P&amp;Q 2026"/>
    <s v="Billing Request- 00100278"/>
    <x v="6"/>
    <d v="2026-05-01T00:00:00"/>
    <d v="2026-05-04T00:00:00"/>
    <x v="2"/>
    <s v="a6JHn7399588"/>
    <x v="4"/>
    <s v="May; Jun"/>
    <s v="Client requested retroactive billing adjustments."/>
    <n v="3"/>
    <x v="2"/>
    <x v="16"/>
    <x v="0"/>
    <x v="1"/>
  </r>
  <r>
    <x v="4"/>
    <s v="Confluence Academy 2025"/>
    <s v="Billing Request- 00100280"/>
    <x v="8"/>
    <d v="2025-10-29T00:00:00"/>
    <d v="2025-11-28T00:00:00"/>
    <x v="0"/>
    <s v="a6JHn9984440"/>
    <x v="5"/>
    <s v="Aug"/>
    <s v="Finance validation process delay."/>
    <n v="30"/>
    <x v="3"/>
    <x v="5"/>
    <x v="3"/>
    <x v="0"/>
  </r>
  <r>
    <x v="0"/>
    <s v="NASCAR Apex 2025 2025"/>
    <s v="Billing Request- 00100283"/>
    <x v="9"/>
    <d v="2025-07-23T00:00:00"/>
    <d v="2025-10-02T00:00:00"/>
    <x v="0"/>
    <s v="a6Jat9767135"/>
    <x v="6"/>
    <s v="Mar; Apr"/>
    <s v="Agency submitted updated invoice mapping."/>
    <n v="71"/>
    <x v="0"/>
    <x v="12"/>
    <x v="0"/>
    <x v="0"/>
  </r>
  <r>
    <x v="0"/>
    <s v="NWSL Halftime Sponsorship 2025"/>
    <s v="Billing Request- 00100285"/>
    <x v="4"/>
    <d v="2025-10-20T00:00:00"/>
    <d v="2026-01-06T00:00:00"/>
    <x v="2"/>
    <s v="a6JXt7739741"/>
    <x v="0"/>
    <s v="Nov"/>
    <s v="Manual billing entry issue."/>
    <n v="78"/>
    <x v="0"/>
    <x v="5"/>
    <x v="1"/>
    <x v="0"/>
  </r>
  <r>
    <x v="0"/>
    <s v="DirecTV NASCAR Campaign 2026"/>
    <s v="Billing Request- 00100287"/>
    <x v="0"/>
    <d v="2026-02-28T00:00:00"/>
    <d v="2026-03-18T00:00:00"/>
    <x v="0"/>
    <s v="a6JHn7992286"/>
    <x v="2"/>
    <s v="Mar"/>
    <s v="Manual billing entry issue."/>
    <n v="18"/>
    <x v="3"/>
    <x v="1"/>
    <x v="0"/>
    <x v="1"/>
  </r>
  <r>
    <x v="4"/>
    <s v="NWSL Prime Video 2025"/>
    <s v="Billing Request- 00100288"/>
    <x v="2"/>
    <d v="2025-07-28T00:00:00"/>
    <d v="2025-10-31T00:00:00"/>
    <x v="2"/>
    <s v="a6Jat2100870"/>
    <x v="2"/>
    <s v="Sep; Oct"/>
    <s v="Missing supporting documentation from vendor."/>
    <n v="95"/>
    <x v="0"/>
    <x v="12"/>
    <x v="1"/>
    <x v="0"/>
  </r>
  <r>
    <x v="0"/>
    <s v="NASCAR Apex 2025 2026"/>
    <s v="Billing Request- 00100290"/>
    <x v="7"/>
    <d v="2026-02-20T00:00:00"/>
    <d v="2026-03-28T00:00:00"/>
    <x v="0"/>
    <s v="a6Jat1512765"/>
    <x v="3"/>
    <s v="Jul; Aug"/>
    <s v="Finance validation process delay."/>
    <n v="36"/>
    <x v="1"/>
    <x v="1"/>
    <x v="0"/>
    <x v="1"/>
  </r>
  <r>
    <x v="0"/>
    <s v="NFL Prime Video 2026"/>
    <s v="Billing Request- 00100293"/>
    <x v="9"/>
    <d v="2026-02-14T00:00:00"/>
    <d v="2026-05-02T00:00:00"/>
    <x v="0"/>
    <s v="a6JHn5620085"/>
    <x v="0"/>
    <s v="Dec"/>
    <s v="Finance validation process delay."/>
    <n v="77"/>
    <x v="0"/>
    <x v="1"/>
    <x v="3"/>
    <x v="1"/>
  </r>
  <r>
    <x v="0"/>
    <s v="NASCAR Apex 2025 2025"/>
    <s v="Billing Request- 00100295"/>
    <x v="7"/>
    <d v="2025-09-04T00:00:00"/>
    <d v="2025-09-13T00:00:00"/>
    <x v="0"/>
    <s v="a6JHn6012883"/>
    <x v="4"/>
    <s v="Sep; Oct"/>
    <s v="Manual billing entry issue."/>
    <n v="9"/>
    <x v="4"/>
    <x v="14"/>
    <x v="0"/>
    <x v="0"/>
  </r>
  <r>
    <x v="0"/>
    <s v="WNBA Incremental Scatter 2026"/>
    <s v="Billing Request- 00100296"/>
    <x v="9"/>
    <d v="2026-04-14T00:00:00"/>
    <d v="2026-05-07T00:00:00"/>
    <x v="1"/>
    <s v="a6JHn8022366"/>
    <x v="0"/>
    <s v="Feb"/>
    <s v="Manual billing entry issue."/>
    <n v="23"/>
    <x v="3"/>
    <x v="10"/>
    <x v="2"/>
    <x v="1"/>
  </r>
  <r>
    <x v="3"/>
    <s v="Streaming Bundle Initiative 2025"/>
    <s v="Billing Request- 00100297"/>
    <x v="5"/>
    <d v="2025-04-24T00:00:00"/>
    <d v="2025-07-21T00:00:00"/>
    <x v="0"/>
    <s v="a6JXt6036433"/>
    <x v="1"/>
    <s v="Nov; Dec"/>
    <s v="Agency submitted updated invoice mapping."/>
    <n v="88"/>
    <x v="0"/>
    <x v="3"/>
    <x v="3"/>
    <x v="0"/>
  </r>
  <r>
    <x v="0"/>
    <s v="NASCAR Apex 2025 2025"/>
    <s v="Billing Request- 00100299"/>
    <x v="4"/>
    <d v="2025-06-07T00:00:00"/>
    <d v="2025-07-31T00:00:00"/>
    <x v="2"/>
    <s v="a6Jat8894293"/>
    <x v="1"/>
    <s v="Mar"/>
    <s v="Finance validation process delay."/>
    <n v="54"/>
    <x v="1"/>
    <x v="9"/>
    <x v="0"/>
    <x v="0"/>
  </r>
  <r>
    <x v="0"/>
    <s v="NWSL Prime Video 2026"/>
    <s v="Billing Request- 00100300"/>
    <x v="7"/>
    <d v="2026-05-09T00:00:00"/>
    <d v="2026-05-04T00:00:00"/>
    <x v="0"/>
    <s v="a6Jat3304606"/>
    <x v="3"/>
    <s v="Mar; Apr"/>
    <s v="Finance validation process delay."/>
    <n v="-5"/>
    <x v="2"/>
    <x v="16"/>
    <x v="1"/>
    <x v="1"/>
  </r>
  <r>
    <x v="4"/>
    <s v="Amazon NBA Live Sports 2026"/>
    <s v="Billing Request- 00100302"/>
    <x v="9"/>
    <d v="2026-02-13T00:00:00"/>
    <d v="2026-04-28T00:00:00"/>
    <x v="0"/>
    <s v="a6Jat8276470"/>
    <x v="0"/>
    <s v="Mar; Apr"/>
    <s v="Finance validation process delay."/>
    <n v="74"/>
    <x v="0"/>
    <x v="1"/>
    <x v="2"/>
    <x v="1"/>
  </r>
  <r>
    <x v="1"/>
    <s v="NBA League Pass 2025"/>
    <s v="Billing Request- 00100303"/>
    <x v="4"/>
    <d v="2025-01-20T00:00:00"/>
    <d v="2025-03-30T00:00:00"/>
    <x v="0"/>
    <s v="a6JXt4197346"/>
    <x v="2"/>
    <s v="Jan"/>
    <s v="Manual billing entry issue."/>
    <n v="69"/>
    <x v="0"/>
    <x v="0"/>
    <x v="2"/>
    <x v="0"/>
  </r>
  <r>
    <x v="3"/>
    <s v="NASCAR Apex 2025 2025"/>
    <s v="Billing Request- 00100305"/>
    <x v="6"/>
    <d v="2025-11-02T00:00:00"/>
    <d v="2026-01-09T00:00:00"/>
    <x v="1"/>
    <s v="a6JHn9223833"/>
    <x v="1"/>
    <s v="Jul"/>
    <s v="Agency submitted updated invoice mapping."/>
    <n v="68"/>
    <x v="0"/>
    <x v="15"/>
    <x v="0"/>
    <x v="0"/>
  </r>
  <r>
    <x v="0"/>
    <s v="NBA Playoffs Campaign 2026"/>
    <s v="Billing Request- 00100306"/>
    <x v="0"/>
    <d v="2026-04-14T00:00:00"/>
    <d v="2026-04-17T00:00:00"/>
    <x v="2"/>
    <s v="a6JXt1367643"/>
    <x v="5"/>
    <s v="Jun"/>
    <s v="Incorrect legal terms delayed PTS."/>
    <n v="3"/>
    <x v="2"/>
    <x v="10"/>
    <x v="2"/>
    <x v="1"/>
  </r>
  <r>
    <x v="3"/>
    <s v="Prime Sports NFL 2025"/>
    <s v="Billing Request- 00100307"/>
    <x v="0"/>
    <d v="2025-11-30T00:00:00"/>
    <d v="2026-03-12T00:00:00"/>
    <x v="2"/>
    <s v="a6JXt1815153"/>
    <x v="6"/>
    <s v="Apr"/>
    <s v="Client requested retroactive billing adjustments."/>
    <n v="102"/>
    <x v="0"/>
    <x v="15"/>
    <x v="3"/>
    <x v="0"/>
  </r>
  <r>
    <x v="0"/>
    <s v="Global Consumer Products 2025"/>
    <s v="Billing Request- 00100309"/>
    <x v="3"/>
    <d v="2025-02-21T00:00:00"/>
    <d v="2025-05-17T00:00:00"/>
    <x v="0"/>
    <s v="a6JHn2760168"/>
    <x v="2"/>
    <s v="Apr"/>
    <s v="Late media plan changes from client."/>
    <n v="85"/>
    <x v="0"/>
    <x v="6"/>
    <x v="3"/>
    <x v="0"/>
  </r>
  <r>
    <x v="0"/>
    <s v="NWSL Prime Video 2025"/>
    <s v="Billing Request- 00100311"/>
    <x v="0"/>
    <d v="2025-04-17T00:00:00"/>
    <d v="2025-07-15T00:00:00"/>
    <x v="2"/>
    <s v="a6Jat2852723"/>
    <x v="2"/>
    <s v="Jul; Aug"/>
    <s v="Agency submitted updated invoice mapping."/>
    <n v="89"/>
    <x v="0"/>
    <x v="3"/>
    <x v="1"/>
    <x v="0"/>
  </r>
  <r>
    <x v="0"/>
    <s v="TNF Sponsorship 2026"/>
    <s v="Billing Request- 00100312"/>
    <x v="8"/>
    <d v="2026-01-20T00:00:00"/>
    <d v="2026-04-23T00:00:00"/>
    <x v="2"/>
    <s v="a6JHn5431282"/>
    <x v="6"/>
    <s v="Apr"/>
    <s v="Agency submitted updated invoice mapping."/>
    <n v="93"/>
    <x v="0"/>
    <x v="7"/>
    <x v="4"/>
    <x v="1"/>
  </r>
  <r>
    <x v="0"/>
    <s v="NASCAR Apex 2025 2026"/>
    <s v="Billing Request- 00100313"/>
    <x v="5"/>
    <d v="2026-03-16T00:00:00"/>
    <d v="2026-05-02T00:00:00"/>
    <x v="2"/>
    <s v="a6Jat1162274"/>
    <x v="2"/>
    <s v="Jun"/>
    <s v="Invoice details mismatch with approved campaign."/>
    <n v="47"/>
    <x v="1"/>
    <x v="2"/>
    <x v="0"/>
    <x v="1"/>
  </r>
  <r>
    <x v="0"/>
    <s v="DirecTV NASCAR Campaign 2025"/>
    <s v="Billing Request- 00100314"/>
    <x v="9"/>
    <d v="2025-08-13T00:00:00"/>
    <d v="2025-11-01T00:00:00"/>
    <x v="0"/>
    <s v="a6Jat2909784"/>
    <x v="0"/>
    <s v="May; Jun"/>
    <s v="Late media plan changes from client."/>
    <n v="80"/>
    <x v="0"/>
    <x v="8"/>
    <x v="0"/>
    <x v="0"/>
  </r>
  <r>
    <x v="0"/>
    <s v="WNBA Incremental Scatter 2026"/>
    <s v="Billing Request- 00100315"/>
    <x v="9"/>
    <d v="2026-05-03T00:00:00"/>
    <d v="2026-05-06T00:00:00"/>
    <x v="0"/>
    <s v="a6Jat2740017"/>
    <x v="5"/>
    <s v="Jul; Aug"/>
    <s v="Finance validation process delay."/>
    <n v="3"/>
    <x v="2"/>
    <x v="16"/>
    <x v="2"/>
    <x v="1"/>
  </r>
  <r>
    <x v="0"/>
    <s v="NASCAR P&amp;Q 2025"/>
    <s v="Billing Request- 00100317"/>
    <x v="6"/>
    <d v="2025-02-02T00:00:00"/>
    <d v="2025-03-08T00:00:00"/>
    <x v="0"/>
    <s v="a6JXt4757843"/>
    <x v="5"/>
    <s v="Sep; Oct"/>
    <s v="Incorrect legal terms delayed PTS."/>
    <n v="34"/>
    <x v="1"/>
    <x v="6"/>
    <x v="0"/>
    <x v="0"/>
  </r>
  <r>
    <x v="0"/>
    <s v="DirecTV NASCAR Campaign 2025"/>
    <s v="Billing Request- 00100318"/>
    <x v="4"/>
    <d v="2025-05-08T00:00:00"/>
    <d v="2025-07-09T00:00:00"/>
    <x v="2"/>
    <s v="a6JXt1915467"/>
    <x v="2"/>
    <s v="Jun"/>
    <s v=""/>
    <n v="62"/>
    <x v="0"/>
    <x v="4"/>
    <x v="0"/>
    <x v="0"/>
  </r>
  <r>
    <x v="0"/>
    <s v="Prime Sports NFL 2026"/>
    <s v="Billing Request- 00100319"/>
    <x v="3"/>
    <d v="2026-05-07T00:00:00"/>
    <d v="2026-05-08T00:00:00"/>
    <x v="2"/>
    <s v="a6JHn1844744"/>
    <x v="4"/>
    <s v="Nov; Dec"/>
    <s v="Missing supporting documentation from vendor."/>
    <n v="1"/>
    <x v="2"/>
    <x v="16"/>
    <x v="3"/>
    <x v="1"/>
  </r>
  <r>
    <x v="4"/>
    <s v="NWSL Prime Video 2025"/>
    <s v="Billing Request- 00100320"/>
    <x v="6"/>
    <d v="2025-05-01T00:00:00"/>
    <d v="2025-05-12T00:00:00"/>
    <x v="2"/>
    <s v="a6JHn8500558"/>
    <x v="6"/>
    <s v="Jul; Aug"/>
    <s v="Client requested retroactive billing adjustments."/>
    <n v="11"/>
    <x v="4"/>
    <x v="4"/>
    <x v="1"/>
    <x v="0"/>
  </r>
  <r>
    <x v="0"/>
    <s v="Amazon NBA Live Sports 2026"/>
    <s v="Billing Request- 00100322"/>
    <x v="6"/>
    <d v="2026-04-04T00:00:00"/>
    <d v="2026-05-09T00:00:00"/>
    <x v="0"/>
    <s v="a6JXt8937865"/>
    <x v="2"/>
    <s v="May; Jun"/>
    <s v="Incorrect legal terms delayed PTS."/>
    <n v="35"/>
    <x v="1"/>
    <x v="10"/>
    <x v="2"/>
    <x v="1"/>
  </r>
  <r>
    <x v="0"/>
    <s v="NWSL Halftime Sponsorship 2026"/>
    <s v="Billing Request- 00100324"/>
    <x v="7"/>
    <d v="2026-05-07T00:00:00"/>
    <d v="2026-05-04T00:00:00"/>
    <x v="2"/>
    <s v="a6Jat7591709"/>
    <x v="0"/>
    <s v="Jul"/>
    <s v="Invoice details mismatch with approved campaign."/>
    <n v="-3"/>
    <x v="2"/>
    <x v="16"/>
    <x v="1"/>
    <x v="1"/>
  </r>
  <r>
    <x v="2"/>
    <s v="NWSL Prime Video 2025"/>
    <s v="Billing Request- 00100326"/>
    <x v="5"/>
    <d v="2025-10-11T00:00:00"/>
    <d v="2026-02-08T00:00:00"/>
    <x v="0"/>
    <s v="a6Jat3913368"/>
    <x v="6"/>
    <s v="Jan; Feb"/>
    <s v="Invoice details mismatch with approved campaign."/>
    <n v="120"/>
    <x v="0"/>
    <x v="5"/>
    <x v="1"/>
    <x v="0"/>
  </r>
  <r>
    <x v="0"/>
    <s v="Retail Media Expansion 2025"/>
    <s v="Billing Request- 00100327"/>
    <x v="5"/>
    <d v="2025-07-16T00:00:00"/>
    <d v="2025-09-08T00:00:00"/>
    <x v="1"/>
    <s v="a6JHn8597490"/>
    <x v="4"/>
    <s v="Mar; Apr"/>
    <s v=""/>
    <n v="54"/>
    <x v="1"/>
    <x v="12"/>
    <x v="3"/>
    <x v="0"/>
  </r>
  <r>
    <x v="0"/>
    <s v="NBA League Pass 2026"/>
    <s v="Billing Request- 00100329"/>
    <x v="0"/>
    <d v="2026-02-03T00:00:00"/>
    <d v="2026-05-05T00:00:00"/>
    <x v="0"/>
    <s v="a6JXt9059269"/>
    <x v="5"/>
    <s v="Mar; Apr"/>
    <s v=""/>
    <n v="91"/>
    <x v="0"/>
    <x v="1"/>
    <x v="2"/>
    <x v="1"/>
  </r>
  <r>
    <x v="0"/>
    <s v="TNF Sponsorship 2025"/>
    <s v="Billing Request- 00100331"/>
    <x v="1"/>
    <d v="2025-03-16T00:00:00"/>
    <d v="2025-07-02T00:00:00"/>
    <x v="2"/>
    <s v="a6JHn8593275"/>
    <x v="5"/>
    <s v="Nov; Dec"/>
    <s v="Manual billing entry issue."/>
    <n v="108"/>
    <x v="0"/>
    <x v="13"/>
    <x v="4"/>
    <x v="0"/>
  </r>
  <r>
    <x v="0"/>
    <s v="NBA League Pass 2025"/>
    <s v="Billing Request- 00100332"/>
    <x v="9"/>
    <d v="2025-10-15T00:00:00"/>
    <d v="2025-12-04T00:00:00"/>
    <x v="2"/>
    <s v="a6JHn7502088"/>
    <x v="1"/>
    <s v="Nov"/>
    <s v=""/>
    <n v="50"/>
    <x v="1"/>
    <x v="5"/>
    <x v="2"/>
    <x v="0"/>
  </r>
  <r>
    <x v="4"/>
    <s v="NASCAR P&amp;Q 2025"/>
    <s v="Billing Request- 00100336"/>
    <x v="3"/>
    <d v="2025-10-21T00:00:00"/>
    <d v="2025-12-31T00:00:00"/>
    <x v="2"/>
    <s v="a6Jat4084811"/>
    <x v="6"/>
    <s v="Sep; Oct"/>
    <s v="Agency submitted updated invoice mapping."/>
    <n v="71"/>
    <x v="0"/>
    <x v="5"/>
    <x v="0"/>
    <x v="0"/>
  </r>
  <r>
    <x v="0"/>
    <s v="TNF Sponsorship 2025"/>
    <s v="Billing Request- 00100337"/>
    <x v="6"/>
    <d v="2025-10-02T00:00:00"/>
    <d v="2025-11-23T00:00:00"/>
    <x v="2"/>
    <s v="a6JHn6554374"/>
    <x v="3"/>
    <s v="Jul"/>
    <s v=""/>
    <n v="52"/>
    <x v="1"/>
    <x v="5"/>
    <x v="4"/>
    <x v="0"/>
  </r>
  <r>
    <x v="0"/>
    <s v="Amazon TNF 2024 2025"/>
    <s v="Billing Request- 00100338"/>
    <x v="4"/>
    <d v="2025-10-15T00:00:00"/>
    <d v="2026-01-29T00:00:00"/>
    <x v="2"/>
    <s v="a6JXt5090740"/>
    <x v="2"/>
    <s v="Nov"/>
    <s v="Missing supporting documentation from vendor."/>
    <n v="106"/>
    <x v="0"/>
    <x v="5"/>
    <x v="4"/>
    <x v="0"/>
  </r>
  <r>
    <x v="0"/>
    <s v="DirecTV NASCAR Campaign 2026"/>
    <s v="Billing Request- 00100339"/>
    <x v="3"/>
    <d v="2026-01-30T00:00:00"/>
    <d v="2026-03-21T00:00:00"/>
    <x v="2"/>
    <s v="a6JXt7290752"/>
    <x v="1"/>
    <s v="Sep; Oct"/>
    <s v="Finance validation process delay."/>
    <n v="50"/>
    <x v="1"/>
    <x v="7"/>
    <x v="0"/>
    <x v="1"/>
  </r>
  <r>
    <x v="0"/>
    <s v="NBA League Pass 2025"/>
    <s v="Billing Request- 00100340"/>
    <x v="4"/>
    <d v="2025-06-01T00:00:00"/>
    <d v="2025-09-24T00:00:00"/>
    <x v="1"/>
    <s v="a6Jat9945709"/>
    <x v="2"/>
    <s v="Mar"/>
    <s v="Manual billing entry issue."/>
    <n v="115"/>
    <x v="0"/>
    <x v="9"/>
    <x v="2"/>
    <x v="0"/>
  </r>
  <r>
    <x v="0"/>
    <s v="NWSL Halftime Sponsorship 2025"/>
    <s v="Billing Request- 00100341"/>
    <x v="1"/>
    <d v="2025-04-20T00:00:00"/>
    <d v="2025-08-09T00:00:00"/>
    <x v="0"/>
    <s v="a6JXt8302077"/>
    <x v="2"/>
    <s v="May"/>
    <s v="Client requested retroactive billing adjustments."/>
    <n v="111"/>
    <x v="0"/>
    <x v="3"/>
    <x v="1"/>
    <x v="0"/>
  </r>
  <r>
    <x v="0"/>
    <s v="Amazon TNF 2024 2025"/>
    <s v="Billing Request- 00100342"/>
    <x v="0"/>
    <d v="2025-06-19T00:00:00"/>
    <d v="2025-06-24T00:00:00"/>
    <x v="0"/>
    <s v="a6JXt2181822"/>
    <x v="1"/>
    <s v="Aug"/>
    <s v="Late media plan changes from client."/>
    <n v="5"/>
    <x v="2"/>
    <x v="9"/>
    <x v="4"/>
    <x v="0"/>
  </r>
  <r>
    <x v="0"/>
    <s v="NWSL Prime Video 2025"/>
    <s v="Billing Request- 00100343"/>
    <x v="4"/>
    <d v="2025-08-19T00:00:00"/>
    <d v="2025-11-08T00:00:00"/>
    <x v="2"/>
    <s v="a6Jat9973031"/>
    <x v="2"/>
    <s v="Mar"/>
    <s v="Client requested retroactive billing adjustments."/>
    <n v="81"/>
    <x v="0"/>
    <x v="8"/>
    <x v="1"/>
    <x v="0"/>
  </r>
  <r>
    <x v="0"/>
    <s v="Confluence Academy 2025"/>
    <s v="Billing Request- 00100344"/>
    <x v="2"/>
    <d v="2025-02-07T00:00:00"/>
    <d v="2025-03-25T00:00:00"/>
    <x v="0"/>
    <s v="a6JXt2451316"/>
    <x v="1"/>
    <s v="May; Jun"/>
    <s v="Missing supporting documentation from vendor."/>
    <n v="46"/>
    <x v="1"/>
    <x v="6"/>
    <x v="3"/>
    <x v="0"/>
  </r>
  <r>
    <x v="0"/>
    <s v="NWSL Halftime Sponsorship 2025"/>
    <s v="Billing Request- 00100345"/>
    <x v="5"/>
    <d v="2025-12-05T00:00:00"/>
    <d v="2025-12-09T00:00:00"/>
    <x v="2"/>
    <s v="a6JHn5948917"/>
    <x v="3"/>
    <s v="Dec"/>
    <s v="Client requested retroactive billing adjustments."/>
    <n v="4"/>
    <x v="2"/>
    <x v="11"/>
    <x v="1"/>
    <x v="0"/>
  </r>
  <r>
    <x v="0"/>
    <s v="Amazon TNF 2024 2025"/>
    <s v="Billing Request- 00100346"/>
    <x v="2"/>
    <d v="2025-10-12T00:00:00"/>
    <d v="2025-10-31T00:00:00"/>
    <x v="2"/>
    <s v="a6JXt2428191"/>
    <x v="4"/>
    <s v="Dec"/>
    <s v="Manual billing entry issue."/>
    <n v="19"/>
    <x v="3"/>
    <x v="5"/>
    <x v="4"/>
    <x v="0"/>
  </r>
  <r>
    <x v="0"/>
    <s v="Retail Media Expansion 2025"/>
    <s v="Billing Request- 00100347"/>
    <x v="1"/>
    <d v="2025-11-27T00:00:00"/>
    <d v="2026-03-16T00:00:00"/>
    <x v="2"/>
    <s v="a6JHn4260252"/>
    <x v="4"/>
    <s v="Feb"/>
    <s v=""/>
    <n v="109"/>
    <x v="0"/>
    <x v="15"/>
    <x v="3"/>
    <x v="0"/>
  </r>
  <r>
    <x v="0"/>
    <s v="DirecTV NASCAR Campaign 2025"/>
    <s v="Billing Request- 00100348"/>
    <x v="6"/>
    <d v="2025-10-09T00:00:00"/>
    <d v="2025-10-19T00:00:00"/>
    <x v="2"/>
    <s v="a6JXt9173698"/>
    <x v="3"/>
    <s v="May"/>
    <s v="Manual billing entry issue."/>
    <n v="10"/>
    <x v="4"/>
    <x v="5"/>
    <x v="0"/>
    <x v="0"/>
  </r>
  <r>
    <x v="4"/>
    <s v="NASCAR P&amp;Q 2026"/>
    <s v="Billing Request- 00100350"/>
    <x v="2"/>
    <d v="2026-02-13T00:00:00"/>
    <d v="2026-02-14T00:00:00"/>
    <x v="0"/>
    <s v="a6JXt8316947"/>
    <x v="1"/>
    <s v="Dec"/>
    <s v="Agency submitted updated invoice mapping."/>
    <n v="1"/>
    <x v="2"/>
    <x v="1"/>
    <x v="0"/>
    <x v="1"/>
  </r>
  <r>
    <x v="0"/>
    <s v="NWSL Prime Video 2025"/>
    <s v="Billing Request- 00100351"/>
    <x v="5"/>
    <d v="2025-06-19T00:00:00"/>
    <d v="2025-10-10T00:00:00"/>
    <x v="0"/>
    <s v="a6JHn2825908"/>
    <x v="2"/>
    <s v="Mar"/>
    <s v="Late media plan changes from client."/>
    <n v="113"/>
    <x v="0"/>
    <x v="9"/>
    <x v="1"/>
    <x v="0"/>
  </r>
  <r>
    <x v="0"/>
    <s v="NBA League Pass 2026"/>
    <s v="Billing Request- 00100352"/>
    <x v="4"/>
    <d v="2026-02-05T00:00:00"/>
    <d v="2026-05-05T00:00:00"/>
    <x v="0"/>
    <s v="a6JXt2265001"/>
    <x v="1"/>
    <s v="Sep; Oct"/>
    <s v="Client requested retroactive billing adjustments."/>
    <n v="89"/>
    <x v="0"/>
    <x v="1"/>
    <x v="2"/>
    <x v="1"/>
  </r>
  <r>
    <x v="0"/>
    <s v="WNBA Incremental Scatter 2026"/>
    <s v="Billing Request- 00100353"/>
    <x v="5"/>
    <d v="2026-04-14T00:00:00"/>
    <d v="2026-05-05T00:00:00"/>
    <x v="2"/>
    <s v="a6JXt8920589"/>
    <x v="3"/>
    <s v="Jan; Feb"/>
    <s v="Manual billing entry issue."/>
    <n v="21"/>
    <x v="3"/>
    <x v="10"/>
    <x v="2"/>
    <x v="1"/>
  </r>
  <r>
    <x v="0"/>
    <s v="NWSL Halftime Sponsorship 2026"/>
    <s v="Billing Request- 00100354"/>
    <x v="0"/>
    <d v="2026-03-16T00:00:00"/>
    <d v="2026-04-03T00:00:00"/>
    <x v="2"/>
    <s v="a6JXt5007754"/>
    <x v="2"/>
    <s v="Jun"/>
    <s v=""/>
    <n v="18"/>
    <x v="3"/>
    <x v="2"/>
    <x v="1"/>
    <x v="1"/>
  </r>
  <r>
    <x v="0"/>
    <s v="NBA Playoffs Campaign 2025"/>
    <s v="Billing Request- 00100360"/>
    <x v="5"/>
    <d v="2025-09-03T00:00:00"/>
    <d v="2025-11-04T00:00:00"/>
    <x v="2"/>
    <s v="a6Jat1723841"/>
    <x v="5"/>
    <s v="Jun"/>
    <s v="Agency submitted updated invoice mapping."/>
    <n v="62"/>
    <x v="0"/>
    <x v="14"/>
    <x v="2"/>
    <x v="0"/>
  </r>
  <r>
    <x v="0"/>
    <s v="Retail Media Expansion 2025"/>
    <s v="Billing Request- 00100361"/>
    <x v="9"/>
    <d v="2025-01-21T00:00:00"/>
    <d v="2025-05-16T00:00:00"/>
    <x v="2"/>
    <s v="a6Jat9667792"/>
    <x v="5"/>
    <s v="Jan"/>
    <s v="Late media plan changes from client."/>
    <n v="115"/>
    <x v="0"/>
    <x v="0"/>
    <x v="3"/>
    <x v="0"/>
  </r>
  <r>
    <x v="3"/>
    <s v="Streaming Bundle Initiative 2026"/>
    <s v="Billing Request- 00100362"/>
    <x v="0"/>
    <d v="2026-02-25T00:00:00"/>
    <d v="2026-04-24T00:00:00"/>
    <x v="2"/>
    <s v="a6JHn3394312"/>
    <x v="1"/>
    <s v="Jun"/>
    <s v=""/>
    <n v="58"/>
    <x v="1"/>
    <x v="1"/>
    <x v="3"/>
    <x v="1"/>
  </r>
  <r>
    <x v="3"/>
    <s v="NWSL Halftime Sponsorship 2026"/>
    <s v="Billing Request- 00100364"/>
    <x v="8"/>
    <d v="2026-01-25T00:00:00"/>
    <d v="2026-02-17T00:00:00"/>
    <x v="2"/>
    <s v="a6Jat2563468"/>
    <x v="2"/>
    <s v="May"/>
    <s v=""/>
    <n v="23"/>
    <x v="3"/>
    <x v="7"/>
    <x v="1"/>
    <x v="1"/>
  </r>
  <r>
    <x v="0"/>
    <s v="NASCAR P&amp;Q 2026"/>
    <s v="Billing Request- 00100365"/>
    <x v="6"/>
    <d v="2026-04-21T00:00:00"/>
    <d v="2026-05-06T00:00:00"/>
    <x v="2"/>
    <s v="a6JHn7396087"/>
    <x v="5"/>
    <s v="Apr"/>
    <s v="Missing supporting documentation from vendor."/>
    <n v="15"/>
    <x v="3"/>
    <x v="10"/>
    <x v="0"/>
    <x v="1"/>
  </r>
  <r>
    <x v="0"/>
    <s v="NWSL Halftime Sponsorship 2025"/>
    <s v="Billing Request- 00100368"/>
    <x v="6"/>
    <d v="2025-11-10T00:00:00"/>
    <d v="2025-12-16T00:00:00"/>
    <x v="0"/>
    <s v="a6JHn3998417"/>
    <x v="5"/>
    <s v="Nov; Dec"/>
    <s v="Finance validation process delay."/>
    <n v="36"/>
    <x v="1"/>
    <x v="15"/>
    <x v="1"/>
    <x v="0"/>
  </r>
  <r>
    <x v="0"/>
    <s v="NWSL Halftime Sponsorship 2026"/>
    <s v="Billing Request- 00100371"/>
    <x v="9"/>
    <d v="2026-05-01T00:00:00"/>
    <d v="2026-05-05T00:00:00"/>
    <x v="2"/>
    <s v="a6Jat1633429"/>
    <x v="0"/>
    <s v="Sep; Oct"/>
    <s v="Late media plan changes from client."/>
    <n v="4"/>
    <x v="2"/>
    <x v="16"/>
    <x v="1"/>
    <x v="1"/>
  </r>
  <r>
    <x v="0"/>
    <s v="Amazon NBA Live Sports 2025"/>
    <s v="Billing Request- 00100372"/>
    <x v="2"/>
    <d v="2025-11-02T00:00:00"/>
    <d v="2025-11-10T00:00:00"/>
    <x v="2"/>
    <s v="a6JXt9693169"/>
    <x v="4"/>
    <s v="Feb"/>
    <s v=""/>
    <n v="8"/>
    <x v="4"/>
    <x v="15"/>
    <x v="2"/>
    <x v="0"/>
  </r>
  <r>
    <x v="0"/>
    <s v="WNBA Incremental Scatter 2025"/>
    <s v="Billing Request- 00100373"/>
    <x v="2"/>
    <d v="2025-04-29T00:00:00"/>
    <d v="2025-07-17T00:00:00"/>
    <x v="0"/>
    <s v="a6Jat2456980"/>
    <x v="1"/>
    <s v="Jan; Feb"/>
    <s v="Invoice details mismatch with approved campaign."/>
    <n v="79"/>
    <x v="0"/>
    <x v="3"/>
    <x v="2"/>
    <x v="0"/>
  </r>
  <r>
    <x v="0"/>
    <s v="WNBA Incremental Scatter 2025"/>
    <s v="Billing Request- 00100374"/>
    <x v="3"/>
    <d v="2025-07-27T00:00:00"/>
    <d v="2025-10-11T00:00:00"/>
    <x v="2"/>
    <s v="a6Jat5773013"/>
    <x v="5"/>
    <s v="Dec"/>
    <s v="Invoice details mismatch with approved campaign."/>
    <n v="76"/>
    <x v="0"/>
    <x v="12"/>
    <x v="2"/>
    <x v="0"/>
  </r>
  <r>
    <x v="0"/>
    <s v="Retail Media Expansion 2026"/>
    <s v="Billing Request- 00100375"/>
    <x v="5"/>
    <d v="2026-03-12T00:00:00"/>
    <d v="2026-04-10T00:00:00"/>
    <x v="2"/>
    <s v="a6Jat5380657"/>
    <x v="0"/>
    <s v="Sep; Oct"/>
    <s v="Incorrect legal terms delayed PTS."/>
    <n v="29"/>
    <x v="3"/>
    <x v="2"/>
    <x v="3"/>
    <x v="1"/>
  </r>
  <r>
    <x v="4"/>
    <s v="NASCAR P&amp;Q 2025"/>
    <s v="Billing Request- 00100376"/>
    <x v="8"/>
    <d v="2025-09-15T00:00:00"/>
    <d v="2025-10-23T00:00:00"/>
    <x v="1"/>
    <s v="a6JXt5196677"/>
    <x v="0"/>
    <s v="Jul; Aug"/>
    <s v="Manual billing entry issue."/>
    <n v="38"/>
    <x v="1"/>
    <x v="14"/>
    <x v="0"/>
    <x v="0"/>
  </r>
  <r>
    <x v="0"/>
    <s v="Confluence Academy 2026"/>
    <s v="Billing Request- 00100377"/>
    <x v="7"/>
    <d v="2026-04-28T00:00:00"/>
    <d v="2026-05-06T00:00:00"/>
    <x v="2"/>
    <s v="a6JHn4697401"/>
    <x v="1"/>
    <s v="Nov"/>
    <s v="Missing supporting documentation from vendor."/>
    <n v="8"/>
    <x v="4"/>
    <x v="10"/>
    <x v="3"/>
    <x v="1"/>
  </r>
  <r>
    <x v="0"/>
    <s v="NASCAR P&amp;Q 2026"/>
    <s v="Billing Request- 00100378"/>
    <x v="1"/>
    <d v="2026-01-03T00:00:00"/>
    <d v="2026-04-03T00:00:00"/>
    <x v="2"/>
    <s v="a6JXt6737688"/>
    <x v="5"/>
    <s v="Jun"/>
    <s v="Finance validation process delay."/>
    <n v="90"/>
    <x v="0"/>
    <x v="7"/>
    <x v="0"/>
    <x v="1"/>
  </r>
  <r>
    <x v="0"/>
    <s v="Global Consumer Products 2025"/>
    <s v="Billing Request- 00100379"/>
    <x v="7"/>
    <d v="2025-04-22T00:00:00"/>
    <d v="2025-08-15T00:00:00"/>
    <x v="0"/>
    <s v="a6Jat9371819"/>
    <x v="4"/>
    <s v="Aug"/>
    <s v="Late media plan changes from client."/>
    <n v="115"/>
    <x v="0"/>
    <x v="3"/>
    <x v="3"/>
    <x v="0"/>
  </r>
  <r>
    <x v="0"/>
    <s v="NWSL Prime Video 2026"/>
    <s v="Billing Request- 00100381"/>
    <x v="9"/>
    <d v="2026-04-06T00:00:00"/>
    <d v="2026-05-07T00:00:00"/>
    <x v="1"/>
    <s v="a6JXt5702093"/>
    <x v="4"/>
    <s v="May"/>
    <s v="Client requested retroactive billing adjustments."/>
    <n v="31"/>
    <x v="1"/>
    <x v="10"/>
    <x v="1"/>
    <x v="1"/>
  </r>
  <r>
    <x v="0"/>
    <s v="Confluence Academy 2025"/>
    <s v="Billing Request- 00100382"/>
    <x v="8"/>
    <d v="2025-08-05T00:00:00"/>
    <d v="2025-10-06T00:00:00"/>
    <x v="2"/>
    <s v="a6JXt3932663"/>
    <x v="6"/>
    <s v="Sep; Oct"/>
    <s v="Finance validation process delay."/>
    <n v="62"/>
    <x v="0"/>
    <x v="8"/>
    <x v="3"/>
    <x v="0"/>
  </r>
  <r>
    <x v="0"/>
    <s v="Amazon NBA Live Sports 2025"/>
    <s v="Billing Request- 00100383"/>
    <x v="5"/>
    <d v="2025-01-05T00:00:00"/>
    <d v="2025-01-07T00:00:00"/>
    <x v="2"/>
    <s v="a6JXt5357055"/>
    <x v="5"/>
    <s v="Sep"/>
    <s v="Manual billing entry issue."/>
    <n v="2"/>
    <x v="2"/>
    <x v="0"/>
    <x v="2"/>
    <x v="0"/>
  </r>
  <r>
    <x v="4"/>
    <s v="Retail Media Expansion 2025"/>
    <s v="Billing Request- 00100385"/>
    <x v="9"/>
    <d v="2025-10-20T00:00:00"/>
    <d v="2025-11-06T00:00:00"/>
    <x v="0"/>
    <s v="a6Jat8251427"/>
    <x v="4"/>
    <s v="May"/>
    <s v="Agency submitted updated invoice mapping."/>
    <n v="17"/>
    <x v="3"/>
    <x v="5"/>
    <x v="3"/>
    <x v="0"/>
  </r>
  <r>
    <x v="0"/>
    <s v="NWSL Prime Video 2025"/>
    <s v="Billing Request- 00100386"/>
    <x v="3"/>
    <d v="2025-01-05T00:00:00"/>
    <d v="2025-01-28T00:00:00"/>
    <x v="0"/>
    <s v="a6JXt9673937"/>
    <x v="2"/>
    <s v="Nov"/>
    <s v="Finance validation process delay."/>
    <n v="23"/>
    <x v="3"/>
    <x v="0"/>
    <x v="1"/>
    <x v="0"/>
  </r>
  <r>
    <x v="0"/>
    <s v="Confluence Academy 2025"/>
    <s v="Billing Request- 00100387"/>
    <x v="2"/>
    <d v="2025-10-15T00:00:00"/>
    <d v="2026-02-02T00:00:00"/>
    <x v="0"/>
    <s v="a6Jat4614941"/>
    <x v="0"/>
    <s v="Apr"/>
    <s v="Finance validation process delay."/>
    <n v="110"/>
    <x v="0"/>
    <x v="5"/>
    <x v="3"/>
    <x v="0"/>
  </r>
  <r>
    <x v="0"/>
    <s v="DirecTV NASCAR Campaign 2025"/>
    <s v="Billing Request- 00100388"/>
    <x v="9"/>
    <d v="2025-05-14T00:00:00"/>
    <d v="2025-06-30T00:00:00"/>
    <x v="0"/>
    <s v="a6JHn1332781"/>
    <x v="6"/>
    <s v="Dec"/>
    <s v="Manual billing entry issue."/>
    <n v="47"/>
    <x v="1"/>
    <x v="4"/>
    <x v="0"/>
    <x v="0"/>
  </r>
  <r>
    <x v="1"/>
    <s v="Retail Media Expansion 2025"/>
    <s v="Billing Request- 00100389"/>
    <x v="8"/>
    <d v="2025-11-29T00:00:00"/>
    <d v="2026-02-21T00:00:00"/>
    <x v="2"/>
    <s v="a6JHn9563838"/>
    <x v="1"/>
    <s v="May; Jun"/>
    <s v="Incorrect legal terms delayed PTS."/>
    <n v="84"/>
    <x v="0"/>
    <x v="15"/>
    <x v="3"/>
    <x v="0"/>
  </r>
  <r>
    <x v="0"/>
    <s v="NBA Playoffs Campaign 2025"/>
    <s v="Billing Request- 00100390"/>
    <x v="1"/>
    <d v="2025-05-27T00:00:00"/>
    <d v="2025-07-26T00:00:00"/>
    <x v="1"/>
    <s v="a6JHn7790959"/>
    <x v="6"/>
    <s v="Jun"/>
    <s v="Invoice details mismatch with approved campaign."/>
    <n v="60"/>
    <x v="1"/>
    <x v="4"/>
    <x v="2"/>
    <x v="0"/>
  </r>
  <r>
    <x v="0"/>
    <s v="NFL Prime Video 2025"/>
    <s v="Billing Request- 00100392"/>
    <x v="7"/>
    <d v="2025-04-05T00:00:00"/>
    <d v="2025-07-24T00:00:00"/>
    <x v="0"/>
    <s v="a6JXt2343263"/>
    <x v="4"/>
    <s v="Jan; Feb"/>
    <s v="Incorrect legal terms delayed PTS."/>
    <n v="110"/>
    <x v="0"/>
    <x v="3"/>
    <x v="3"/>
    <x v="0"/>
  </r>
  <r>
    <x v="0"/>
    <s v="NBA Playoffs Campaign 2025"/>
    <s v="Billing Request- 00100394"/>
    <x v="3"/>
    <d v="2025-07-19T00:00:00"/>
    <d v="2025-08-28T00:00:00"/>
    <x v="2"/>
    <s v="a6Jat3202464"/>
    <x v="1"/>
    <s v="Jun"/>
    <s v="Client requested retroactive billing adjustments."/>
    <n v="40"/>
    <x v="1"/>
    <x v="12"/>
    <x v="2"/>
    <x v="0"/>
  </r>
  <r>
    <x v="0"/>
    <s v="Streaming Bundle Initiative 2025"/>
    <s v="Billing Request- 00100396"/>
    <x v="8"/>
    <d v="2025-08-22T00:00:00"/>
    <d v="2025-11-11T00:00:00"/>
    <x v="0"/>
    <s v="a6JHn6824517"/>
    <x v="5"/>
    <s v="Aug"/>
    <s v="Incorrect legal terms delayed PTS."/>
    <n v="81"/>
    <x v="0"/>
    <x v="8"/>
    <x v="3"/>
    <x v="0"/>
  </r>
  <r>
    <x v="0"/>
    <s v="NASCAR P&amp;Q 2025"/>
    <s v="Billing Request- 00100397"/>
    <x v="2"/>
    <d v="2025-07-07T00:00:00"/>
    <d v="2025-08-29T00:00:00"/>
    <x v="2"/>
    <s v="a6Jat6769431"/>
    <x v="0"/>
    <s v="Nov; Dec"/>
    <s v="Client requested retroactive billing adjustments."/>
    <n v="53"/>
    <x v="1"/>
    <x v="12"/>
    <x v="0"/>
    <x v="0"/>
  </r>
  <r>
    <x v="0"/>
    <s v="NWSL Prime Video 2025"/>
    <s v="Billing Request- 00100398"/>
    <x v="4"/>
    <d v="2025-09-09T00:00:00"/>
    <d v="2025-12-15T00:00:00"/>
    <x v="2"/>
    <s v="a6JHn4879150"/>
    <x v="5"/>
    <s v="Dec"/>
    <s v="Manual billing entry issue."/>
    <n v="97"/>
    <x v="0"/>
    <x v="14"/>
    <x v="1"/>
    <x v="0"/>
  </r>
  <r>
    <x v="0"/>
    <s v="NWSL Halftime Sponsorship 2025"/>
    <s v="Billing Request- 00100399"/>
    <x v="7"/>
    <d v="2025-10-15T00:00:00"/>
    <d v="2025-12-10T00:00:00"/>
    <x v="0"/>
    <s v="a6JHn7347794"/>
    <x v="3"/>
    <s v="Mar"/>
    <s v="Missing supporting documentation from vendor."/>
    <n v="56"/>
    <x v="1"/>
    <x v="5"/>
    <x v="1"/>
    <x v="0"/>
  </r>
  <r>
    <x v="0"/>
    <s v="Global Consumer Products 2025"/>
    <s v="Billing Request- 00100400"/>
    <x v="7"/>
    <d v="2025-09-22T00:00:00"/>
    <d v="2025-12-29T00:00:00"/>
    <x v="0"/>
    <s v="a6JHn7927377"/>
    <x v="1"/>
    <s v="Mar"/>
    <s v="Agency submitted updated invoice mapping."/>
    <n v="98"/>
    <x v="0"/>
    <x v="14"/>
    <x v="3"/>
    <x v="0"/>
  </r>
  <r>
    <x v="0"/>
    <s v="NWSL Prime Video 2025"/>
    <s v="Billing Request- 00100403"/>
    <x v="5"/>
    <d v="2025-06-09T00:00:00"/>
    <d v="2025-09-18T00:00:00"/>
    <x v="0"/>
    <s v="a6JHn2345920"/>
    <x v="6"/>
    <s v="Sep"/>
    <s v="Missing supporting documentation from vendor."/>
    <n v="101"/>
    <x v="0"/>
    <x v="9"/>
    <x v="1"/>
    <x v="0"/>
  </r>
  <r>
    <x v="0"/>
    <s v="NWSL Halftime Sponsorship 2025"/>
    <s v="Billing Request- 00100405"/>
    <x v="2"/>
    <d v="2025-01-18T00:00:00"/>
    <d v="2025-02-13T00:00:00"/>
    <x v="1"/>
    <s v="a6JHn7528399"/>
    <x v="3"/>
    <s v="Jun"/>
    <s v="Client requested retroactive billing adjustments."/>
    <n v="26"/>
    <x v="3"/>
    <x v="0"/>
    <x v="1"/>
    <x v="0"/>
  </r>
  <r>
    <x v="0"/>
    <s v="TNF Sponsorship 2025"/>
    <s v="Billing Request- 00100406"/>
    <x v="7"/>
    <d v="2025-10-09T00:00:00"/>
    <d v="2025-12-15T00:00:00"/>
    <x v="2"/>
    <s v="a6JHn1873883"/>
    <x v="6"/>
    <s v="Aug"/>
    <s v="Missing supporting documentation from vendor."/>
    <n v="67"/>
    <x v="0"/>
    <x v="5"/>
    <x v="4"/>
    <x v="0"/>
  </r>
  <r>
    <x v="0"/>
    <s v="DirecTV NASCAR Campaign 2025"/>
    <s v="Billing Request- 00100407"/>
    <x v="0"/>
    <d v="2025-03-27T00:00:00"/>
    <d v="2025-07-07T00:00:00"/>
    <x v="0"/>
    <s v="a6Jat1704531"/>
    <x v="1"/>
    <s v="Jul; Aug"/>
    <s v="Agency submitted updated invoice mapping."/>
    <n v="102"/>
    <x v="0"/>
    <x v="13"/>
    <x v="0"/>
    <x v="0"/>
  </r>
  <r>
    <x v="0"/>
    <s v="Amazon NBA Live Sports 2025"/>
    <s v="Billing Request- 00100408"/>
    <x v="4"/>
    <d v="2025-02-15T00:00:00"/>
    <d v="2025-03-19T00:00:00"/>
    <x v="2"/>
    <s v="a6JXt2007511"/>
    <x v="3"/>
    <s v="May"/>
    <s v=""/>
    <n v="32"/>
    <x v="1"/>
    <x v="6"/>
    <x v="2"/>
    <x v="0"/>
  </r>
  <r>
    <x v="1"/>
    <s v="NBA League Pass 2026"/>
    <s v="Billing Request- 00100409"/>
    <x v="7"/>
    <d v="2026-02-02T00:00:00"/>
    <d v="2026-04-06T00:00:00"/>
    <x v="0"/>
    <s v="a6JHn8360481"/>
    <x v="6"/>
    <s v="Jan; Feb"/>
    <s v="Invoice details mismatch with approved campaign."/>
    <n v="63"/>
    <x v="0"/>
    <x v="1"/>
    <x v="2"/>
    <x v="1"/>
  </r>
  <r>
    <x v="0"/>
    <s v="Prime Sports NFL 2025"/>
    <s v="Billing Request- 00100410"/>
    <x v="7"/>
    <d v="2025-05-09T00:00:00"/>
    <d v="2025-09-02T00:00:00"/>
    <x v="2"/>
    <s v="a6JXt9222379"/>
    <x v="5"/>
    <s v="Jun"/>
    <s v=""/>
    <n v="116"/>
    <x v="0"/>
    <x v="4"/>
    <x v="3"/>
    <x v="0"/>
  </r>
  <r>
    <x v="0"/>
    <s v="Retail Media Expansion 2025"/>
    <s v="Billing Request- 00100411"/>
    <x v="3"/>
    <d v="2025-08-28T00:00:00"/>
    <d v="2025-10-03T00:00:00"/>
    <x v="2"/>
    <s v="a6JHn5418267"/>
    <x v="3"/>
    <s v="May; Jun"/>
    <s v="Client requested retroactive billing adjustments."/>
    <n v="36"/>
    <x v="1"/>
    <x v="8"/>
    <x v="3"/>
    <x v="0"/>
  </r>
  <r>
    <x v="0"/>
    <s v="TNF Sponsorship 2026"/>
    <s v="Billing Request- 00100412"/>
    <x v="3"/>
    <d v="2026-04-08T00:00:00"/>
    <d v="2026-05-08T00:00:00"/>
    <x v="2"/>
    <s v="a6JXt2062698"/>
    <x v="1"/>
    <s v="Jan; Feb"/>
    <s v="Manual billing entry issue."/>
    <n v="30"/>
    <x v="3"/>
    <x v="10"/>
    <x v="4"/>
    <x v="1"/>
  </r>
  <r>
    <x v="0"/>
    <s v="Retail Media Expansion 2025"/>
    <s v="Billing Request- 00100413"/>
    <x v="1"/>
    <d v="2025-09-12T00:00:00"/>
    <d v="2025-12-20T00:00:00"/>
    <x v="2"/>
    <s v="a6JXt6402667"/>
    <x v="6"/>
    <s v="Sep; Oct"/>
    <s v="Incorrect legal terms delayed PTS."/>
    <n v="99"/>
    <x v="0"/>
    <x v="14"/>
    <x v="3"/>
    <x v="0"/>
  </r>
  <r>
    <x v="2"/>
    <s v="Amazon TNF 2024 2025"/>
    <s v="Billing Request- 00100415"/>
    <x v="8"/>
    <d v="2025-11-07T00:00:00"/>
    <d v="2026-02-07T00:00:00"/>
    <x v="2"/>
    <s v="a6JHn2341452"/>
    <x v="1"/>
    <s v="Feb"/>
    <s v="Invoice details mismatch with approved campaign."/>
    <n v="92"/>
    <x v="0"/>
    <x v="15"/>
    <x v="4"/>
    <x v="0"/>
  </r>
  <r>
    <x v="0"/>
    <s v="DirecTV NASCAR Campaign 2025"/>
    <s v="Billing Request- 00100416"/>
    <x v="1"/>
    <d v="2025-08-01T00:00:00"/>
    <d v="2025-11-15T00:00:00"/>
    <x v="2"/>
    <s v="a6JXt1682046"/>
    <x v="1"/>
    <s v="Oct"/>
    <s v="Incorrect legal terms delayed PTS."/>
    <n v="106"/>
    <x v="0"/>
    <x v="8"/>
    <x v="0"/>
    <x v="0"/>
  </r>
  <r>
    <x v="0"/>
    <s v="Amazon NBA Live Sports 2026"/>
    <s v="Billing Request- 00100417"/>
    <x v="3"/>
    <d v="2026-01-25T00:00:00"/>
    <d v="2026-02-07T00:00:00"/>
    <x v="2"/>
    <s v="a6Jat4001408"/>
    <x v="2"/>
    <s v="Nov; Dec"/>
    <s v="Missing supporting documentation from vendor."/>
    <n v="13"/>
    <x v="4"/>
    <x v="7"/>
    <x v="2"/>
    <x v="1"/>
  </r>
  <r>
    <x v="0"/>
    <s v="DirecTV NASCAR Campaign 2025"/>
    <s v="Billing Request- 00100418"/>
    <x v="5"/>
    <d v="2025-11-23T00:00:00"/>
    <d v="2026-02-05T00:00:00"/>
    <x v="0"/>
    <s v="a6Jat3798595"/>
    <x v="5"/>
    <s v="Jan; Feb"/>
    <s v=""/>
    <n v="74"/>
    <x v="0"/>
    <x v="15"/>
    <x v="0"/>
    <x v="0"/>
  </r>
  <r>
    <x v="2"/>
    <s v="Streaming Bundle Initiative 2025"/>
    <s v="Billing Request- 00100419"/>
    <x v="6"/>
    <d v="2025-03-22T00:00:00"/>
    <d v="2025-05-30T00:00:00"/>
    <x v="0"/>
    <s v="a6JXt6446792"/>
    <x v="0"/>
    <s v="Mar; Apr"/>
    <s v="Invoice details mismatch with approved campaign."/>
    <n v="69"/>
    <x v="0"/>
    <x v="13"/>
    <x v="3"/>
    <x v="0"/>
  </r>
  <r>
    <x v="0"/>
    <s v="Amazon NBA Live Sports 2025"/>
    <s v="Billing Request- 00100420"/>
    <x v="8"/>
    <d v="2025-10-16T00:00:00"/>
    <d v="2025-12-25T00:00:00"/>
    <x v="1"/>
    <s v="a6JHn7039941"/>
    <x v="0"/>
    <s v="Jan; Feb"/>
    <s v="Client requested retroactive billing adjustments."/>
    <n v="70"/>
    <x v="0"/>
    <x v="5"/>
    <x v="2"/>
    <x v="0"/>
  </r>
  <r>
    <x v="1"/>
    <s v="NFL Prime Video 2025"/>
    <s v="Billing Request- 00100421"/>
    <x v="7"/>
    <d v="2025-05-26T00:00:00"/>
    <d v="2025-08-11T00:00:00"/>
    <x v="2"/>
    <s v="a6JHn4722641"/>
    <x v="1"/>
    <s v="Nov"/>
    <s v="Client requested retroactive billing adjustments."/>
    <n v="77"/>
    <x v="0"/>
    <x v="4"/>
    <x v="3"/>
    <x v="0"/>
  </r>
  <r>
    <x v="0"/>
    <s v="Retail Media Expansion 2026"/>
    <s v="Billing Request- 00100422"/>
    <x v="2"/>
    <d v="2026-03-12T00:00:00"/>
    <d v="2026-05-05T00:00:00"/>
    <x v="2"/>
    <s v="a6Jat3322104"/>
    <x v="3"/>
    <s v="Aug"/>
    <s v="Manual billing entry issue."/>
    <n v="54"/>
    <x v="1"/>
    <x v="2"/>
    <x v="3"/>
    <x v="1"/>
  </r>
  <r>
    <x v="0"/>
    <s v="Streaming Bundle Initiative 2025"/>
    <s v="Billing Request- 00100424"/>
    <x v="9"/>
    <d v="2025-06-03T00:00:00"/>
    <d v="2025-06-08T00:00:00"/>
    <x v="2"/>
    <s v="a6JHn6837300"/>
    <x v="0"/>
    <s v="Apr"/>
    <s v="Manual billing entry issue."/>
    <n v="5"/>
    <x v="2"/>
    <x v="9"/>
    <x v="3"/>
    <x v="0"/>
  </r>
  <r>
    <x v="0"/>
    <s v="Prime Sports NFL 2025"/>
    <s v="Billing Request- 00100425"/>
    <x v="6"/>
    <d v="2025-11-05T00:00:00"/>
    <d v="2026-03-04T00:00:00"/>
    <x v="2"/>
    <s v="a6JHn3509536"/>
    <x v="5"/>
    <s v="Aug"/>
    <s v="Agency submitted updated invoice mapping."/>
    <n v="119"/>
    <x v="0"/>
    <x v="15"/>
    <x v="3"/>
    <x v="0"/>
  </r>
  <r>
    <x v="0"/>
    <s v="NWSL Prime Video 2025"/>
    <s v="Billing Request- 00100427"/>
    <x v="5"/>
    <d v="2025-01-26T00:00:00"/>
    <d v="2025-04-07T00:00:00"/>
    <x v="2"/>
    <s v="a6JXt3187332"/>
    <x v="0"/>
    <s v="Nov; Dec"/>
    <s v="Manual billing entry issue."/>
    <n v="71"/>
    <x v="0"/>
    <x v="0"/>
    <x v="1"/>
    <x v="0"/>
  </r>
  <r>
    <x v="0"/>
    <s v="NBA Playoffs Campaign 2025"/>
    <s v="Billing Request- 00100428"/>
    <x v="0"/>
    <d v="2025-11-30T00:00:00"/>
    <d v="2026-02-12T00:00:00"/>
    <x v="2"/>
    <s v="a6JHn6425946"/>
    <x v="6"/>
    <s v="Apr"/>
    <s v="Missing supporting documentation from vendor."/>
    <n v="74"/>
    <x v="0"/>
    <x v="15"/>
    <x v="2"/>
    <x v="0"/>
  </r>
  <r>
    <x v="0"/>
    <s v="NASCAR Apex 2025 2025"/>
    <s v="Billing Request- 00100429"/>
    <x v="6"/>
    <d v="2025-06-28T00:00:00"/>
    <d v="2025-07-23T00:00:00"/>
    <x v="2"/>
    <s v="a6JHn3839632"/>
    <x v="5"/>
    <s v="May; Jun"/>
    <s v="Agency submitted updated invoice mapping."/>
    <n v="25"/>
    <x v="3"/>
    <x v="9"/>
    <x v="0"/>
    <x v="0"/>
  </r>
  <r>
    <x v="0"/>
    <s v="NASCAR P&amp;Q 2025"/>
    <s v="Billing Request- 00100430"/>
    <x v="7"/>
    <d v="2025-04-30T00:00:00"/>
    <d v="2025-05-26T00:00:00"/>
    <x v="0"/>
    <s v="a6Jat1914996"/>
    <x v="5"/>
    <s v="May"/>
    <s v="Late media plan changes from client."/>
    <n v="26"/>
    <x v="3"/>
    <x v="3"/>
    <x v="0"/>
    <x v="0"/>
  </r>
  <r>
    <x v="0"/>
    <s v="WNBA Incremental Scatter 2025"/>
    <s v="Billing Request- 00100432"/>
    <x v="2"/>
    <d v="2025-11-15T00:00:00"/>
    <d v="2026-02-17T00:00:00"/>
    <x v="0"/>
    <s v="a6JXt1729507"/>
    <x v="4"/>
    <s v="Feb"/>
    <s v="Late media plan changes from client."/>
    <n v="94"/>
    <x v="0"/>
    <x v="15"/>
    <x v="2"/>
    <x v="0"/>
  </r>
  <r>
    <x v="1"/>
    <s v="NASCAR P&amp;Q 2025"/>
    <s v="Billing Request- 00100436"/>
    <x v="2"/>
    <d v="2025-06-30T00:00:00"/>
    <d v="2025-08-15T00:00:00"/>
    <x v="1"/>
    <s v="a6JHn2040350"/>
    <x v="0"/>
    <s v="Jan"/>
    <s v=""/>
    <n v="46"/>
    <x v="1"/>
    <x v="9"/>
    <x v="0"/>
    <x v="0"/>
  </r>
  <r>
    <x v="0"/>
    <s v="NASCAR Apex 2025 2026"/>
    <s v="Billing Request- 00100437"/>
    <x v="0"/>
    <d v="2026-02-27T00:00:00"/>
    <d v="2026-03-19T00:00:00"/>
    <x v="2"/>
    <s v="a6JHn9736195"/>
    <x v="1"/>
    <s v="Aug"/>
    <s v="Missing supporting documentation from vendor."/>
    <n v="20"/>
    <x v="3"/>
    <x v="1"/>
    <x v="0"/>
    <x v="1"/>
  </r>
  <r>
    <x v="0"/>
    <s v="Retail Media Expansion 2025"/>
    <s v="Billing Request- 00100439"/>
    <x v="6"/>
    <d v="2025-12-28T00:00:00"/>
    <d v="2026-04-23T00:00:00"/>
    <x v="0"/>
    <s v="a6Jat3651604"/>
    <x v="6"/>
    <s v="Nov; Dec"/>
    <s v=""/>
    <n v="116"/>
    <x v="0"/>
    <x v="11"/>
    <x v="3"/>
    <x v="0"/>
  </r>
  <r>
    <x v="0"/>
    <s v="NASCAR P&amp;Q 2026"/>
    <s v="Billing Request- 00100440"/>
    <x v="2"/>
    <d v="2026-01-31T00:00:00"/>
    <d v="2026-02-24T00:00:00"/>
    <x v="0"/>
    <s v="a6JHn7899659"/>
    <x v="0"/>
    <s v="Sep"/>
    <s v="Agency submitted updated invoice mapping."/>
    <n v="24"/>
    <x v="3"/>
    <x v="7"/>
    <x v="0"/>
    <x v="1"/>
  </r>
  <r>
    <x v="0"/>
    <s v="WNBA Incremental Scatter 2026"/>
    <s v="Billing Request- 00100441"/>
    <x v="0"/>
    <d v="2026-01-28T00:00:00"/>
    <d v="2026-02-14T00:00:00"/>
    <x v="2"/>
    <s v="a6JHn4874049"/>
    <x v="4"/>
    <s v="Aug"/>
    <s v="Client requested retroactive billing adjustments."/>
    <n v="17"/>
    <x v="3"/>
    <x v="7"/>
    <x v="2"/>
    <x v="1"/>
  </r>
  <r>
    <x v="0"/>
    <s v="NWSL Halftime Sponsorship 2025"/>
    <s v="Billing Request- 00100442"/>
    <x v="5"/>
    <d v="2025-12-19T00:00:00"/>
    <d v="2026-03-29T00:00:00"/>
    <x v="2"/>
    <s v="a6JXt7273997"/>
    <x v="1"/>
    <s v="Jan; Feb"/>
    <s v="Finance validation process delay."/>
    <n v="100"/>
    <x v="0"/>
    <x v="11"/>
    <x v="1"/>
    <x v="0"/>
  </r>
  <r>
    <x v="0"/>
    <s v="WNBA Incremental Scatter 2025"/>
    <s v="Billing Request- 00100443"/>
    <x v="7"/>
    <d v="2025-03-25T00:00:00"/>
    <d v="2025-04-19T00:00:00"/>
    <x v="1"/>
    <s v="a6JHn7929728"/>
    <x v="2"/>
    <s v="Jul"/>
    <s v="Manual billing entry issue."/>
    <n v="25"/>
    <x v="3"/>
    <x v="13"/>
    <x v="2"/>
    <x v="0"/>
  </r>
  <r>
    <x v="0"/>
    <s v="Confluence Academy 2025"/>
    <s v="Billing Request- 00100445"/>
    <x v="3"/>
    <d v="2025-07-21T00:00:00"/>
    <d v="2025-10-08T00:00:00"/>
    <x v="2"/>
    <s v="a6Jat5122525"/>
    <x v="5"/>
    <s v="Jan; Feb"/>
    <s v="Client requested retroactive billing adjustments."/>
    <n v="79"/>
    <x v="0"/>
    <x v="12"/>
    <x v="3"/>
    <x v="0"/>
  </r>
  <r>
    <x v="0"/>
    <s v="NFL Prime Video 2025"/>
    <s v="Billing Request- 00100446"/>
    <x v="8"/>
    <d v="2025-09-22T00:00:00"/>
    <d v="2025-12-29T00:00:00"/>
    <x v="2"/>
    <s v="a6JHn5796850"/>
    <x v="4"/>
    <s v="Mar; Apr"/>
    <s v="Late media plan changes from client."/>
    <n v="98"/>
    <x v="0"/>
    <x v="14"/>
    <x v="3"/>
    <x v="0"/>
  </r>
  <r>
    <x v="0"/>
    <s v="Retail Media Expansion 2025"/>
    <s v="Billing Request- 00100447"/>
    <x v="1"/>
    <d v="2025-01-28T00:00:00"/>
    <d v="2025-04-27T00:00:00"/>
    <x v="0"/>
    <s v="a6Jat9399643"/>
    <x v="4"/>
    <s v="Nov; Dec"/>
    <s v="Agency submitted updated invoice mapping."/>
    <n v="89"/>
    <x v="0"/>
    <x v="0"/>
    <x v="3"/>
    <x v="0"/>
  </r>
  <r>
    <x v="0"/>
    <s v="NFL Prime Video 2025"/>
    <s v="Billing Request- 00100448"/>
    <x v="1"/>
    <d v="2025-06-15T00:00:00"/>
    <d v="2025-08-12T00:00:00"/>
    <x v="0"/>
    <s v="a6Jat8628318"/>
    <x v="3"/>
    <s v="Nov"/>
    <s v="Agency submitted updated invoice mapping."/>
    <n v="58"/>
    <x v="1"/>
    <x v="9"/>
    <x v="3"/>
    <x v="0"/>
  </r>
  <r>
    <x v="0"/>
    <s v="Prime Sports NFL 2025"/>
    <s v="Billing Request- 00100449"/>
    <x v="3"/>
    <d v="2025-03-05T00:00:00"/>
    <d v="2025-03-17T00:00:00"/>
    <x v="2"/>
    <s v="a6JXt7443916"/>
    <x v="5"/>
    <s v="Jun"/>
    <s v="Missing supporting documentation from vendor."/>
    <n v="12"/>
    <x v="4"/>
    <x v="13"/>
    <x v="3"/>
    <x v="0"/>
  </r>
  <r>
    <x v="0"/>
    <s v="NBA League Pass 2025"/>
    <s v="Billing Request- 00100450"/>
    <x v="5"/>
    <d v="2025-01-23T00:00:00"/>
    <d v="2025-05-02T00:00:00"/>
    <x v="0"/>
    <s v="a6Jat3719990"/>
    <x v="4"/>
    <s v="Feb"/>
    <s v="Missing supporting documentation from vendor."/>
    <n v="99"/>
    <x v="0"/>
    <x v="0"/>
    <x v="2"/>
    <x v="0"/>
  </r>
  <r>
    <x v="3"/>
    <s v="WNBA Incremental Scatter 2025"/>
    <s v="Billing Request- 00100451"/>
    <x v="4"/>
    <d v="2025-08-17T00:00:00"/>
    <d v="2025-09-23T00:00:00"/>
    <x v="1"/>
    <s v="a6Jat5246497"/>
    <x v="0"/>
    <s v="Jul; Aug"/>
    <s v="Finance validation process delay."/>
    <n v="37"/>
    <x v="1"/>
    <x v="8"/>
    <x v="2"/>
    <x v="0"/>
  </r>
  <r>
    <x v="0"/>
    <s v="NWSL Halftime Sponsorship 2025"/>
    <s v="Billing Request- 00100452"/>
    <x v="8"/>
    <d v="2025-01-03T00:00:00"/>
    <d v="2025-03-22T00:00:00"/>
    <x v="0"/>
    <s v="a6JHn7881198"/>
    <x v="6"/>
    <s v="Jan"/>
    <s v="Manual billing entry issue."/>
    <n v="78"/>
    <x v="0"/>
    <x v="0"/>
    <x v="1"/>
    <x v="0"/>
  </r>
  <r>
    <x v="0"/>
    <s v="Retail Media Expansion 2026"/>
    <s v="Billing Request- 00100453"/>
    <x v="4"/>
    <d v="2026-03-13T00:00:00"/>
    <d v="2026-05-04T00:00:00"/>
    <x v="2"/>
    <s v="a6JXt6855581"/>
    <x v="4"/>
    <s v="Feb"/>
    <s v="Late media plan changes from client."/>
    <n v="52"/>
    <x v="1"/>
    <x v="2"/>
    <x v="3"/>
    <x v="1"/>
  </r>
  <r>
    <x v="1"/>
    <s v="Prime Sports NFL 2025"/>
    <s v="Billing Request- 00100454"/>
    <x v="8"/>
    <d v="2025-02-14T00:00:00"/>
    <d v="2025-02-21T00:00:00"/>
    <x v="2"/>
    <s v="a6JHn3976601"/>
    <x v="2"/>
    <s v="Dec"/>
    <s v="Client requested retroactive billing adjustments."/>
    <n v="7"/>
    <x v="2"/>
    <x v="6"/>
    <x v="3"/>
    <x v="0"/>
  </r>
  <r>
    <x v="0"/>
    <s v="Streaming Bundle Initiative 2025"/>
    <s v="Billing Request- 00100456"/>
    <x v="1"/>
    <d v="2025-05-21T00:00:00"/>
    <d v="2025-07-03T00:00:00"/>
    <x v="0"/>
    <s v="a6JXt1976175"/>
    <x v="5"/>
    <s v="Sep; Oct"/>
    <s v="Incorrect legal terms delayed PTS."/>
    <n v="43"/>
    <x v="1"/>
    <x v="4"/>
    <x v="3"/>
    <x v="0"/>
  </r>
  <r>
    <x v="0"/>
    <s v="NASCAR Apex 2025 2025"/>
    <s v="Billing Request- 00100457"/>
    <x v="5"/>
    <d v="2025-12-19T00:00:00"/>
    <d v="2026-03-07T00:00:00"/>
    <x v="2"/>
    <s v="a6JXt6936673"/>
    <x v="5"/>
    <s v="Jul; Aug"/>
    <s v=""/>
    <n v="78"/>
    <x v="0"/>
    <x v="11"/>
    <x v="0"/>
    <x v="0"/>
  </r>
  <r>
    <x v="0"/>
    <s v="NBA Playoffs Campaign 2025"/>
    <s v="Billing Request- 00100458"/>
    <x v="4"/>
    <d v="2025-09-12T00:00:00"/>
    <d v="2025-11-15T00:00:00"/>
    <x v="1"/>
    <s v="a6Jat2983186"/>
    <x v="0"/>
    <s v="Apr"/>
    <s v="Manual billing entry issue."/>
    <n v="64"/>
    <x v="0"/>
    <x v="14"/>
    <x v="2"/>
    <x v="0"/>
  </r>
  <r>
    <x v="0"/>
    <s v="NASCAR Apex 2025 2026"/>
    <s v="Billing Request- 00100459"/>
    <x v="2"/>
    <d v="2026-04-17T00:00:00"/>
    <d v="2026-05-09T00:00:00"/>
    <x v="0"/>
    <s v="a6Jat4375360"/>
    <x v="3"/>
    <s v="Mar"/>
    <s v="Late media plan changes from client."/>
    <n v="22"/>
    <x v="3"/>
    <x v="10"/>
    <x v="0"/>
    <x v="1"/>
  </r>
  <r>
    <x v="0"/>
    <s v="Amazon TNF 2024 2025"/>
    <s v="Billing Request- 00100460"/>
    <x v="5"/>
    <d v="2025-10-09T00:00:00"/>
    <d v="2025-11-20T00:00:00"/>
    <x v="2"/>
    <s v="a6JXt1488508"/>
    <x v="4"/>
    <s v="Nov"/>
    <s v="Invoice details mismatch with approved campaign."/>
    <n v="42"/>
    <x v="1"/>
    <x v="5"/>
    <x v="4"/>
    <x v="0"/>
  </r>
  <r>
    <x v="0"/>
    <s v="NFL Prime Video 2026"/>
    <s v="Billing Request- 00100461"/>
    <x v="8"/>
    <d v="2026-05-03T00:00:00"/>
    <d v="2026-05-06T00:00:00"/>
    <x v="0"/>
    <s v="a6JXt6622207"/>
    <x v="1"/>
    <s v="Mar; Apr"/>
    <s v="Client requested retroactive billing adjustments."/>
    <n v="3"/>
    <x v="2"/>
    <x v="16"/>
    <x v="3"/>
    <x v="1"/>
  </r>
  <r>
    <x v="0"/>
    <s v="DirecTV NASCAR Campaign 2026"/>
    <s v="Billing Request- 00100462"/>
    <x v="6"/>
    <d v="2026-03-18T00:00:00"/>
    <d v="2026-05-04T00:00:00"/>
    <x v="2"/>
    <s v="a6JXt6565326"/>
    <x v="6"/>
    <s v="May"/>
    <s v="Late media plan changes from client."/>
    <n v="47"/>
    <x v="1"/>
    <x v="2"/>
    <x v="0"/>
    <x v="1"/>
  </r>
  <r>
    <x v="0"/>
    <s v="Retail Media Expansion 2026"/>
    <s v="Billing Request- 00100463"/>
    <x v="2"/>
    <d v="2026-03-28T00:00:00"/>
    <d v="2026-05-04T00:00:00"/>
    <x v="2"/>
    <s v="a6JXt2960327"/>
    <x v="2"/>
    <s v="Nov"/>
    <s v="Client requested retroactive billing adjustments."/>
    <n v="37"/>
    <x v="1"/>
    <x v="2"/>
    <x v="3"/>
    <x v="1"/>
  </r>
  <r>
    <x v="4"/>
    <s v="NWSL Halftime Sponsorship 2026"/>
    <s v="Billing Request- 00100465"/>
    <x v="6"/>
    <d v="2026-02-21T00:00:00"/>
    <d v="2026-05-09T00:00:00"/>
    <x v="0"/>
    <s v="a6Jat4191222"/>
    <x v="0"/>
    <s v="Sep; Oct"/>
    <s v="Late media plan changes from client."/>
    <n v="77"/>
    <x v="0"/>
    <x v="1"/>
    <x v="1"/>
    <x v="1"/>
  </r>
  <r>
    <x v="0"/>
    <s v="Retail Media Expansion 2026"/>
    <s v="Billing Request- 00100466"/>
    <x v="1"/>
    <d v="2026-02-06T00:00:00"/>
    <d v="2026-05-09T00:00:00"/>
    <x v="2"/>
    <s v="a6JHn9763492"/>
    <x v="6"/>
    <s v="Oct"/>
    <s v="Client requested retroactive billing adjustments."/>
    <n v="92"/>
    <x v="0"/>
    <x v="1"/>
    <x v="3"/>
    <x v="1"/>
  </r>
  <r>
    <x v="0"/>
    <s v="TNF Sponsorship 2025"/>
    <s v="Billing Request- 00100467"/>
    <x v="4"/>
    <d v="2025-11-01T00:00:00"/>
    <d v="2026-02-21T00:00:00"/>
    <x v="2"/>
    <s v="a6JXt6242557"/>
    <x v="5"/>
    <s v="Oct"/>
    <s v="Manual billing entry issue."/>
    <n v="112"/>
    <x v="0"/>
    <x v="15"/>
    <x v="4"/>
    <x v="0"/>
  </r>
  <r>
    <x v="0"/>
    <s v="DirecTV NASCAR Campaign 2025"/>
    <s v="Billing Request- 00100468"/>
    <x v="5"/>
    <d v="2025-04-09T00:00:00"/>
    <d v="2025-05-16T00:00:00"/>
    <x v="2"/>
    <s v="a6Jat5574378"/>
    <x v="4"/>
    <s v="Sep"/>
    <s v="Incorrect legal terms delayed PTS."/>
    <n v="37"/>
    <x v="1"/>
    <x v="3"/>
    <x v="0"/>
    <x v="0"/>
  </r>
  <r>
    <x v="0"/>
    <s v="Streaming Bundle Initiative 2025"/>
    <s v="Billing Request- 00100471"/>
    <x v="1"/>
    <d v="2025-04-02T00:00:00"/>
    <d v="2025-07-02T00:00:00"/>
    <x v="2"/>
    <s v="a6Jat9950391"/>
    <x v="1"/>
    <s v="May; Jun"/>
    <s v="Agency submitted updated invoice mapping."/>
    <n v="91"/>
    <x v="0"/>
    <x v="3"/>
    <x v="3"/>
    <x v="0"/>
  </r>
  <r>
    <x v="0"/>
    <s v="NASCAR Apex 2025 2026"/>
    <s v="Billing Request- 00100473"/>
    <x v="6"/>
    <d v="2026-04-11T00:00:00"/>
    <d v="2026-05-05T00:00:00"/>
    <x v="2"/>
    <s v="a6JHn2893930"/>
    <x v="0"/>
    <s v="May; Jun"/>
    <s v="Agency submitted updated invoice mapping."/>
    <n v="24"/>
    <x v="3"/>
    <x v="10"/>
    <x v="0"/>
    <x v="1"/>
  </r>
  <r>
    <x v="0"/>
    <s v="NWSL Halftime Sponsorship 2025"/>
    <s v="Billing Request- 00100475"/>
    <x v="1"/>
    <d v="2025-07-25T00:00:00"/>
    <d v="2025-10-09T00:00:00"/>
    <x v="2"/>
    <s v="a6JHn7439371"/>
    <x v="3"/>
    <s v="Jul"/>
    <s v="Missing supporting documentation from vendor."/>
    <n v="76"/>
    <x v="0"/>
    <x v="12"/>
    <x v="1"/>
    <x v="0"/>
  </r>
  <r>
    <x v="0"/>
    <s v="Retail Media Expansion 2026"/>
    <s v="Billing Request- 00100476"/>
    <x v="1"/>
    <d v="2026-04-22T00:00:00"/>
    <d v="2026-05-07T00:00:00"/>
    <x v="0"/>
    <s v="a6JXt9164301"/>
    <x v="5"/>
    <s v="May; Jun"/>
    <s v="Invoice details mismatch with approved campaign."/>
    <n v="15"/>
    <x v="3"/>
    <x v="10"/>
    <x v="3"/>
    <x v="1"/>
  </r>
  <r>
    <x v="0"/>
    <s v="NASCAR Apex 2025 2025"/>
    <s v="Billing Request- 00100477"/>
    <x v="6"/>
    <d v="2025-08-16T00:00:00"/>
    <d v="2025-09-08T00:00:00"/>
    <x v="2"/>
    <s v="a6JXt7357071"/>
    <x v="0"/>
    <s v="Feb"/>
    <s v="Incorrect legal terms delayed PTS."/>
    <n v="23"/>
    <x v="3"/>
    <x v="8"/>
    <x v="0"/>
    <x v="0"/>
  </r>
  <r>
    <x v="0"/>
    <s v="NASCAR P&amp;Q 2025"/>
    <s v="Billing Request- 00100480"/>
    <x v="3"/>
    <d v="2025-03-07T00:00:00"/>
    <d v="2025-06-25T00:00:00"/>
    <x v="2"/>
    <s v="a6Jat1014148"/>
    <x v="1"/>
    <s v="Dec"/>
    <s v="Incorrect legal terms delayed PTS."/>
    <n v="110"/>
    <x v="0"/>
    <x v="13"/>
    <x v="0"/>
    <x v="0"/>
  </r>
  <r>
    <x v="0"/>
    <s v="NWSL Prime Video 2026"/>
    <s v="Billing Request- 00100481"/>
    <x v="9"/>
    <d v="2026-01-08T00:00:00"/>
    <d v="2026-02-08T00:00:00"/>
    <x v="0"/>
    <s v="a6JHn7401599"/>
    <x v="5"/>
    <s v="Jul"/>
    <s v="Agency submitted updated invoice mapping."/>
    <n v="31"/>
    <x v="1"/>
    <x v="7"/>
    <x v="1"/>
    <x v="1"/>
  </r>
  <r>
    <x v="4"/>
    <s v="NWSL Prime Video 2025"/>
    <s v="Billing Request- 00100482"/>
    <x v="5"/>
    <d v="2025-04-07T00:00:00"/>
    <d v="2025-06-18T00:00:00"/>
    <x v="2"/>
    <s v="a6JXt3106365"/>
    <x v="6"/>
    <s v="Mar"/>
    <s v="Client requested retroactive billing adjustments."/>
    <n v="72"/>
    <x v="0"/>
    <x v="3"/>
    <x v="1"/>
    <x v="0"/>
  </r>
  <r>
    <x v="0"/>
    <s v="NWSL Prime Video 2025"/>
    <s v="Billing Request- 00100484"/>
    <x v="0"/>
    <d v="2025-10-10T00:00:00"/>
    <d v="2026-01-23T00:00:00"/>
    <x v="2"/>
    <s v="a6JXt1124654"/>
    <x v="0"/>
    <s v="Aug"/>
    <s v=""/>
    <n v="105"/>
    <x v="0"/>
    <x v="5"/>
    <x v="1"/>
    <x v="0"/>
  </r>
  <r>
    <x v="0"/>
    <s v="DirecTV NASCAR Campaign 2026"/>
    <s v="Billing Request- 00100487"/>
    <x v="0"/>
    <d v="2026-03-21T00:00:00"/>
    <d v="2026-05-09T00:00:00"/>
    <x v="2"/>
    <s v="a6JXt8872413"/>
    <x v="2"/>
    <s v="Nov"/>
    <s v="Missing supporting documentation from vendor."/>
    <n v="49"/>
    <x v="1"/>
    <x v="2"/>
    <x v="0"/>
    <x v="1"/>
  </r>
  <r>
    <x v="0"/>
    <s v="WNBA Incremental Scatter 2025"/>
    <s v="Billing Request- 00100488"/>
    <x v="4"/>
    <d v="2025-05-31T00:00:00"/>
    <d v="2025-07-08T00:00:00"/>
    <x v="2"/>
    <s v="a6JHn5369510"/>
    <x v="2"/>
    <s v="Jul; Aug"/>
    <s v="Agency submitted updated invoice mapping."/>
    <n v="38"/>
    <x v="1"/>
    <x v="4"/>
    <x v="2"/>
    <x v="0"/>
  </r>
  <r>
    <x v="0"/>
    <s v="Confluence Academy 2025"/>
    <s v="Billing Request- 00100489"/>
    <x v="2"/>
    <d v="2025-12-03T00:00:00"/>
    <d v="2026-01-10T00:00:00"/>
    <x v="2"/>
    <s v="a6JXt2289534"/>
    <x v="3"/>
    <s v="May"/>
    <s v="Late media plan changes from client."/>
    <n v="38"/>
    <x v="1"/>
    <x v="11"/>
    <x v="3"/>
    <x v="0"/>
  </r>
  <r>
    <x v="0"/>
    <s v="WNBA Incremental Scatter 2026"/>
    <s v="Billing Request- 00100491"/>
    <x v="8"/>
    <d v="2026-03-02T00:00:00"/>
    <d v="2026-05-04T00:00:00"/>
    <x v="2"/>
    <s v="a6Jat3586212"/>
    <x v="1"/>
    <s v="Mar; Apr"/>
    <s v="Missing supporting documentation from vendor."/>
    <n v="63"/>
    <x v="0"/>
    <x v="2"/>
    <x v="2"/>
    <x v="1"/>
  </r>
  <r>
    <x v="0"/>
    <s v="Retail Media Expansion 2025"/>
    <s v="Billing Request- 00100493"/>
    <x v="5"/>
    <d v="2025-06-04T00:00:00"/>
    <d v="2025-08-04T00:00:00"/>
    <x v="0"/>
    <s v="a6JHn5406118"/>
    <x v="5"/>
    <s v="Mar; Apr"/>
    <s v="Client requested retroactive billing adjustments."/>
    <n v="61"/>
    <x v="0"/>
    <x v="9"/>
    <x v="3"/>
    <x v="0"/>
  </r>
  <r>
    <x v="0"/>
    <s v="Amazon TNF 2024 2025"/>
    <s v="Billing Request- 00100496"/>
    <x v="6"/>
    <d v="2025-12-11T00:00:00"/>
    <d v="2025-12-13T00:00:00"/>
    <x v="2"/>
    <s v="a6JXt8481668"/>
    <x v="4"/>
    <s v="Oct"/>
    <s v="Late media plan changes from client."/>
    <n v="2"/>
    <x v="2"/>
    <x v="11"/>
    <x v="4"/>
    <x v="0"/>
  </r>
  <r>
    <x v="0"/>
    <s v="WNBA Incremental Scatter 2025"/>
    <s v="Billing Request- 00100498"/>
    <x v="8"/>
    <d v="2025-11-28T00:00:00"/>
    <d v="2026-02-09T00:00:00"/>
    <x v="2"/>
    <s v="a6JHn2270273"/>
    <x v="3"/>
    <s v="Mar; Apr"/>
    <s v="Invoice details mismatch with approved campaign."/>
    <n v="73"/>
    <x v="0"/>
    <x v="15"/>
    <x v="2"/>
    <x v="0"/>
  </r>
  <r>
    <x v="0"/>
    <s v="Amazon NBA Live Sports 2026"/>
    <s v="Billing Request- 00100500"/>
    <x v="0"/>
    <d v="2026-02-21T00:00:00"/>
    <d v="2026-05-06T00:00:00"/>
    <x v="2"/>
    <s v="a6JHn4663917"/>
    <x v="2"/>
    <s v="Apr"/>
    <s v="Finance validation process delay."/>
    <n v="74"/>
    <x v="0"/>
    <x v="1"/>
    <x v="2"/>
    <x v="1"/>
  </r>
  <r>
    <x v="0"/>
    <s v="Amazon TNF 2024 2025"/>
    <s v="Billing Request- 00100501"/>
    <x v="8"/>
    <d v="2025-02-22T00:00:00"/>
    <d v="2025-02-27T00:00:00"/>
    <x v="2"/>
    <s v="a6JHn1314820"/>
    <x v="4"/>
    <s v="Jan"/>
    <s v="Client requested retroactive billing adjustments."/>
    <n v="5"/>
    <x v="2"/>
    <x v="6"/>
    <x v="4"/>
    <x v="0"/>
  </r>
  <r>
    <x v="0"/>
    <s v="NASCAR Apex 2025 2025"/>
    <s v="Billing Request- 00100502"/>
    <x v="9"/>
    <d v="2025-05-17T00:00:00"/>
    <d v="2025-06-06T00:00:00"/>
    <x v="2"/>
    <s v="a6JHn9021848"/>
    <x v="0"/>
    <s v="Mar"/>
    <s v=""/>
    <n v="20"/>
    <x v="3"/>
    <x v="4"/>
    <x v="0"/>
    <x v="0"/>
  </r>
  <r>
    <x v="0"/>
    <s v="NWSL Prime Video 2025"/>
    <s v="Billing Request- 00100504"/>
    <x v="7"/>
    <d v="2025-06-24T00:00:00"/>
    <d v="2025-07-05T00:00:00"/>
    <x v="2"/>
    <s v="a6Jat7445196"/>
    <x v="3"/>
    <s v="Jan; Feb"/>
    <s v="Incorrect legal terms delayed PTS."/>
    <n v="11"/>
    <x v="4"/>
    <x v="9"/>
    <x v="1"/>
    <x v="0"/>
  </r>
  <r>
    <x v="0"/>
    <s v="Prime Sports NFL 2025"/>
    <s v="Billing Request- 00100505"/>
    <x v="0"/>
    <d v="2025-07-03T00:00:00"/>
    <d v="2025-09-04T00:00:00"/>
    <x v="2"/>
    <s v="a6Jat1425547"/>
    <x v="4"/>
    <s v="Jul; Aug"/>
    <s v="Missing supporting documentation from vendor."/>
    <n v="63"/>
    <x v="0"/>
    <x v="12"/>
    <x v="3"/>
    <x v="0"/>
  </r>
  <r>
    <x v="4"/>
    <s v="NFL Prime Video 2026"/>
    <s v="Billing Request- 00100507"/>
    <x v="0"/>
    <d v="2026-01-11T00:00:00"/>
    <d v="2026-03-04T00:00:00"/>
    <x v="0"/>
    <s v="a6JHn3499027"/>
    <x v="4"/>
    <s v="Mar"/>
    <s v="Client requested retroactive billing adjustments."/>
    <n v="52"/>
    <x v="1"/>
    <x v="7"/>
    <x v="3"/>
    <x v="1"/>
  </r>
  <r>
    <x v="3"/>
    <s v="Prime Sports NFL 2025"/>
    <s v="Billing Request- 00100508"/>
    <x v="4"/>
    <d v="2025-09-08T00:00:00"/>
    <d v="2025-12-01T00:00:00"/>
    <x v="2"/>
    <s v="a6Jat3190059"/>
    <x v="4"/>
    <s v="Feb"/>
    <s v="Late media plan changes from client."/>
    <n v="84"/>
    <x v="0"/>
    <x v="14"/>
    <x v="3"/>
    <x v="0"/>
  </r>
  <r>
    <x v="4"/>
    <s v="Retail Media Expansion 2026"/>
    <s v="Billing Request- 00100509"/>
    <x v="8"/>
    <d v="2026-01-25T00:00:00"/>
    <d v="2026-03-25T00:00:00"/>
    <x v="2"/>
    <s v="a6Jat2915617"/>
    <x v="5"/>
    <s v="Aug"/>
    <s v="Incorrect legal terms delayed PTS."/>
    <n v="59"/>
    <x v="1"/>
    <x v="7"/>
    <x v="3"/>
    <x v="1"/>
  </r>
  <r>
    <x v="0"/>
    <s v="NWSL Prime Video 2026"/>
    <s v="Billing Request- 00100510"/>
    <x v="6"/>
    <d v="2026-04-20T00:00:00"/>
    <d v="2026-05-04T00:00:00"/>
    <x v="0"/>
    <s v="a6JXt3304005"/>
    <x v="1"/>
    <s v="Jul"/>
    <s v="Client requested retroactive billing adjustments."/>
    <n v="14"/>
    <x v="4"/>
    <x v="10"/>
    <x v="1"/>
    <x v="1"/>
  </r>
  <r>
    <x v="0"/>
    <s v="TNF Sponsorship 2025"/>
    <s v="Billing Request- 00100511"/>
    <x v="3"/>
    <d v="2025-06-21T00:00:00"/>
    <d v="2025-06-30T00:00:00"/>
    <x v="2"/>
    <s v="a6JXt7206350"/>
    <x v="4"/>
    <s v="May; Jun"/>
    <s v="Manual billing entry issue."/>
    <n v="9"/>
    <x v="4"/>
    <x v="9"/>
    <x v="4"/>
    <x v="0"/>
  </r>
  <r>
    <x v="0"/>
    <s v="Prime Sports NFL 2026"/>
    <s v="Billing Request- 00100512"/>
    <x v="4"/>
    <d v="2026-01-11T00:00:00"/>
    <d v="2026-01-29T00:00:00"/>
    <x v="2"/>
    <s v="a6JHn2354300"/>
    <x v="6"/>
    <s v="Jun"/>
    <s v="Incorrect legal terms delayed PTS."/>
    <n v="18"/>
    <x v="3"/>
    <x v="7"/>
    <x v="3"/>
    <x v="1"/>
  </r>
  <r>
    <x v="0"/>
    <s v="NASCAR Apex 2025 2025"/>
    <s v="Billing Request- 00100513"/>
    <x v="7"/>
    <d v="2025-10-31T00:00:00"/>
    <d v="2026-02-22T00:00:00"/>
    <x v="0"/>
    <s v="a6JHn3128901"/>
    <x v="4"/>
    <s v="Sep"/>
    <s v=""/>
    <n v="114"/>
    <x v="0"/>
    <x v="5"/>
    <x v="0"/>
    <x v="0"/>
  </r>
  <r>
    <x v="0"/>
    <s v="Confluence Academy 2025"/>
    <s v="Billing Request- 00100514"/>
    <x v="2"/>
    <d v="2025-05-03T00:00:00"/>
    <d v="2025-05-26T00:00:00"/>
    <x v="0"/>
    <s v="a6JXt2476750"/>
    <x v="3"/>
    <s v="Mar; Apr"/>
    <s v="Client requested retroactive billing adjustments."/>
    <n v="23"/>
    <x v="3"/>
    <x v="4"/>
    <x v="3"/>
    <x v="0"/>
  </r>
  <r>
    <x v="0"/>
    <s v="Confluence Academy 2025"/>
    <s v="Billing Request- 00100515"/>
    <x v="7"/>
    <d v="2025-04-09T00:00:00"/>
    <d v="2025-04-25T00:00:00"/>
    <x v="0"/>
    <s v="a6JXt9515120"/>
    <x v="0"/>
    <s v="Jul"/>
    <s v="Late media plan changes from client."/>
    <n v="16"/>
    <x v="3"/>
    <x v="3"/>
    <x v="3"/>
    <x v="0"/>
  </r>
  <r>
    <x v="0"/>
    <s v="Amazon NBA Live Sports 2025"/>
    <s v="Billing Request- 00100518"/>
    <x v="7"/>
    <d v="2025-02-06T00:00:00"/>
    <d v="2025-06-01T00:00:00"/>
    <x v="2"/>
    <s v="a6Jat6464086"/>
    <x v="1"/>
    <s v="Apr"/>
    <s v="Invoice details mismatch with approved campaign."/>
    <n v="115"/>
    <x v="0"/>
    <x v="6"/>
    <x v="2"/>
    <x v="0"/>
  </r>
  <r>
    <x v="0"/>
    <s v="NASCAR P&amp;Q 2026"/>
    <s v="Billing Request- 00100520"/>
    <x v="7"/>
    <d v="2026-04-27T00:00:00"/>
    <d v="2026-05-06T00:00:00"/>
    <x v="2"/>
    <s v="a6JHn5524723"/>
    <x v="3"/>
    <s v="May"/>
    <s v="Client requested retroactive billing adjustments."/>
    <n v="9"/>
    <x v="4"/>
    <x v="10"/>
    <x v="0"/>
    <x v="1"/>
  </r>
  <r>
    <x v="4"/>
    <s v="WNBA Incremental Scatter 2025"/>
    <s v="Billing Request- 00100521"/>
    <x v="7"/>
    <d v="2025-01-31T00:00:00"/>
    <d v="2025-03-08T00:00:00"/>
    <x v="2"/>
    <s v="a6Jat6764248"/>
    <x v="3"/>
    <s v="Jun"/>
    <s v="Agency submitted updated invoice mapping."/>
    <n v="36"/>
    <x v="1"/>
    <x v="0"/>
    <x v="2"/>
    <x v="0"/>
  </r>
  <r>
    <x v="0"/>
    <s v="WNBA Incremental Scatter 2025"/>
    <s v="Billing Request- 00100522"/>
    <x v="8"/>
    <d v="2025-10-11T00:00:00"/>
    <d v="2026-01-29T00:00:00"/>
    <x v="2"/>
    <s v="a6Jat8943827"/>
    <x v="3"/>
    <s v="Jan"/>
    <s v="Missing supporting documentation from vendor."/>
    <n v="110"/>
    <x v="0"/>
    <x v="5"/>
    <x v="2"/>
    <x v="0"/>
  </r>
  <r>
    <x v="0"/>
    <s v="NASCAR Apex 2025 2025"/>
    <s v="Billing Request- 00100523"/>
    <x v="0"/>
    <d v="2025-05-07T00:00:00"/>
    <d v="2025-06-08T00:00:00"/>
    <x v="0"/>
    <s v="a6JXt3499296"/>
    <x v="6"/>
    <s v="Mar; Apr"/>
    <s v="Client requested retroactive billing adjustments."/>
    <n v="32"/>
    <x v="1"/>
    <x v="4"/>
    <x v="0"/>
    <x v="0"/>
  </r>
  <r>
    <x v="0"/>
    <s v="NWSL Halftime Sponsorship 2025"/>
    <s v="Billing Request- 00100525"/>
    <x v="4"/>
    <d v="2025-01-07T00:00:00"/>
    <d v="2025-04-06T00:00:00"/>
    <x v="2"/>
    <s v="a6JXt2522188"/>
    <x v="0"/>
    <s v="Oct"/>
    <s v="Agency submitted updated invoice mapping."/>
    <n v="89"/>
    <x v="0"/>
    <x v="0"/>
    <x v="1"/>
    <x v="0"/>
  </r>
  <r>
    <x v="1"/>
    <s v="Confluence Academy 2025"/>
    <s v="Billing Request- 00100526"/>
    <x v="5"/>
    <d v="2025-10-20T00:00:00"/>
    <d v="2026-01-24T00:00:00"/>
    <x v="2"/>
    <s v="a6Jat7800818"/>
    <x v="1"/>
    <s v="Dec"/>
    <s v="Finance validation process delay."/>
    <n v="96"/>
    <x v="0"/>
    <x v="5"/>
    <x v="3"/>
    <x v="0"/>
  </r>
  <r>
    <x v="3"/>
    <s v="Prime Sports NFL 2025"/>
    <s v="Billing Request- 00100527"/>
    <x v="9"/>
    <d v="2025-01-01T00:00:00"/>
    <d v="2025-04-22T00:00:00"/>
    <x v="2"/>
    <s v="a6Jat5975954"/>
    <x v="1"/>
    <s v="Sep"/>
    <s v=""/>
    <n v="111"/>
    <x v="0"/>
    <x v="0"/>
    <x v="3"/>
    <x v="0"/>
  </r>
  <r>
    <x v="0"/>
    <s v="TNF Sponsorship 2025"/>
    <s v="Billing Request- 00100528"/>
    <x v="4"/>
    <d v="2025-04-17T00:00:00"/>
    <d v="2025-07-27T00:00:00"/>
    <x v="2"/>
    <s v="a6JXt7106747"/>
    <x v="6"/>
    <s v="Jan; Feb"/>
    <s v="Invoice details mismatch with approved campaign."/>
    <n v="101"/>
    <x v="0"/>
    <x v="3"/>
    <x v="4"/>
    <x v="0"/>
  </r>
  <r>
    <x v="0"/>
    <s v="NASCAR P&amp;Q 2025"/>
    <s v="Billing Request- 00100529"/>
    <x v="5"/>
    <d v="2025-01-21T00:00:00"/>
    <d v="2025-03-09T00:00:00"/>
    <x v="0"/>
    <s v="a6JXt4434507"/>
    <x v="3"/>
    <s v="Aug"/>
    <s v=""/>
    <n v="47"/>
    <x v="1"/>
    <x v="0"/>
    <x v="0"/>
    <x v="0"/>
  </r>
  <r>
    <x v="0"/>
    <s v="NWSL Halftime Sponsorship 2026"/>
    <s v="Billing Request- 00100532"/>
    <x v="1"/>
    <d v="2026-01-17T00:00:00"/>
    <d v="2026-02-11T00:00:00"/>
    <x v="0"/>
    <s v="a6JHn2290961"/>
    <x v="4"/>
    <s v="Sep"/>
    <s v="Incorrect legal terms delayed PTS."/>
    <n v="25"/>
    <x v="3"/>
    <x v="7"/>
    <x v="1"/>
    <x v="1"/>
  </r>
  <r>
    <x v="0"/>
    <s v="WNBA Incremental Scatter 2025"/>
    <s v="Billing Request- 00100533"/>
    <x v="8"/>
    <d v="2025-09-12T00:00:00"/>
    <d v="2025-10-02T00:00:00"/>
    <x v="1"/>
    <s v="a6JXt3215051"/>
    <x v="3"/>
    <s v="Mar; Apr"/>
    <s v="Finance validation process delay."/>
    <n v="20"/>
    <x v="3"/>
    <x v="14"/>
    <x v="2"/>
    <x v="0"/>
  </r>
  <r>
    <x v="0"/>
    <s v="WNBA Incremental Scatter 2025"/>
    <s v="Billing Request- 00100534"/>
    <x v="9"/>
    <d v="2025-01-11T00:00:00"/>
    <d v="2025-02-18T00:00:00"/>
    <x v="0"/>
    <s v="a6JXt6635087"/>
    <x v="5"/>
    <s v="Nov"/>
    <s v="Invoice details mismatch with approved campaign."/>
    <n v="38"/>
    <x v="1"/>
    <x v="0"/>
    <x v="2"/>
    <x v="0"/>
  </r>
  <r>
    <x v="0"/>
    <s v="Streaming Bundle Initiative 2025"/>
    <s v="Billing Request- 00100535"/>
    <x v="2"/>
    <d v="2025-12-07T00:00:00"/>
    <d v="2026-03-07T00:00:00"/>
    <x v="2"/>
    <s v="a6JHn3881270"/>
    <x v="4"/>
    <s v="Jul; Aug"/>
    <s v="Invoice details mismatch with approved campaign."/>
    <n v="90"/>
    <x v="0"/>
    <x v="11"/>
    <x v="3"/>
    <x v="0"/>
  </r>
  <r>
    <x v="0"/>
    <s v="NASCAR Apex 2025 2026"/>
    <s v="Billing Request- 00100536"/>
    <x v="2"/>
    <d v="2026-01-13T00:00:00"/>
    <d v="2026-02-01T00:00:00"/>
    <x v="2"/>
    <s v="a6Jat9981123"/>
    <x v="4"/>
    <s v="Jun"/>
    <s v="Agency submitted updated invoice mapping."/>
    <n v="19"/>
    <x v="3"/>
    <x v="7"/>
    <x v="0"/>
    <x v="1"/>
  </r>
  <r>
    <x v="0"/>
    <s v="NWSL Halftime Sponsorship 2026"/>
    <s v="Billing Request- 00100538"/>
    <x v="8"/>
    <d v="2026-02-07T00:00:00"/>
    <d v="2026-03-27T00:00:00"/>
    <x v="2"/>
    <s v="a6Jat7787429"/>
    <x v="1"/>
    <s v="May"/>
    <s v="Finance validation process delay."/>
    <n v="48"/>
    <x v="1"/>
    <x v="1"/>
    <x v="1"/>
    <x v="1"/>
  </r>
  <r>
    <x v="0"/>
    <s v="Global Consumer Products 2026"/>
    <s v="Billing Request- 00100539"/>
    <x v="0"/>
    <d v="2026-02-09T00:00:00"/>
    <d v="2026-02-10T00:00:00"/>
    <x v="2"/>
    <s v="a6JHn3467651"/>
    <x v="2"/>
    <s v="May; Jun"/>
    <s v="Invoice details mismatch with approved campaign."/>
    <n v="1"/>
    <x v="2"/>
    <x v="1"/>
    <x v="3"/>
    <x v="1"/>
  </r>
  <r>
    <x v="0"/>
    <s v="NFL Prime Video 2025"/>
    <s v="Billing Request- 00100540"/>
    <x v="0"/>
    <d v="2025-09-03T00:00:00"/>
    <d v="2025-12-28T00:00:00"/>
    <x v="2"/>
    <s v="a6Jat7738231"/>
    <x v="1"/>
    <s v="Aug"/>
    <s v="Finance validation process delay."/>
    <n v="116"/>
    <x v="0"/>
    <x v="14"/>
    <x v="3"/>
    <x v="0"/>
  </r>
  <r>
    <x v="0"/>
    <s v="Retail Media Expansion 2025"/>
    <s v="Billing Request- 00100541"/>
    <x v="4"/>
    <d v="2025-06-17T00:00:00"/>
    <d v="2025-06-25T00:00:00"/>
    <x v="2"/>
    <s v="a6JHn4283564"/>
    <x v="6"/>
    <s v="Nov; Dec"/>
    <s v="Finance validation process delay."/>
    <n v="8"/>
    <x v="4"/>
    <x v="9"/>
    <x v="3"/>
    <x v="0"/>
  </r>
  <r>
    <x v="0"/>
    <s v="NWSL Halftime Sponsorship 2025"/>
    <s v="Billing Request- 00100542"/>
    <x v="6"/>
    <d v="2025-02-14T00:00:00"/>
    <d v="2025-04-21T00:00:00"/>
    <x v="2"/>
    <s v="a6JXt1940322"/>
    <x v="0"/>
    <s v="May"/>
    <s v="Missing supporting documentation from vendor."/>
    <n v="66"/>
    <x v="0"/>
    <x v="6"/>
    <x v="1"/>
    <x v="0"/>
  </r>
  <r>
    <x v="0"/>
    <s v="NASCAR Apex 2025 2025"/>
    <s v="Billing Request- 00100543"/>
    <x v="7"/>
    <d v="2025-07-10T00:00:00"/>
    <d v="2025-07-12T00:00:00"/>
    <x v="1"/>
    <s v="a6JXt2469661"/>
    <x v="2"/>
    <s v="May; Jun"/>
    <s v="Missing supporting documentation from vendor."/>
    <n v="2"/>
    <x v="2"/>
    <x v="12"/>
    <x v="0"/>
    <x v="0"/>
  </r>
  <r>
    <x v="0"/>
    <s v="NWSL Prime Video 2026"/>
    <s v="Billing Request- 00100544"/>
    <x v="7"/>
    <d v="2026-03-15T00:00:00"/>
    <d v="2026-04-05T00:00:00"/>
    <x v="2"/>
    <s v="a6Jat3409867"/>
    <x v="3"/>
    <s v="Jul; Aug"/>
    <s v=""/>
    <n v="21"/>
    <x v="3"/>
    <x v="2"/>
    <x v="1"/>
    <x v="1"/>
  </r>
  <r>
    <x v="0"/>
    <s v="NWSL Halftime Sponsorship 2026"/>
    <s v="Billing Request- 00100545"/>
    <x v="5"/>
    <d v="2026-01-17T00:00:00"/>
    <d v="2026-05-05T00:00:00"/>
    <x v="0"/>
    <s v="a6JHn7954391"/>
    <x v="5"/>
    <s v="May; Jun"/>
    <s v="Agency submitted updated invoice mapping."/>
    <n v="108"/>
    <x v="0"/>
    <x v="7"/>
    <x v="1"/>
    <x v="1"/>
  </r>
  <r>
    <x v="0"/>
    <s v="TNF Sponsorship 2026"/>
    <s v="Billing Request- 00100548"/>
    <x v="0"/>
    <d v="2026-03-04T00:00:00"/>
    <d v="2026-03-08T00:00:00"/>
    <x v="1"/>
    <s v="a6JXt7069317"/>
    <x v="0"/>
    <s v="Mar; Apr"/>
    <s v="Late media plan changes from client."/>
    <n v="4"/>
    <x v="2"/>
    <x v="2"/>
    <x v="4"/>
    <x v="1"/>
  </r>
  <r>
    <x v="0"/>
    <s v="TNF Sponsorship 2025"/>
    <s v="Billing Request- 00100549"/>
    <x v="0"/>
    <d v="2025-09-01T00:00:00"/>
    <d v="2025-11-29T00:00:00"/>
    <x v="2"/>
    <s v="a6JHn3732123"/>
    <x v="6"/>
    <s v="May"/>
    <s v="Invoice details mismatch with approved campaign."/>
    <n v="89"/>
    <x v="0"/>
    <x v="14"/>
    <x v="4"/>
    <x v="0"/>
  </r>
  <r>
    <x v="0"/>
    <s v="NASCAR P&amp;Q 2025"/>
    <s v="Billing Request- 00100550"/>
    <x v="4"/>
    <d v="2025-12-21T00:00:00"/>
    <d v="2026-01-08T00:00:00"/>
    <x v="2"/>
    <s v="a6JXt6972425"/>
    <x v="3"/>
    <s v="Oct"/>
    <s v=""/>
    <n v="18"/>
    <x v="3"/>
    <x v="11"/>
    <x v="0"/>
    <x v="0"/>
  </r>
  <r>
    <x v="0"/>
    <s v="NBA Playoffs Campaign 2025"/>
    <s v="Billing Request- 00100551"/>
    <x v="6"/>
    <d v="2025-02-09T00:00:00"/>
    <d v="2025-04-16T00:00:00"/>
    <x v="2"/>
    <s v="a6Jat6412444"/>
    <x v="1"/>
    <s v="Oct"/>
    <s v="Late media plan changes from client."/>
    <n v="66"/>
    <x v="0"/>
    <x v="6"/>
    <x v="2"/>
    <x v="0"/>
  </r>
  <r>
    <x v="4"/>
    <s v="TNF Sponsorship 2025"/>
    <s v="Billing Request- 00100552"/>
    <x v="6"/>
    <d v="2025-12-19T00:00:00"/>
    <d v="2026-02-04T00:00:00"/>
    <x v="2"/>
    <s v="a6JXt5721406"/>
    <x v="1"/>
    <s v="Jul; Aug"/>
    <s v="Missing supporting documentation from vendor."/>
    <n v="47"/>
    <x v="1"/>
    <x v="11"/>
    <x v="4"/>
    <x v="0"/>
  </r>
  <r>
    <x v="0"/>
    <s v="NBA Playoffs Campaign 2025"/>
    <s v="Billing Request- 00100553"/>
    <x v="3"/>
    <d v="2025-03-25T00:00:00"/>
    <d v="2025-04-08T00:00:00"/>
    <x v="0"/>
    <s v="a6JXt9818990"/>
    <x v="2"/>
    <s v="Nov; Dec"/>
    <s v="Incorrect legal terms delayed PTS."/>
    <n v="14"/>
    <x v="4"/>
    <x v="13"/>
    <x v="2"/>
    <x v="0"/>
  </r>
  <r>
    <x v="0"/>
    <s v="WNBA Incremental Scatter 2025"/>
    <s v="Billing Request- 00100554"/>
    <x v="8"/>
    <d v="2025-02-09T00:00:00"/>
    <d v="2025-02-24T00:00:00"/>
    <x v="2"/>
    <s v="a6JHn3332267"/>
    <x v="5"/>
    <s v="Sep; Oct"/>
    <s v="Invoice details mismatch with approved campaign."/>
    <n v="15"/>
    <x v="3"/>
    <x v="6"/>
    <x v="2"/>
    <x v="0"/>
  </r>
  <r>
    <x v="0"/>
    <s v="Amazon TNF 2024 2026"/>
    <s v="Billing Request- 00100556"/>
    <x v="1"/>
    <d v="2026-04-19T00:00:00"/>
    <d v="2026-05-09T00:00:00"/>
    <x v="0"/>
    <s v="a6Jat4294223"/>
    <x v="6"/>
    <s v="Sep; Oct"/>
    <s v="Client requested retroactive billing adjustments."/>
    <n v="20"/>
    <x v="3"/>
    <x v="10"/>
    <x v="4"/>
    <x v="1"/>
  </r>
  <r>
    <x v="0"/>
    <s v="TNF Sponsorship 2025"/>
    <s v="Billing Request- 00100557"/>
    <x v="0"/>
    <d v="2025-05-10T00:00:00"/>
    <d v="2025-05-16T00:00:00"/>
    <x v="0"/>
    <s v="a6Jat4446060"/>
    <x v="4"/>
    <s v="Jun"/>
    <s v="Invoice details mismatch with approved campaign."/>
    <n v="6"/>
    <x v="2"/>
    <x v="4"/>
    <x v="4"/>
    <x v="0"/>
  </r>
  <r>
    <x v="1"/>
    <s v="NBA Playoffs Campaign 2026"/>
    <s v="Billing Request- 00100559"/>
    <x v="1"/>
    <d v="2026-01-04T00:00:00"/>
    <d v="2026-03-13T00:00:00"/>
    <x v="2"/>
    <s v="a6JXt1072627"/>
    <x v="4"/>
    <s v="Sep; Oct"/>
    <s v="Finance validation process delay."/>
    <n v="68"/>
    <x v="0"/>
    <x v="7"/>
    <x v="2"/>
    <x v="1"/>
  </r>
  <r>
    <x v="0"/>
    <s v="NWSL Halftime Sponsorship 2025"/>
    <s v="Billing Request- 00100560"/>
    <x v="7"/>
    <d v="2025-10-29T00:00:00"/>
    <d v="2025-11-22T00:00:00"/>
    <x v="2"/>
    <s v="a6JHn8115080"/>
    <x v="5"/>
    <s v="Aug"/>
    <s v="Missing supporting documentation from vendor."/>
    <n v="24"/>
    <x v="3"/>
    <x v="5"/>
    <x v="1"/>
    <x v="0"/>
  </r>
  <r>
    <x v="0"/>
    <s v="NASCAR Apex 2025 2025"/>
    <s v="Billing Request- 00100562"/>
    <x v="3"/>
    <d v="2025-03-01T00:00:00"/>
    <d v="2025-04-20T00:00:00"/>
    <x v="2"/>
    <s v="a6JHn4789527"/>
    <x v="0"/>
    <s v="Oct"/>
    <s v="Missing supporting documentation from vendor."/>
    <n v="50"/>
    <x v="1"/>
    <x v="13"/>
    <x v="0"/>
    <x v="0"/>
  </r>
  <r>
    <x v="0"/>
    <s v="Amazon NBA Live Sports 2025"/>
    <s v="Billing Request- 00100565"/>
    <x v="9"/>
    <d v="2025-07-26T00:00:00"/>
    <d v="2025-08-11T00:00:00"/>
    <x v="2"/>
    <s v="a6JXt5579723"/>
    <x v="3"/>
    <s v="Jul; Aug"/>
    <s v="Missing supporting documentation from vendor."/>
    <n v="16"/>
    <x v="3"/>
    <x v="12"/>
    <x v="2"/>
    <x v="0"/>
  </r>
  <r>
    <x v="0"/>
    <s v="NWSL Halftime Sponsorship 2026"/>
    <s v="Billing Request- 00100566"/>
    <x v="4"/>
    <d v="2026-03-13T00:00:00"/>
    <d v="2026-04-01T00:00:00"/>
    <x v="2"/>
    <s v="a6Jat3258353"/>
    <x v="6"/>
    <s v="Feb"/>
    <s v="Incorrect legal terms delayed PTS."/>
    <n v="19"/>
    <x v="3"/>
    <x v="2"/>
    <x v="1"/>
    <x v="1"/>
  </r>
  <r>
    <x v="0"/>
    <s v="NWSL Prime Video 2025"/>
    <s v="Billing Request- 00100567"/>
    <x v="3"/>
    <d v="2025-01-14T00:00:00"/>
    <d v="2025-02-06T00:00:00"/>
    <x v="0"/>
    <s v="a6Jat2283746"/>
    <x v="1"/>
    <s v="Jul; Aug"/>
    <s v="Finance validation process delay."/>
    <n v="23"/>
    <x v="3"/>
    <x v="0"/>
    <x v="1"/>
    <x v="0"/>
  </r>
  <r>
    <x v="0"/>
    <s v="NWSL Halftime Sponsorship 2025"/>
    <s v="Billing Request- 00100569"/>
    <x v="8"/>
    <d v="2025-07-12T00:00:00"/>
    <d v="2025-09-07T00:00:00"/>
    <x v="2"/>
    <s v="a6JHn3753883"/>
    <x v="0"/>
    <s v="May"/>
    <s v="Late media plan changes from client."/>
    <n v="57"/>
    <x v="1"/>
    <x v="12"/>
    <x v="1"/>
    <x v="0"/>
  </r>
  <r>
    <x v="0"/>
    <s v="Prime Sports NFL 2025"/>
    <s v="Billing Request- 00100570"/>
    <x v="8"/>
    <d v="2025-09-07T00:00:00"/>
    <d v="2025-12-14T00:00:00"/>
    <x v="0"/>
    <s v="a6JXt8882244"/>
    <x v="5"/>
    <s v="Jun"/>
    <s v=""/>
    <n v="98"/>
    <x v="0"/>
    <x v="14"/>
    <x v="3"/>
    <x v="0"/>
  </r>
  <r>
    <x v="0"/>
    <s v="Confluence Academy 2026"/>
    <s v="Billing Request- 00100572"/>
    <x v="9"/>
    <d v="2026-03-31T00:00:00"/>
    <d v="2026-05-04T00:00:00"/>
    <x v="0"/>
    <s v="a6JHn2633262"/>
    <x v="3"/>
    <s v="Dec"/>
    <s v="Missing supporting documentation from vendor."/>
    <n v="34"/>
    <x v="1"/>
    <x v="2"/>
    <x v="3"/>
    <x v="1"/>
  </r>
  <r>
    <x v="0"/>
    <s v="NBA Playoffs Campaign 2025"/>
    <s v="Billing Request- 00100573"/>
    <x v="2"/>
    <d v="2025-12-05T00:00:00"/>
    <d v="2026-01-06T00:00:00"/>
    <x v="2"/>
    <s v="a6JXt2098911"/>
    <x v="6"/>
    <s v="Nov"/>
    <s v="Agency submitted updated invoice mapping."/>
    <n v="32"/>
    <x v="1"/>
    <x v="11"/>
    <x v="2"/>
    <x v="0"/>
  </r>
  <r>
    <x v="4"/>
    <s v="Confluence Academy 2025"/>
    <s v="Billing Request- 00100575"/>
    <x v="6"/>
    <d v="2025-07-19T00:00:00"/>
    <d v="2025-08-30T00:00:00"/>
    <x v="2"/>
    <s v="a6JXt4454568"/>
    <x v="0"/>
    <s v="Sep; Oct"/>
    <s v="Invoice details mismatch with approved campaign."/>
    <n v="42"/>
    <x v="1"/>
    <x v="12"/>
    <x v="3"/>
    <x v="0"/>
  </r>
  <r>
    <x v="0"/>
    <s v="TNF Sponsorship 2025"/>
    <s v="Billing Request- 00100578"/>
    <x v="7"/>
    <d v="2025-06-27T00:00:00"/>
    <d v="2025-10-07T00:00:00"/>
    <x v="2"/>
    <s v="a6JXt6257190"/>
    <x v="0"/>
    <s v="Jan; Feb"/>
    <s v="Late media plan changes from client."/>
    <n v="102"/>
    <x v="0"/>
    <x v="9"/>
    <x v="4"/>
    <x v="0"/>
  </r>
  <r>
    <x v="3"/>
    <s v="Retail Media Expansion 2025"/>
    <s v="Billing Request- 00100579"/>
    <x v="0"/>
    <d v="2025-08-21T00:00:00"/>
    <d v="2025-11-15T00:00:00"/>
    <x v="0"/>
    <s v="a6JXt4129604"/>
    <x v="0"/>
    <s v="Jul"/>
    <s v="Finance validation process delay."/>
    <n v="86"/>
    <x v="0"/>
    <x v="8"/>
    <x v="3"/>
    <x v="0"/>
  </r>
  <r>
    <x v="0"/>
    <s v="NBA League Pass 2025"/>
    <s v="Billing Request- 00100583"/>
    <x v="4"/>
    <d v="2025-01-19T00:00:00"/>
    <d v="2025-02-14T00:00:00"/>
    <x v="2"/>
    <s v="a6JHn3952542"/>
    <x v="2"/>
    <s v="Jul; Aug"/>
    <s v="Client requested retroactive billing adjustments."/>
    <n v="26"/>
    <x v="3"/>
    <x v="0"/>
    <x v="2"/>
    <x v="0"/>
  </r>
  <r>
    <x v="0"/>
    <s v="NFL Prime Video 2026"/>
    <s v="Billing Request- 00100586"/>
    <x v="0"/>
    <d v="2026-02-25T00:00:00"/>
    <d v="2026-03-16T00:00:00"/>
    <x v="2"/>
    <s v="a6JHn5266545"/>
    <x v="6"/>
    <s v="Jul; Aug"/>
    <s v=""/>
    <n v="19"/>
    <x v="3"/>
    <x v="1"/>
    <x v="3"/>
    <x v="1"/>
  </r>
  <r>
    <x v="0"/>
    <s v="Streaming Bundle Initiative 2025"/>
    <s v="Billing Request- 00100587"/>
    <x v="6"/>
    <d v="2025-02-27T00:00:00"/>
    <d v="2025-04-09T00:00:00"/>
    <x v="2"/>
    <s v="a6JHn3431212"/>
    <x v="0"/>
    <s v="Dec"/>
    <s v="Late media plan changes from client."/>
    <n v="41"/>
    <x v="1"/>
    <x v="6"/>
    <x v="3"/>
    <x v="0"/>
  </r>
  <r>
    <x v="0"/>
    <s v="NASCAR Apex 2025 2025"/>
    <s v="Billing Request- 00100589"/>
    <x v="7"/>
    <d v="2025-07-21T00:00:00"/>
    <d v="2025-11-17T00:00:00"/>
    <x v="0"/>
    <s v="a6Jat5989928"/>
    <x v="1"/>
    <s v="Jun"/>
    <s v="Finance validation process delay."/>
    <n v="119"/>
    <x v="0"/>
    <x v="12"/>
    <x v="0"/>
    <x v="0"/>
  </r>
  <r>
    <x v="3"/>
    <s v="TNF Sponsorship 2025"/>
    <s v="Billing Request- 00100590"/>
    <x v="9"/>
    <d v="2025-11-26T00:00:00"/>
    <d v="2026-01-18T00:00:00"/>
    <x v="0"/>
    <s v="a6JHn8903600"/>
    <x v="1"/>
    <s v="Nov"/>
    <s v="Missing supporting documentation from vendor."/>
    <n v="53"/>
    <x v="1"/>
    <x v="15"/>
    <x v="4"/>
    <x v="0"/>
  </r>
  <r>
    <x v="0"/>
    <s v="DirecTV NASCAR Campaign 2026"/>
    <s v="Billing Request- 00100591"/>
    <x v="8"/>
    <d v="2026-01-26T00:00:00"/>
    <d v="2026-05-08T00:00:00"/>
    <x v="2"/>
    <s v="a6JXt6482263"/>
    <x v="2"/>
    <s v="Jan"/>
    <s v="Client requested retroactive billing adjustments."/>
    <n v="102"/>
    <x v="0"/>
    <x v="7"/>
    <x v="0"/>
    <x v="1"/>
  </r>
  <r>
    <x v="0"/>
    <s v="NWSL Halftime Sponsorship 2025"/>
    <s v="Billing Request- 00100592"/>
    <x v="0"/>
    <d v="2025-04-05T00:00:00"/>
    <d v="2025-06-25T00:00:00"/>
    <x v="2"/>
    <s v="a6JHn6263378"/>
    <x v="6"/>
    <s v="Apr"/>
    <s v="Agency submitted updated invoice mapping."/>
    <n v="81"/>
    <x v="0"/>
    <x v="3"/>
    <x v="1"/>
    <x v="0"/>
  </r>
  <r>
    <x v="0"/>
    <s v="WNBA Incremental Scatter 2026"/>
    <s v="Billing Request- 00100595"/>
    <x v="1"/>
    <d v="2026-04-29T00:00:00"/>
    <d v="2026-05-07T00:00:00"/>
    <x v="2"/>
    <s v="a6JHn3504019"/>
    <x v="3"/>
    <s v="Jun"/>
    <s v="Incorrect legal terms delayed PTS."/>
    <n v="8"/>
    <x v="4"/>
    <x v="10"/>
    <x v="2"/>
    <x v="1"/>
  </r>
  <r>
    <x v="0"/>
    <s v="NWSL Prime Video 2025"/>
    <s v="Billing Request- 00100599"/>
    <x v="7"/>
    <d v="2025-07-16T00:00:00"/>
    <d v="2025-10-15T00:00:00"/>
    <x v="2"/>
    <s v="a6Jat6584506"/>
    <x v="0"/>
    <s v="Dec"/>
    <s v="Client requested retroactive billing adjustments."/>
    <n v="91"/>
    <x v="0"/>
    <x v="12"/>
    <x v="1"/>
    <x v="0"/>
  </r>
  <r>
    <x v="0"/>
    <s v="NWSL Halftime Sponsorship 2025"/>
    <s v="Billing Request- 00100601"/>
    <x v="2"/>
    <d v="2025-06-23T00:00:00"/>
    <d v="2025-10-14T00:00:00"/>
    <x v="0"/>
    <s v="a6JHn3378937"/>
    <x v="6"/>
    <s v="Nov"/>
    <s v="Client requested retroactive billing adjustments."/>
    <n v="113"/>
    <x v="0"/>
    <x v="9"/>
    <x v="1"/>
    <x v="0"/>
  </r>
  <r>
    <x v="0"/>
    <s v="NASCAR Apex 2025 2026"/>
    <s v="Billing Request- 00100602"/>
    <x v="3"/>
    <d v="2026-05-08T00:00:00"/>
    <d v="2026-05-07T00:00:00"/>
    <x v="0"/>
    <s v="a6JXt5425123"/>
    <x v="3"/>
    <s v="Mar; Apr"/>
    <s v="Agency submitted updated invoice mapping."/>
    <n v="-1"/>
    <x v="2"/>
    <x v="16"/>
    <x v="0"/>
    <x v="1"/>
  </r>
  <r>
    <x v="0"/>
    <s v="Amazon NBA Live Sports 2025"/>
    <s v="Billing Request- 00100603"/>
    <x v="4"/>
    <d v="2025-09-09T00:00:00"/>
    <d v="2025-12-16T00:00:00"/>
    <x v="2"/>
    <s v="a6Jat4072601"/>
    <x v="0"/>
    <s v="Sep"/>
    <s v="Agency submitted updated invoice mapping."/>
    <n v="98"/>
    <x v="0"/>
    <x v="14"/>
    <x v="2"/>
    <x v="0"/>
  </r>
  <r>
    <x v="0"/>
    <s v="NWSL Halftime Sponsorship 2025"/>
    <s v="Billing Request- 00100604"/>
    <x v="8"/>
    <d v="2025-08-12T00:00:00"/>
    <d v="2025-08-27T00:00:00"/>
    <x v="1"/>
    <s v="a6JXt9140297"/>
    <x v="0"/>
    <s v="Apr"/>
    <s v="Agency submitted updated invoice mapping."/>
    <n v="15"/>
    <x v="3"/>
    <x v="8"/>
    <x v="1"/>
    <x v="0"/>
  </r>
  <r>
    <x v="3"/>
    <s v="NWSL Halftime Sponsorship 2025"/>
    <s v="Billing Request- 00100606"/>
    <x v="9"/>
    <d v="2025-02-09T00:00:00"/>
    <d v="2025-03-13T00:00:00"/>
    <x v="2"/>
    <s v="a6JXt3046668"/>
    <x v="3"/>
    <s v="Apr"/>
    <s v="Invoice details mismatch with approved campaign."/>
    <n v="32"/>
    <x v="1"/>
    <x v="6"/>
    <x v="1"/>
    <x v="0"/>
  </r>
  <r>
    <x v="0"/>
    <s v="TNF Sponsorship 2026"/>
    <s v="Billing Request- 00100608"/>
    <x v="1"/>
    <d v="2026-02-03T00:00:00"/>
    <d v="2026-03-03T00:00:00"/>
    <x v="2"/>
    <s v="a6Jat7398678"/>
    <x v="0"/>
    <s v="Sep"/>
    <s v="Agency submitted updated invoice mapping."/>
    <n v="28"/>
    <x v="3"/>
    <x v="1"/>
    <x v="4"/>
    <x v="1"/>
  </r>
  <r>
    <x v="0"/>
    <s v="Retail Media Expansion 2025"/>
    <s v="Billing Request- 00100610"/>
    <x v="7"/>
    <d v="2025-06-08T00:00:00"/>
    <d v="2025-10-02T00:00:00"/>
    <x v="2"/>
    <s v="a6JHn9600893"/>
    <x v="0"/>
    <s v="May; Jun"/>
    <s v="Missing supporting documentation from vendor."/>
    <n v="116"/>
    <x v="0"/>
    <x v="9"/>
    <x v="3"/>
    <x v="0"/>
  </r>
  <r>
    <x v="0"/>
    <s v="NWSL Halftime Sponsorship 2025"/>
    <s v="Billing Request- 00100611"/>
    <x v="9"/>
    <d v="2025-10-16T00:00:00"/>
    <d v="2026-01-01T00:00:00"/>
    <x v="0"/>
    <s v="a6JXt4126532"/>
    <x v="2"/>
    <s v="Mar; Apr"/>
    <s v="Incorrect legal terms delayed PTS."/>
    <n v="77"/>
    <x v="0"/>
    <x v="5"/>
    <x v="1"/>
    <x v="0"/>
  </r>
  <r>
    <x v="0"/>
    <s v="NBA Playoffs Campaign 2025"/>
    <s v="Billing Request- 00100616"/>
    <x v="1"/>
    <d v="2025-05-16T00:00:00"/>
    <d v="2025-06-29T00:00:00"/>
    <x v="0"/>
    <s v="a6JXt5350628"/>
    <x v="0"/>
    <s v="Nov; Dec"/>
    <s v="Client requested retroactive billing adjustments."/>
    <n v="44"/>
    <x v="1"/>
    <x v="4"/>
    <x v="2"/>
    <x v="0"/>
  </r>
  <r>
    <x v="0"/>
    <s v="WNBA Incremental Scatter 2026"/>
    <s v="Billing Request- 00100618"/>
    <x v="4"/>
    <d v="2026-01-23T00:00:00"/>
    <d v="2026-02-09T00:00:00"/>
    <x v="0"/>
    <s v="a6JXt4157826"/>
    <x v="4"/>
    <s v="Jul; Aug"/>
    <s v="Agency submitted updated invoice mapping."/>
    <n v="17"/>
    <x v="3"/>
    <x v="7"/>
    <x v="2"/>
    <x v="1"/>
  </r>
  <r>
    <x v="0"/>
    <s v="Retail Media Expansion 2025"/>
    <s v="Billing Request- 00100619"/>
    <x v="9"/>
    <d v="2025-08-12T00:00:00"/>
    <d v="2025-11-28T00:00:00"/>
    <x v="0"/>
    <s v="a6Jat8952217"/>
    <x v="6"/>
    <s v="Apr"/>
    <s v="Agency submitted updated invoice mapping."/>
    <n v="108"/>
    <x v="0"/>
    <x v="8"/>
    <x v="3"/>
    <x v="0"/>
  </r>
  <r>
    <x v="0"/>
    <s v="Prime Sports NFL 2026"/>
    <s v="Billing Request- 00100620"/>
    <x v="4"/>
    <d v="2026-04-24T00:00:00"/>
    <d v="2026-05-06T00:00:00"/>
    <x v="2"/>
    <s v="a6JXt7572195"/>
    <x v="3"/>
    <s v="Jan"/>
    <s v="Incorrect legal terms delayed PTS."/>
    <n v="12"/>
    <x v="4"/>
    <x v="10"/>
    <x v="3"/>
    <x v="1"/>
  </r>
  <r>
    <x v="0"/>
    <s v="NWSL Prime Video 2025"/>
    <s v="Billing Request- 00100621"/>
    <x v="7"/>
    <d v="2025-08-10T00:00:00"/>
    <d v="2025-10-03T00:00:00"/>
    <x v="2"/>
    <s v="a6JXt9185628"/>
    <x v="2"/>
    <s v="Feb"/>
    <s v=""/>
    <n v="54"/>
    <x v="1"/>
    <x v="8"/>
    <x v="1"/>
    <x v="0"/>
  </r>
  <r>
    <x v="0"/>
    <s v="DirecTV NASCAR Campaign 2025"/>
    <s v="Billing Request- 00100623"/>
    <x v="7"/>
    <d v="2025-01-11T00:00:00"/>
    <d v="2025-02-01T00:00:00"/>
    <x v="2"/>
    <s v="a6Jat9516717"/>
    <x v="5"/>
    <s v="Nov"/>
    <s v="Finance validation process delay."/>
    <n v="21"/>
    <x v="3"/>
    <x v="0"/>
    <x v="0"/>
    <x v="0"/>
  </r>
  <r>
    <x v="0"/>
    <s v="Amazon NBA Live Sports 2025"/>
    <s v="Billing Request- 00100627"/>
    <x v="3"/>
    <d v="2025-03-03T00:00:00"/>
    <d v="2025-05-14T00:00:00"/>
    <x v="2"/>
    <s v="a6JHn1783099"/>
    <x v="3"/>
    <s v="May"/>
    <s v=""/>
    <n v="72"/>
    <x v="0"/>
    <x v="13"/>
    <x v="2"/>
    <x v="0"/>
  </r>
  <r>
    <x v="4"/>
    <s v="Prime Sports NFL 2025"/>
    <s v="Billing Request- 00100628"/>
    <x v="0"/>
    <d v="2025-02-23T00:00:00"/>
    <d v="2025-05-25T00:00:00"/>
    <x v="1"/>
    <s v="a6Jat2776570"/>
    <x v="5"/>
    <s v="Apr"/>
    <s v=""/>
    <n v="91"/>
    <x v="0"/>
    <x v="6"/>
    <x v="3"/>
    <x v="0"/>
  </r>
  <r>
    <x v="4"/>
    <s v="WNBA Incremental Scatter 2025"/>
    <s v="Billing Request- 00100630"/>
    <x v="7"/>
    <d v="2025-06-21T00:00:00"/>
    <d v="2025-10-04T00:00:00"/>
    <x v="2"/>
    <s v="a6JHn1110521"/>
    <x v="1"/>
    <s v="Jul; Aug"/>
    <s v="Invoice details mismatch with approved campaign."/>
    <n v="105"/>
    <x v="0"/>
    <x v="9"/>
    <x v="2"/>
    <x v="0"/>
  </r>
  <r>
    <x v="3"/>
    <s v="NWSL Prime Video 2026"/>
    <s v="Billing Request- 00100632"/>
    <x v="4"/>
    <d v="2026-02-05T00:00:00"/>
    <d v="2026-05-06T00:00:00"/>
    <x v="1"/>
    <s v="a6JXt7069566"/>
    <x v="0"/>
    <s v="May"/>
    <s v="Client requested retroactive billing adjustments."/>
    <n v="90"/>
    <x v="0"/>
    <x v="1"/>
    <x v="1"/>
    <x v="1"/>
  </r>
  <r>
    <x v="0"/>
    <s v="TNF Sponsorship 2025"/>
    <s v="Billing Request- 00100633"/>
    <x v="4"/>
    <d v="2025-09-22T00:00:00"/>
    <d v="2025-10-01T00:00:00"/>
    <x v="1"/>
    <s v="a6Jat8282524"/>
    <x v="0"/>
    <s v="Feb"/>
    <s v="Agency submitted updated invoice mapping."/>
    <n v="9"/>
    <x v="4"/>
    <x v="14"/>
    <x v="4"/>
    <x v="0"/>
  </r>
  <r>
    <x v="0"/>
    <s v="Global Consumer Products 2026"/>
    <s v="Billing Request- 00100634"/>
    <x v="6"/>
    <d v="2026-01-15T00:00:00"/>
    <d v="2026-04-06T00:00:00"/>
    <x v="0"/>
    <s v="a6JXt6105693"/>
    <x v="3"/>
    <s v="Jan"/>
    <s v="Late media plan changes from client."/>
    <n v="81"/>
    <x v="0"/>
    <x v="7"/>
    <x v="3"/>
    <x v="1"/>
  </r>
  <r>
    <x v="0"/>
    <s v="NWSL Prime Video 2026"/>
    <s v="Billing Request- 00100635"/>
    <x v="6"/>
    <d v="2026-02-07T00:00:00"/>
    <d v="2026-05-08T00:00:00"/>
    <x v="0"/>
    <s v="a6JXt8417942"/>
    <x v="1"/>
    <s v="Jan; Feb"/>
    <s v="Manual billing entry issue."/>
    <n v="90"/>
    <x v="0"/>
    <x v="1"/>
    <x v="1"/>
    <x v="1"/>
  </r>
  <r>
    <x v="0"/>
    <s v="Global Consumer Products 2026"/>
    <s v="Billing Request- 00100636"/>
    <x v="3"/>
    <d v="2026-01-22T00:00:00"/>
    <d v="2026-01-27T00:00:00"/>
    <x v="0"/>
    <s v="a6Jat9732032"/>
    <x v="3"/>
    <s v="Jul"/>
    <s v="Incorrect legal terms delayed PTS."/>
    <n v="5"/>
    <x v="2"/>
    <x v="7"/>
    <x v="3"/>
    <x v="1"/>
  </r>
  <r>
    <x v="0"/>
    <s v="DirecTV NASCAR Campaign 2025"/>
    <s v="Billing Request- 00100637"/>
    <x v="7"/>
    <d v="2025-06-09T00:00:00"/>
    <d v="2025-08-15T00:00:00"/>
    <x v="2"/>
    <s v="a6JXt5340101"/>
    <x v="1"/>
    <s v="Oct"/>
    <s v="Missing supporting documentation from vendor."/>
    <n v="67"/>
    <x v="0"/>
    <x v="9"/>
    <x v="0"/>
    <x v="0"/>
  </r>
  <r>
    <x v="0"/>
    <s v="TNF Sponsorship 2026"/>
    <s v="Billing Request- 00100638"/>
    <x v="1"/>
    <d v="2026-01-29T00:00:00"/>
    <d v="2026-05-03T00:00:00"/>
    <x v="2"/>
    <s v="a6Jat1800824"/>
    <x v="0"/>
    <s v="Oct"/>
    <s v="Client requested retroactive billing adjustments."/>
    <n v="94"/>
    <x v="0"/>
    <x v="7"/>
    <x v="4"/>
    <x v="1"/>
  </r>
  <r>
    <x v="0"/>
    <s v="Retail Media Expansion 2025"/>
    <s v="Billing Request- 00100639"/>
    <x v="9"/>
    <d v="2025-05-01T00:00:00"/>
    <d v="2025-08-13T00:00:00"/>
    <x v="2"/>
    <s v="a6JXt3348331"/>
    <x v="5"/>
    <s v="Aug"/>
    <s v="Incorrect legal terms delayed PTS."/>
    <n v="104"/>
    <x v="0"/>
    <x v="4"/>
    <x v="3"/>
    <x v="0"/>
  </r>
  <r>
    <x v="0"/>
    <s v="NASCAR Apex 2025 2025"/>
    <s v="Billing Request- 00100640"/>
    <x v="1"/>
    <d v="2025-10-26T00:00:00"/>
    <d v="2025-11-20T00:00:00"/>
    <x v="0"/>
    <s v="a6JHn2374845"/>
    <x v="6"/>
    <s v="Mar; Apr"/>
    <s v="Agency submitted updated invoice mapping."/>
    <n v="25"/>
    <x v="3"/>
    <x v="5"/>
    <x v="0"/>
    <x v="0"/>
  </r>
  <r>
    <x v="0"/>
    <s v="DirecTV NASCAR Campaign 2025"/>
    <s v="Billing Request- 00100641"/>
    <x v="2"/>
    <d v="2025-08-17T00:00:00"/>
    <d v="2025-08-27T00:00:00"/>
    <x v="2"/>
    <s v="a6JXt7623350"/>
    <x v="5"/>
    <s v="Jul; Aug"/>
    <s v="Missing supporting documentation from vendor."/>
    <n v="10"/>
    <x v="4"/>
    <x v="8"/>
    <x v="0"/>
    <x v="0"/>
  </r>
  <r>
    <x v="0"/>
    <s v="NBA Playoffs Campaign 2026"/>
    <s v="Billing Request- 00100642"/>
    <x v="3"/>
    <d v="2026-05-06T00:00:00"/>
    <d v="2026-05-06T00:00:00"/>
    <x v="2"/>
    <s v="a6JHn3170723"/>
    <x v="1"/>
    <s v="Sep; Oct"/>
    <s v="Incorrect legal terms delayed PTS."/>
    <n v="0"/>
    <x v="2"/>
    <x v="16"/>
    <x v="2"/>
    <x v="1"/>
  </r>
  <r>
    <x v="2"/>
    <s v="NFL Prime Video 2025"/>
    <s v="Billing Request- 00100643"/>
    <x v="1"/>
    <d v="2025-08-22T00:00:00"/>
    <d v="2025-10-22T00:00:00"/>
    <x v="2"/>
    <s v="a6Jat7855503"/>
    <x v="6"/>
    <s v="Dec"/>
    <s v="Late media plan changes from client."/>
    <n v="61"/>
    <x v="0"/>
    <x v="8"/>
    <x v="3"/>
    <x v="0"/>
  </r>
  <r>
    <x v="4"/>
    <s v="NBA Playoffs Campaign 2026"/>
    <s v="Billing Request- 00100645"/>
    <x v="1"/>
    <d v="2026-03-20T00:00:00"/>
    <d v="2026-05-07T00:00:00"/>
    <x v="2"/>
    <s v="a6Jat6849358"/>
    <x v="1"/>
    <s v="Feb"/>
    <s v="Missing supporting documentation from vendor."/>
    <n v="48"/>
    <x v="1"/>
    <x v="2"/>
    <x v="2"/>
    <x v="1"/>
  </r>
  <r>
    <x v="4"/>
    <s v="NWSL Prime Video 2025"/>
    <s v="Billing Request- 00100646"/>
    <x v="5"/>
    <d v="2025-06-08T00:00:00"/>
    <d v="2025-08-20T00:00:00"/>
    <x v="2"/>
    <s v="a6JXt3228175"/>
    <x v="5"/>
    <s v="May; Jun"/>
    <s v="Finance validation process delay."/>
    <n v="73"/>
    <x v="0"/>
    <x v="9"/>
    <x v="1"/>
    <x v="0"/>
  </r>
  <r>
    <x v="4"/>
    <s v="NASCAR P&amp;Q 2025"/>
    <s v="Billing Request- 00100647"/>
    <x v="7"/>
    <d v="2025-03-18T00:00:00"/>
    <d v="2025-07-07T00:00:00"/>
    <x v="0"/>
    <s v="a6JHn7496727"/>
    <x v="0"/>
    <s v="Nov"/>
    <s v=""/>
    <n v="111"/>
    <x v="0"/>
    <x v="13"/>
    <x v="0"/>
    <x v="0"/>
  </r>
  <r>
    <x v="1"/>
    <s v="NFL Prime Video 2025"/>
    <s v="Billing Request- 00100649"/>
    <x v="7"/>
    <d v="2025-11-26T00:00:00"/>
    <d v="2026-02-06T00:00:00"/>
    <x v="2"/>
    <s v="a6Jat9753576"/>
    <x v="1"/>
    <s v="Jul; Aug"/>
    <s v=""/>
    <n v="72"/>
    <x v="0"/>
    <x v="15"/>
    <x v="3"/>
    <x v="0"/>
  </r>
  <r>
    <x v="1"/>
    <s v="Retail Media Expansion 2026"/>
    <s v="Billing Request- 00100650"/>
    <x v="0"/>
    <d v="2026-01-31T00:00:00"/>
    <d v="2026-04-26T00:00:00"/>
    <x v="2"/>
    <s v="a6Jat5115227"/>
    <x v="0"/>
    <s v="Mar"/>
    <s v=""/>
    <n v="85"/>
    <x v="0"/>
    <x v="7"/>
    <x v="3"/>
    <x v="1"/>
  </r>
  <r>
    <x v="3"/>
    <s v="Prime Sports NFL 2025"/>
    <s v="Billing Request- 00100651"/>
    <x v="9"/>
    <d v="2025-07-25T00:00:00"/>
    <d v="2025-10-09T00:00:00"/>
    <x v="2"/>
    <s v="a6JHn4028421"/>
    <x v="6"/>
    <s v="Sep; Oct"/>
    <s v="Invoice details mismatch with approved campaign."/>
    <n v="76"/>
    <x v="0"/>
    <x v="12"/>
    <x v="3"/>
    <x v="0"/>
  </r>
  <r>
    <x v="0"/>
    <s v="NFL Prime Video 2025"/>
    <s v="Billing Request- 00100652"/>
    <x v="2"/>
    <d v="2025-02-16T00:00:00"/>
    <d v="2025-03-03T00:00:00"/>
    <x v="2"/>
    <s v="a6Jat3587505"/>
    <x v="0"/>
    <s v="Jun"/>
    <s v="Client requested retroactive billing adjustments."/>
    <n v="15"/>
    <x v="3"/>
    <x v="6"/>
    <x v="3"/>
    <x v="0"/>
  </r>
  <r>
    <x v="0"/>
    <s v="Amazon TNF 2024 2025"/>
    <s v="Billing Request- 00100653"/>
    <x v="6"/>
    <d v="2025-06-16T00:00:00"/>
    <d v="2025-07-10T00:00:00"/>
    <x v="2"/>
    <s v="a6Jat7926017"/>
    <x v="3"/>
    <s v="Jan; Feb"/>
    <s v="Incorrect legal terms delayed PTS."/>
    <n v="24"/>
    <x v="3"/>
    <x v="9"/>
    <x v="4"/>
    <x v="0"/>
  </r>
  <r>
    <x v="0"/>
    <s v="Prime Sports NFL 2025"/>
    <s v="Billing Request- 00100655"/>
    <x v="3"/>
    <d v="2025-02-03T00:00:00"/>
    <d v="2025-04-06T00:00:00"/>
    <x v="0"/>
    <s v="a6Jat5515751"/>
    <x v="5"/>
    <s v="Apr"/>
    <s v="Manual billing entry issue."/>
    <n v="62"/>
    <x v="0"/>
    <x v="6"/>
    <x v="3"/>
    <x v="0"/>
  </r>
  <r>
    <x v="0"/>
    <s v="Streaming Bundle Initiative 2026"/>
    <s v="Billing Request- 00100656"/>
    <x v="5"/>
    <d v="2026-02-02T00:00:00"/>
    <d v="2026-03-13T00:00:00"/>
    <x v="0"/>
    <s v="a6JXt4413440"/>
    <x v="3"/>
    <s v="Nov; Dec"/>
    <s v="Agency submitted updated invoice mapping."/>
    <n v="39"/>
    <x v="1"/>
    <x v="1"/>
    <x v="3"/>
    <x v="1"/>
  </r>
  <r>
    <x v="0"/>
    <s v="NWSL Halftime Sponsorship 2026"/>
    <s v="Billing Request- 00100657"/>
    <x v="5"/>
    <d v="2026-04-19T00:00:00"/>
    <d v="2026-05-05T00:00:00"/>
    <x v="2"/>
    <s v="a6JXt5852800"/>
    <x v="6"/>
    <s v="Feb"/>
    <s v="Finance validation process delay."/>
    <n v="16"/>
    <x v="3"/>
    <x v="10"/>
    <x v="1"/>
    <x v="1"/>
  </r>
  <r>
    <x v="0"/>
    <s v="NFL Prime Video 2025"/>
    <s v="Billing Request- 00100659"/>
    <x v="0"/>
    <d v="2025-07-22T00:00:00"/>
    <d v="2025-10-20T00:00:00"/>
    <x v="1"/>
    <s v="a6JHn4537478"/>
    <x v="5"/>
    <s v="Nov"/>
    <s v="Invoice details mismatch with approved campaign."/>
    <n v="90"/>
    <x v="0"/>
    <x v="12"/>
    <x v="3"/>
    <x v="0"/>
  </r>
  <r>
    <x v="0"/>
    <s v="NASCAR P&amp;Q 2025"/>
    <s v="Billing Request- 00100660"/>
    <x v="0"/>
    <d v="2025-12-29T00:00:00"/>
    <d v="2026-02-25T00:00:00"/>
    <x v="2"/>
    <s v="a6Jat8714152"/>
    <x v="3"/>
    <s v="Jan"/>
    <s v="Agency submitted updated invoice mapping."/>
    <n v="58"/>
    <x v="1"/>
    <x v="11"/>
    <x v="0"/>
    <x v="0"/>
  </r>
  <r>
    <x v="3"/>
    <s v="NWSL Halftime Sponsorship 2025"/>
    <s v="Billing Request- 00100661"/>
    <x v="9"/>
    <d v="2025-01-02T00:00:00"/>
    <d v="2025-03-21T00:00:00"/>
    <x v="0"/>
    <s v="a6JHn9203667"/>
    <x v="5"/>
    <s v="Mar"/>
    <s v="Incorrect legal terms delayed PTS."/>
    <n v="78"/>
    <x v="0"/>
    <x v="0"/>
    <x v="1"/>
    <x v="0"/>
  </r>
  <r>
    <x v="1"/>
    <s v="TNF Sponsorship 2025"/>
    <s v="Billing Request- 00100662"/>
    <x v="9"/>
    <d v="2025-12-10T00:00:00"/>
    <d v="2026-02-05T00:00:00"/>
    <x v="2"/>
    <s v="a6JXt7005668"/>
    <x v="4"/>
    <s v="Jan"/>
    <s v="Incorrect legal terms delayed PTS."/>
    <n v="57"/>
    <x v="1"/>
    <x v="11"/>
    <x v="4"/>
    <x v="0"/>
  </r>
  <r>
    <x v="0"/>
    <s v="NFL Prime Video 2025"/>
    <s v="Billing Request- 00100663"/>
    <x v="7"/>
    <d v="2025-04-09T00:00:00"/>
    <d v="2025-06-05T00:00:00"/>
    <x v="0"/>
    <s v="a6JXt7003240"/>
    <x v="6"/>
    <s v="Oct"/>
    <s v="Manual billing entry issue."/>
    <n v="57"/>
    <x v="1"/>
    <x v="3"/>
    <x v="3"/>
    <x v="0"/>
  </r>
  <r>
    <x v="0"/>
    <s v="Retail Media Expansion 2026"/>
    <s v="Billing Request- 00100665"/>
    <x v="1"/>
    <d v="2026-05-09T00:00:00"/>
    <d v="2026-05-08T00:00:00"/>
    <x v="2"/>
    <s v="a6JXt3944885"/>
    <x v="5"/>
    <s v="May"/>
    <s v="Incorrect legal terms delayed PTS."/>
    <n v="-1"/>
    <x v="2"/>
    <x v="16"/>
    <x v="3"/>
    <x v="1"/>
  </r>
  <r>
    <x v="0"/>
    <s v="WNBA Incremental Scatter 2025"/>
    <s v="Billing Request- 00100668"/>
    <x v="4"/>
    <d v="2025-01-23T00:00:00"/>
    <d v="2025-05-17T00:00:00"/>
    <x v="2"/>
    <s v="a6JHn6305659"/>
    <x v="0"/>
    <s v="Jul"/>
    <s v="Invoice details mismatch with approved campaign."/>
    <n v="114"/>
    <x v="0"/>
    <x v="0"/>
    <x v="2"/>
    <x v="0"/>
  </r>
  <r>
    <x v="0"/>
    <s v="Amazon TNF 2024 2025"/>
    <s v="Billing Request- 00100673"/>
    <x v="9"/>
    <d v="2025-11-17T00:00:00"/>
    <d v="2026-01-12T00:00:00"/>
    <x v="2"/>
    <s v="a6JHn7399761"/>
    <x v="6"/>
    <s v="Mar; Apr"/>
    <s v="Manual billing entry issue."/>
    <n v="56"/>
    <x v="1"/>
    <x v="15"/>
    <x v="4"/>
    <x v="0"/>
  </r>
  <r>
    <x v="4"/>
    <s v="NWSL Prime Video 2026"/>
    <s v="Billing Request- 00100674"/>
    <x v="6"/>
    <d v="2026-01-03T00:00:00"/>
    <d v="2026-03-03T00:00:00"/>
    <x v="0"/>
    <s v="a6JXt2699161"/>
    <x v="2"/>
    <s v="Jan"/>
    <s v="Finance validation process delay."/>
    <n v="59"/>
    <x v="1"/>
    <x v="7"/>
    <x v="1"/>
    <x v="1"/>
  </r>
  <r>
    <x v="0"/>
    <s v="Amazon TNF 2024 2025"/>
    <s v="Billing Request- 00100675"/>
    <x v="0"/>
    <d v="2025-10-28T00:00:00"/>
    <d v="2025-11-22T00:00:00"/>
    <x v="0"/>
    <s v="a6JXt4248312"/>
    <x v="4"/>
    <s v="Sep; Oct"/>
    <s v="Late media plan changes from client."/>
    <n v="25"/>
    <x v="3"/>
    <x v="5"/>
    <x v="4"/>
    <x v="0"/>
  </r>
  <r>
    <x v="0"/>
    <s v="Streaming Bundle Initiative 2025"/>
    <s v="Billing Request- 00100676"/>
    <x v="5"/>
    <d v="2025-09-04T00:00:00"/>
    <d v="2025-12-06T00:00:00"/>
    <x v="2"/>
    <s v="a6Jat2014873"/>
    <x v="3"/>
    <s v="Mar; Apr"/>
    <s v=""/>
    <n v="93"/>
    <x v="0"/>
    <x v="14"/>
    <x v="3"/>
    <x v="0"/>
  </r>
  <r>
    <x v="0"/>
    <s v="Retail Media Expansion 2026"/>
    <s v="Billing Request- 00100677"/>
    <x v="6"/>
    <d v="2026-04-02T00:00:00"/>
    <d v="2026-05-05T00:00:00"/>
    <x v="2"/>
    <s v="a6JHn5883242"/>
    <x v="6"/>
    <s v="Sep; Oct"/>
    <s v="Agency submitted updated invoice mapping."/>
    <n v="33"/>
    <x v="1"/>
    <x v="10"/>
    <x v="3"/>
    <x v="1"/>
  </r>
  <r>
    <x v="0"/>
    <s v="DirecTV NASCAR Campaign 2025"/>
    <s v="Billing Request- 00100679"/>
    <x v="6"/>
    <d v="2025-08-28T00:00:00"/>
    <d v="2025-11-13T00:00:00"/>
    <x v="2"/>
    <s v="a6JHn8024541"/>
    <x v="4"/>
    <s v="Apr"/>
    <s v="Finance validation process delay."/>
    <n v="77"/>
    <x v="0"/>
    <x v="8"/>
    <x v="0"/>
    <x v="0"/>
  </r>
  <r>
    <x v="0"/>
    <s v="WNBA Incremental Scatter 2026"/>
    <s v="Billing Request- 00100680"/>
    <x v="7"/>
    <d v="2026-01-11T00:00:00"/>
    <d v="2026-03-16T00:00:00"/>
    <x v="0"/>
    <s v="a6JHn4575870"/>
    <x v="0"/>
    <s v="Nov"/>
    <s v="Missing supporting documentation from vendor."/>
    <n v="64"/>
    <x v="0"/>
    <x v="7"/>
    <x v="2"/>
    <x v="1"/>
  </r>
  <r>
    <x v="0"/>
    <s v="NFL Prime Video 2025"/>
    <s v="Billing Request- 00100682"/>
    <x v="6"/>
    <d v="2025-07-04T00:00:00"/>
    <d v="2025-07-10T00:00:00"/>
    <x v="2"/>
    <s v="a6JHn3924009"/>
    <x v="1"/>
    <s v="Nov; Dec"/>
    <s v="Manual billing entry issue."/>
    <n v="6"/>
    <x v="2"/>
    <x v="12"/>
    <x v="3"/>
    <x v="0"/>
  </r>
  <r>
    <x v="2"/>
    <s v="NWSL Halftime Sponsorship 2025"/>
    <s v="Billing Request- 00100685"/>
    <x v="3"/>
    <d v="2025-06-12T00:00:00"/>
    <d v="2025-08-28T00:00:00"/>
    <x v="0"/>
    <s v="a6JXt4172607"/>
    <x v="3"/>
    <s v="May"/>
    <s v="Invoice details mismatch with approved campaign."/>
    <n v="77"/>
    <x v="0"/>
    <x v="9"/>
    <x v="1"/>
    <x v="0"/>
  </r>
  <r>
    <x v="0"/>
    <s v="Confluence Academy 2025"/>
    <s v="Billing Request- 00100688"/>
    <x v="9"/>
    <d v="2025-10-25T00:00:00"/>
    <d v="2025-12-16T00:00:00"/>
    <x v="0"/>
    <s v="a6JHn4932320"/>
    <x v="4"/>
    <s v="Oct"/>
    <s v="Missing supporting documentation from vendor."/>
    <n v="52"/>
    <x v="1"/>
    <x v="5"/>
    <x v="3"/>
    <x v="0"/>
  </r>
  <r>
    <x v="0"/>
    <s v="DirecTV NASCAR Campaign 2026"/>
    <s v="Billing Request- 00100689"/>
    <x v="3"/>
    <d v="2026-02-10T00:00:00"/>
    <d v="2026-05-07T00:00:00"/>
    <x v="0"/>
    <s v="a6JHn8457561"/>
    <x v="3"/>
    <s v="Aug"/>
    <s v="Client requested retroactive billing adjustments."/>
    <n v="86"/>
    <x v="0"/>
    <x v="1"/>
    <x v="0"/>
    <x v="1"/>
  </r>
  <r>
    <x v="0"/>
    <s v="NWSL Prime Video 2025"/>
    <s v="Billing Request- 00100690"/>
    <x v="2"/>
    <d v="2025-11-15T00:00:00"/>
    <d v="2025-12-29T00:00:00"/>
    <x v="2"/>
    <s v="a6JHn6318720"/>
    <x v="0"/>
    <s v="Jan"/>
    <s v="Agency submitted updated invoice mapping."/>
    <n v="44"/>
    <x v="1"/>
    <x v="15"/>
    <x v="1"/>
    <x v="0"/>
  </r>
  <r>
    <x v="3"/>
    <s v="TNF Sponsorship 2025"/>
    <s v="Billing Request- 00100691"/>
    <x v="3"/>
    <d v="2025-05-16T00:00:00"/>
    <d v="2025-08-07T00:00:00"/>
    <x v="2"/>
    <s v="a6JXt9603205"/>
    <x v="2"/>
    <s v="Mar"/>
    <s v="Late media plan changes from client."/>
    <n v="83"/>
    <x v="0"/>
    <x v="4"/>
    <x v="4"/>
    <x v="0"/>
  </r>
  <r>
    <x v="0"/>
    <s v="TNF Sponsorship 2026"/>
    <s v="Billing Request- 00100692"/>
    <x v="2"/>
    <d v="2026-01-26T00:00:00"/>
    <d v="2026-02-11T00:00:00"/>
    <x v="2"/>
    <s v="a6Jat6523752"/>
    <x v="3"/>
    <s v="Sep"/>
    <s v="Manual billing entry issue."/>
    <n v="16"/>
    <x v="3"/>
    <x v="7"/>
    <x v="4"/>
    <x v="1"/>
  </r>
  <r>
    <x v="0"/>
    <s v="Global Consumer Products 2025"/>
    <s v="Billing Request- 00100693"/>
    <x v="9"/>
    <d v="2025-03-12T00:00:00"/>
    <d v="2025-06-30T00:00:00"/>
    <x v="2"/>
    <s v="a6JHn7774826"/>
    <x v="1"/>
    <s v="Jan"/>
    <s v="Finance validation process delay."/>
    <n v="110"/>
    <x v="0"/>
    <x v="13"/>
    <x v="3"/>
    <x v="0"/>
  </r>
  <r>
    <x v="0"/>
    <s v="NWSL Halftime Sponsorship 2025"/>
    <s v="Billing Request- 00100694"/>
    <x v="3"/>
    <d v="2025-03-18T00:00:00"/>
    <d v="2025-07-07T00:00:00"/>
    <x v="0"/>
    <s v="a6JHn4921224"/>
    <x v="5"/>
    <s v="Nov; Dec"/>
    <s v="Finance validation process delay."/>
    <n v="111"/>
    <x v="0"/>
    <x v="13"/>
    <x v="1"/>
    <x v="0"/>
  </r>
  <r>
    <x v="4"/>
    <s v="TNF Sponsorship 2025"/>
    <s v="Billing Request- 00100695"/>
    <x v="7"/>
    <d v="2025-08-25T00:00:00"/>
    <d v="2025-10-08T00:00:00"/>
    <x v="2"/>
    <s v="a6JXt8007639"/>
    <x v="0"/>
    <s v="May; Jun"/>
    <s v=""/>
    <n v="44"/>
    <x v="1"/>
    <x v="8"/>
    <x v="4"/>
    <x v="0"/>
  </r>
  <r>
    <x v="0"/>
    <s v="Global Consumer Products 2025"/>
    <s v="Billing Request- 00100697"/>
    <x v="5"/>
    <d v="2025-07-26T00:00:00"/>
    <d v="2025-11-01T00:00:00"/>
    <x v="2"/>
    <s v="a6Jat3334293"/>
    <x v="3"/>
    <s v="Jan; Feb"/>
    <s v="Missing supporting documentation from vendor."/>
    <n v="98"/>
    <x v="0"/>
    <x v="12"/>
    <x v="3"/>
    <x v="0"/>
  </r>
  <r>
    <x v="0"/>
    <s v="Streaming Bundle Initiative 2025"/>
    <s v="Billing Request- 00100699"/>
    <x v="7"/>
    <d v="2025-04-01T00:00:00"/>
    <d v="2025-04-06T00:00:00"/>
    <x v="2"/>
    <s v="a6JHn5761669"/>
    <x v="4"/>
    <s v="Oct"/>
    <s v=""/>
    <n v="5"/>
    <x v="2"/>
    <x v="3"/>
    <x v="3"/>
    <x v="0"/>
  </r>
  <r>
    <x v="3"/>
    <s v="NBA Playoffs Campaign 2025"/>
    <s v="Billing Request- 00100701"/>
    <x v="5"/>
    <d v="2025-02-05T00:00:00"/>
    <d v="2025-03-27T00:00:00"/>
    <x v="2"/>
    <s v="a6JXt8965487"/>
    <x v="5"/>
    <s v="Oct"/>
    <s v="Manual billing entry issue."/>
    <n v="50"/>
    <x v="1"/>
    <x v="6"/>
    <x v="2"/>
    <x v="0"/>
  </r>
  <r>
    <x v="0"/>
    <s v="NASCAR P&amp;Q 2025"/>
    <s v="Billing Request- 00100702"/>
    <x v="0"/>
    <d v="2025-12-17T00:00:00"/>
    <d v="2026-02-14T00:00:00"/>
    <x v="2"/>
    <s v="a6Jat7698083"/>
    <x v="1"/>
    <s v="Aug"/>
    <s v=""/>
    <n v="59"/>
    <x v="1"/>
    <x v="11"/>
    <x v="0"/>
    <x v="0"/>
  </r>
  <r>
    <x v="0"/>
    <s v="NWSL Prime Video 2025"/>
    <s v="Billing Request- 00100703"/>
    <x v="8"/>
    <d v="2025-10-19T00:00:00"/>
    <d v="2026-02-09T00:00:00"/>
    <x v="2"/>
    <s v="a6Jat5830358"/>
    <x v="3"/>
    <s v="Oct"/>
    <s v="Missing supporting documentation from vendor."/>
    <n v="113"/>
    <x v="0"/>
    <x v="5"/>
    <x v="1"/>
    <x v="0"/>
  </r>
  <r>
    <x v="3"/>
    <s v="NBA Playoffs Campaign 2025"/>
    <s v="Billing Request- 00100704"/>
    <x v="5"/>
    <d v="2025-03-31T00:00:00"/>
    <d v="2025-05-24T00:00:00"/>
    <x v="0"/>
    <s v="a6JHn7453607"/>
    <x v="2"/>
    <s v="Apr"/>
    <s v="Missing supporting documentation from vendor."/>
    <n v="54"/>
    <x v="1"/>
    <x v="13"/>
    <x v="2"/>
    <x v="0"/>
  </r>
  <r>
    <x v="3"/>
    <s v="NBA League Pass 2025"/>
    <s v="Billing Request- 00100705"/>
    <x v="7"/>
    <d v="2025-01-23T00:00:00"/>
    <d v="2025-02-23T00:00:00"/>
    <x v="2"/>
    <s v="a6JXt2119776"/>
    <x v="0"/>
    <s v="Mar; Apr"/>
    <s v=""/>
    <n v="31"/>
    <x v="1"/>
    <x v="0"/>
    <x v="2"/>
    <x v="0"/>
  </r>
  <r>
    <x v="0"/>
    <s v="NWSL Prime Video 2025"/>
    <s v="Billing Request- 00100707"/>
    <x v="4"/>
    <d v="2025-12-12T00:00:00"/>
    <d v="2026-03-18T00:00:00"/>
    <x v="2"/>
    <s v="a6Jat7655090"/>
    <x v="6"/>
    <s v="Sep"/>
    <s v="Incorrect legal terms delayed PTS."/>
    <n v="96"/>
    <x v="0"/>
    <x v="11"/>
    <x v="1"/>
    <x v="0"/>
  </r>
  <r>
    <x v="0"/>
    <s v="NWSL Prime Video 2025"/>
    <s v="Billing Request- 00100708"/>
    <x v="8"/>
    <d v="2025-03-11T00:00:00"/>
    <d v="2025-04-22T00:00:00"/>
    <x v="2"/>
    <s v="a6JXt5065012"/>
    <x v="4"/>
    <s v="Jul; Aug"/>
    <s v="Late media plan changes from client."/>
    <n v="42"/>
    <x v="1"/>
    <x v="13"/>
    <x v="1"/>
    <x v="0"/>
  </r>
  <r>
    <x v="0"/>
    <s v="Confluence Academy 2026"/>
    <s v="Billing Request- 00100709"/>
    <x v="5"/>
    <d v="2026-02-13T00:00:00"/>
    <d v="2026-05-09T00:00:00"/>
    <x v="2"/>
    <s v="a6JXt7557366"/>
    <x v="6"/>
    <s v="Jan"/>
    <s v="Late media plan changes from client."/>
    <n v="85"/>
    <x v="0"/>
    <x v="1"/>
    <x v="3"/>
    <x v="1"/>
  </r>
  <r>
    <x v="0"/>
    <s v="Confluence Academy 2025"/>
    <s v="Billing Request- 00100711"/>
    <x v="6"/>
    <d v="2025-08-16T00:00:00"/>
    <d v="2025-08-23T00:00:00"/>
    <x v="2"/>
    <s v="a6Jat5189267"/>
    <x v="4"/>
    <s v="Jul"/>
    <s v="Incorrect legal terms delayed PTS."/>
    <n v="7"/>
    <x v="2"/>
    <x v="8"/>
    <x v="3"/>
    <x v="0"/>
  </r>
  <r>
    <x v="0"/>
    <s v="NWSL Prime Video 2025"/>
    <s v="Billing Request- 00100714"/>
    <x v="2"/>
    <d v="2025-03-30T00:00:00"/>
    <d v="2025-04-01T00:00:00"/>
    <x v="2"/>
    <s v="a6Jat2107569"/>
    <x v="2"/>
    <s v="Dec"/>
    <s v="Client requested retroactive billing adjustments."/>
    <n v="2"/>
    <x v="2"/>
    <x v="13"/>
    <x v="1"/>
    <x v="0"/>
  </r>
  <r>
    <x v="0"/>
    <s v="NWSL Halftime Sponsorship 2025"/>
    <s v="Billing Request- 00100716"/>
    <x v="8"/>
    <d v="2025-11-20T00:00:00"/>
    <d v="2026-02-18T00:00:00"/>
    <x v="0"/>
    <s v="a6JXt6334600"/>
    <x v="6"/>
    <s v="Nov"/>
    <s v="Client requested retroactive billing adjustments."/>
    <n v="90"/>
    <x v="0"/>
    <x v="15"/>
    <x v="1"/>
    <x v="0"/>
  </r>
  <r>
    <x v="0"/>
    <s v="NWSL Halftime Sponsorship 2025"/>
    <s v="Billing Request- 00100717"/>
    <x v="4"/>
    <d v="2025-10-27T00:00:00"/>
    <d v="2025-12-24T00:00:00"/>
    <x v="0"/>
    <s v="a6Jat4902479"/>
    <x v="5"/>
    <s v="Apr"/>
    <s v="Late media plan changes from client."/>
    <n v="58"/>
    <x v="1"/>
    <x v="5"/>
    <x v="1"/>
    <x v="0"/>
  </r>
  <r>
    <x v="3"/>
    <s v="Amazon TNF 2024 2025"/>
    <s v="Billing Request- 00100721"/>
    <x v="5"/>
    <d v="2025-08-15T00:00:00"/>
    <d v="2025-11-04T00:00:00"/>
    <x v="2"/>
    <s v="a6Jat1874208"/>
    <x v="4"/>
    <s v="May"/>
    <s v="Incorrect legal terms delayed PTS."/>
    <n v="81"/>
    <x v="0"/>
    <x v="8"/>
    <x v="4"/>
    <x v="0"/>
  </r>
  <r>
    <x v="0"/>
    <s v="NASCAR Apex 2025 2025"/>
    <s v="Billing Request- 00100723"/>
    <x v="8"/>
    <d v="2025-11-07T00:00:00"/>
    <d v="2025-12-09T00:00:00"/>
    <x v="1"/>
    <s v="a6Jat5561067"/>
    <x v="6"/>
    <s v="Dec"/>
    <s v="Missing supporting documentation from vendor."/>
    <n v="32"/>
    <x v="1"/>
    <x v="15"/>
    <x v="0"/>
    <x v="0"/>
  </r>
  <r>
    <x v="0"/>
    <s v="NWSL Prime Video 2025"/>
    <s v="Billing Request- 00100724"/>
    <x v="9"/>
    <d v="2025-08-30T00:00:00"/>
    <d v="2025-10-26T00:00:00"/>
    <x v="0"/>
    <s v="a6JHn1332374"/>
    <x v="0"/>
    <s v="Mar"/>
    <s v="Late media plan changes from client."/>
    <n v="57"/>
    <x v="1"/>
    <x v="8"/>
    <x v="1"/>
    <x v="0"/>
  </r>
  <r>
    <x v="0"/>
    <s v="NBA League Pass 2025"/>
    <s v="Billing Request- 00100725"/>
    <x v="3"/>
    <d v="2025-03-20T00:00:00"/>
    <d v="2025-05-30T00:00:00"/>
    <x v="2"/>
    <s v="a6JHn7293920"/>
    <x v="5"/>
    <s v="Jul; Aug"/>
    <s v="Incorrect legal terms delayed PTS."/>
    <n v="71"/>
    <x v="0"/>
    <x v="13"/>
    <x v="2"/>
    <x v="0"/>
  </r>
  <r>
    <x v="0"/>
    <s v="NBA Playoffs Campaign 2025"/>
    <s v="Billing Request- 00100726"/>
    <x v="8"/>
    <d v="2025-08-29T00:00:00"/>
    <d v="2025-09-24T00:00:00"/>
    <x v="0"/>
    <s v="a6JXt7279004"/>
    <x v="0"/>
    <s v="Mar; Apr"/>
    <s v="Missing supporting documentation from vendor."/>
    <n v="26"/>
    <x v="3"/>
    <x v="8"/>
    <x v="2"/>
    <x v="0"/>
  </r>
  <r>
    <x v="1"/>
    <s v="DirecTV NASCAR Campaign 2026"/>
    <s v="Billing Request- 00100727"/>
    <x v="9"/>
    <d v="2026-04-06T00:00:00"/>
    <d v="2026-05-06T00:00:00"/>
    <x v="2"/>
    <s v="a6Jat3088386"/>
    <x v="5"/>
    <s v="Jun"/>
    <s v="Manual billing entry issue."/>
    <n v="30"/>
    <x v="3"/>
    <x v="10"/>
    <x v="0"/>
    <x v="1"/>
  </r>
  <r>
    <x v="0"/>
    <s v="DirecTV NASCAR Campaign 2026"/>
    <s v="Billing Request- 00100728"/>
    <x v="9"/>
    <d v="2026-03-07T00:00:00"/>
    <d v="2026-05-04T00:00:00"/>
    <x v="0"/>
    <s v="a6JHn1968122"/>
    <x v="0"/>
    <s v="Aug"/>
    <s v="Manual billing entry issue."/>
    <n v="58"/>
    <x v="1"/>
    <x v="2"/>
    <x v="0"/>
    <x v="1"/>
  </r>
  <r>
    <x v="0"/>
    <s v="NFL Prime Video 2025"/>
    <s v="Billing Request- 00100729"/>
    <x v="2"/>
    <d v="2025-07-05T00:00:00"/>
    <d v="2025-09-24T00:00:00"/>
    <x v="2"/>
    <s v="a6JXt3472414"/>
    <x v="4"/>
    <s v="Jun"/>
    <s v="Client requested retroactive billing adjustments."/>
    <n v="81"/>
    <x v="0"/>
    <x v="12"/>
    <x v="3"/>
    <x v="0"/>
  </r>
  <r>
    <x v="0"/>
    <s v="NWSL Halftime Sponsorship 2025"/>
    <s v="Billing Request- 00100733"/>
    <x v="8"/>
    <d v="2025-05-28T00:00:00"/>
    <d v="2025-08-30T00:00:00"/>
    <x v="2"/>
    <s v="a6Jat4322233"/>
    <x v="4"/>
    <s v="Sep; Oct"/>
    <s v="Incorrect legal terms delayed PTS."/>
    <n v="94"/>
    <x v="0"/>
    <x v="4"/>
    <x v="1"/>
    <x v="0"/>
  </r>
  <r>
    <x v="0"/>
    <s v="WNBA Incremental Scatter 2025"/>
    <s v="Billing Request- 00100734"/>
    <x v="9"/>
    <d v="2025-04-19T00:00:00"/>
    <d v="2025-05-13T00:00:00"/>
    <x v="0"/>
    <s v="a6Jat5351203"/>
    <x v="0"/>
    <s v="Apr"/>
    <s v="Agency submitted updated invoice mapping."/>
    <n v="24"/>
    <x v="3"/>
    <x v="3"/>
    <x v="2"/>
    <x v="0"/>
  </r>
  <r>
    <x v="0"/>
    <s v="NWSL Prime Video 2025"/>
    <s v="Billing Request- 00100737"/>
    <x v="6"/>
    <d v="2025-06-22T00:00:00"/>
    <d v="2025-09-08T00:00:00"/>
    <x v="0"/>
    <s v="a6JHn5019771"/>
    <x v="2"/>
    <s v="Jan; Feb"/>
    <s v="Missing supporting documentation from vendor."/>
    <n v="78"/>
    <x v="0"/>
    <x v="9"/>
    <x v="1"/>
    <x v="0"/>
  </r>
  <r>
    <x v="0"/>
    <s v="NASCAR P&amp;Q 2025"/>
    <s v="Billing Request- 00100738"/>
    <x v="4"/>
    <d v="2025-07-02T00:00:00"/>
    <d v="2025-10-22T00:00:00"/>
    <x v="0"/>
    <s v="a6JHn3329735"/>
    <x v="5"/>
    <s v="Apr"/>
    <s v=""/>
    <n v="112"/>
    <x v="0"/>
    <x v="12"/>
    <x v="0"/>
    <x v="0"/>
  </r>
  <r>
    <x v="1"/>
    <s v="NASCAR P&amp;Q 2026"/>
    <s v="Billing Request- 00100740"/>
    <x v="7"/>
    <d v="2026-03-24T00:00:00"/>
    <d v="2026-03-27T00:00:00"/>
    <x v="0"/>
    <s v="a6JXt8454220"/>
    <x v="5"/>
    <s v="Jul; Aug"/>
    <s v="Missing supporting documentation from vendor."/>
    <n v="3"/>
    <x v="2"/>
    <x v="2"/>
    <x v="0"/>
    <x v="1"/>
  </r>
  <r>
    <x v="1"/>
    <s v="NWSL Prime Video 2025"/>
    <s v="Billing Request- 00100741"/>
    <x v="2"/>
    <d v="2025-02-11T00:00:00"/>
    <d v="2025-03-28T00:00:00"/>
    <x v="0"/>
    <s v="a6Jat7456854"/>
    <x v="5"/>
    <s v="Jul"/>
    <s v="Agency submitted updated invoice mapping."/>
    <n v="45"/>
    <x v="1"/>
    <x v="6"/>
    <x v="1"/>
    <x v="0"/>
  </r>
  <r>
    <x v="0"/>
    <s v="NWSL Halftime Sponsorship 2026"/>
    <s v="Billing Request- 00100742"/>
    <x v="5"/>
    <d v="2026-01-09T00:00:00"/>
    <d v="2026-01-26T00:00:00"/>
    <x v="0"/>
    <s v="a6JXt8831655"/>
    <x v="0"/>
    <s v="Apr"/>
    <s v="Finance validation process delay."/>
    <n v="17"/>
    <x v="3"/>
    <x v="7"/>
    <x v="1"/>
    <x v="1"/>
  </r>
  <r>
    <x v="0"/>
    <s v="NBA Playoffs Campaign 2025"/>
    <s v="Billing Request- 00100743"/>
    <x v="9"/>
    <d v="2025-05-04T00:00:00"/>
    <d v="2025-06-05T00:00:00"/>
    <x v="0"/>
    <s v="a6Jat2769487"/>
    <x v="2"/>
    <s v="Jan"/>
    <s v="Agency submitted updated invoice mapping."/>
    <n v="32"/>
    <x v="1"/>
    <x v="4"/>
    <x v="2"/>
    <x v="0"/>
  </r>
  <r>
    <x v="0"/>
    <s v="NASCAR P&amp;Q 2026"/>
    <s v="Billing Request- 00100744"/>
    <x v="5"/>
    <d v="2026-03-25T00:00:00"/>
    <d v="2026-05-06T00:00:00"/>
    <x v="0"/>
    <s v="a6JXt3065243"/>
    <x v="5"/>
    <s v="Jul; Aug"/>
    <s v="Incorrect legal terms delayed PTS."/>
    <n v="42"/>
    <x v="1"/>
    <x v="2"/>
    <x v="0"/>
    <x v="1"/>
  </r>
  <r>
    <x v="0"/>
    <s v="Confluence Academy 2026"/>
    <s v="Billing Request- 00100745"/>
    <x v="3"/>
    <d v="2026-03-27T00:00:00"/>
    <d v="2026-05-08T00:00:00"/>
    <x v="2"/>
    <s v="a6JXt7403032"/>
    <x v="1"/>
    <s v="Mar; Apr"/>
    <s v="Manual billing entry issue."/>
    <n v="42"/>
    <x v="1"/>
    <x v="2"/>
    <x v="3"/>
    <x v="1"/>
  </r>
  <r>
    <x v="4"/>
    <s v="NFL Prime Video 2026"/>
    <s v="Billing Request- 00100747"/>
    <x v="5"/>
    <d v="2026-01-01T00:00:00"/>
    <d v="2026-02-10T00:00:00"/>
    <x v="1"/>
    <s v="a6JHn7124083"/>
    <x v="5"/>
    <s v="Aug"/>
    <s v="Incorrect legal terms delayed PTS."/>
    <n v="40"/>
    <x v="1"/>
    <x v="7"/>
    <x v="3"/>
    <x v="1"/>
  </r>
  <r>
    <x v="0"/>
    <s v="NWSL Prime Video 2025"/>
    <s v="Billing Request- 00100748"/>
    <x v="8"/>
    <d v="2025-10-03T00:00:00"/>
    <d v="2026-01-21T00:00:00"/>
    <x v="1"/>
    <s v="a6Jat9385800"/>
    <x v="4"/>
    <s v="Oct"/>
    <s v="Agency submitted updated invoice mapping."/>
    <n v="110"/>
    <x v="0"/>
    <x v="5"/>
    <x v="1"/>
    <x v="0"/>
  </r>
  <r>
    <x v="0"/>
    <s v="Global Consumer Products 2025"/>
    <s v="Billing Request- 00100749"/>
    <x v="0"/>
    <d v="2025-12-26T00:00:00"/>
    <d v="2025-12-31T00:00:00"/>
    <x v="1"/>
    <s v="a6Jat5587772"/>
    <x v="0"/>
    <s v="Jul"/>
    <s v="Finance validation process delay."/>
    <n v="5"/>
    <x v="2"/>
    <x v="11"/>
    <x v="3"/>
    <x v="0"/>
  </r>
  <r>
    <x v="0"/>
    <s v="WNBA Incremental Scatter 2025"/>
    <s v="Billing Request- 00100751"/>
    <x v="6"/>
    <d v="2025-06-03T00:00:00"/>
    <d v="2025-09-16T00:00:00"/>
    <x v="2"/>
    <s v="a6JXt8942696"/>
    <x v="1"/>
    <s v="Jan; Feb"/>
    <s v="Missing supporting documentation from vendor."/>
    <n v="105"/>
    <x v="0"/>
    <x v="9"/>
    <x v="2"/>
    <x v="0"/>
  </r>
  <r>
    <x v="0"/>
    <s v="NBA Playoffs Campaign 2025"/>
    <s v="Billing Request- 00100753"/>
    <x v="6"/>
    <d v="2025-09-05T00:00:00"/>
    <d v="2025-10-13T00:00:00"/>
    <x v="0"/>
    <s v="a6JXt1153218"/>
    <x v="2"/>
    <s v="Apr"/>
    <s v="Agency submitted updated invoice mapping."/>
    <n v="38"/>
    <x v="1"/>
    <x v="14"/>
    <x v="2"/>
    <x v="0"/>
  </r>
  <r>
    <x v="0"/>
    <s v="WNBA Incremental Scatter 2025"/>
    <s v="Billing Request- 00100754"/>
    <x v="1"/>
    <d v="2025-08-07T00:00:00"/>
    <d v="2025-11-02T00:00:00"/>
    <x v="1"/>
    <s v="a6Jat1880336"/>
    <x v="5"/>
    <s v="Nov"/>
    <s v="Missing supporting documentation from vendor."/>
    <n v="87"/>
    <x v="0"/>
    <x v="8"/>
    <x v="2"/>
    <x v="0"/>
  </r>
  <r>
    <x v="0"/>
    <s v="NFL Prime Video 2026"/>
    <s v="Billing Request- 00100755"/>
    <x v="9"/>
    <d v="2026-04-14T00:00:00"/>
    <d v="2026-05-09T00:00:00"/>
    <x v="2"/>
    <s v="a6JXt3893851"/>
    <x v="1"/>
    <s v="Mar"/>
    <s v="Finance validation process delay."/>
    <n v="25"/>
    <x v="3"/>
    <x v="10"/>
    <x v="3"/>
    <x v="1"/>
  </r>
  <r>
    <x v="0"/>
    <s v="NWSL Prime Video 2026"/>
    <s v="Billing Request- 00100756"/>
    <x v="3"/>
    <d v="2026-04-08T00:00:00"/>
    <d v="2026-05-04T00:00:00"/>
    <x v="2"/>
    <s v="a6Jat9207723"/>
    <x v="4"/>
    <s v="Jan"/>
    <s v="Finance validation process delay."/>
    <n v="26"/>
    <x v="3"/>
    <x v="10"/>
    <x v="1"/>
    <x v="1"/>
  </r>
  <r>
    <x v="0"/>
    <s v="NWSL Halftime Sponsorship 2025"/>
    <s v="Billing Request- 00100758"/>
    <x v="1"/>
    <d v="2025-10-03T00:00:00"/>
    <d v="2025-10-27T00:00:00"/>
    <x v="0"/>
    <s v="a6JXt9196731"/>
    <x v="5"/>
    <s v="Nov; Dec"/>
    <s v="Incorrect legal terms delayed PTS."/>
    <n v="24"/>
    <x v="3"/>
    <x v="5"/>
    <x v="1"/>
    <x v="0"/>
  </r>
  <r>
    <x v="0"/>
    <s v="NBA Playoffs Campaign 2026"/>
    <s v="Billing Request- 00100759"/>
    <x v="4"/>
    <d v="2026-02-23T00:00:00"/>
    <d v="2026-05-09T00:00:00"/>
    <x v="2"/>
    <s v="a6JHn3064357"/>
    <x v="4"/>
    <s v="Jul"/>
    <s v="Agency submitted updated invoice mapping."/>
    <n v="75"/>
    <x v="0"/>
    <x v="1"/>
    <x v="2"/>
    <x v="1"/>
  </r>
  <r>
    <x v="0"/>
    <s v="DirecTV NASCAR Campaign 2025"/>
    <s v="Billing Request- 00100761"/>
    <x v="3"/>
    <d v="2025-09-23T00:00:00"/>
    <d v="2026-01-17T00:00:00"/>
    <x v="2"/>
    <s v="a6JHn6250195"/>
    <x v="3"/>
    <s v="Nov; Dec"/>
    <s v=""/>
    <n v="116"/>
    <x v="0"/>
    <x v="14"/>
    <x v="0"/>
    <x v="0"/>
  </r>
  <r>
    <x v="0"/>
    <s v="WNBA Incremental Scatter 2026"/>
    <s v="Billing Request- 00100764"/>
    <x v="6"/>
    <d v="2026-02-06T00:00:00"/>
    <d v="2026-04-16T00:00:00"/>
    <x v="2"/>
    <s v="a6JXt4231751"/>
    <x v="5"/>
    <s v="Sep; Oct"/>
    <s v="Agency submitted updated invoice mapping."/>
    <n v="69"/>
    <x v="0"/>
    <x v="1"/>
    <x v="2"/>
    <x v="1"/>
  </r>
  <r>
    <x v="0"/>
    <s v="NWSL Prime Video 2025"/>
    <s v="Billing Request- 00100765"/>
    <x v="1"/>
    <d v="2025-03-20T00:00:00"/>
    <d v="2025-04-30T00:00:00"/>
    <x v="2"/>
    <s v="a6Jat5531949"/>
    <x v="5"/>
    <s v="Apr"/>
    <s v=""/>
    <n v="41"/>
    <x v="1"/>
    <x v="13"/>
    <x v="1"/>
    <x v="0"/>
  </r>
  <r>
    <x v="3"/>
    <s v="TNF Sponsorship 2025"/>
    <s v="Billing Request- 00100766"/>
    <x v="2"/>
    <d v="2025-06-18T00:00:00"/>
    <d v="2025-09-08T00:00:00"/>
    <x v="0"/>
    <s v="a6Jat4787716"/>
    <x v="6"/>
    <s v="Apr"/>
    <s v="Missing supporting documentation from vendor."/>
    <n v="82"/>
    <x v="0"/>
    <x v="9"/>
    <x v="4"/>
    <x v="0"/>
  </r>
  <r>
    <x v="0"/>
    <s v="Amazon TNF 2024 2026"/>
    <s v="Billing Request- 00100767"/>
    <x v="1"/>
    <d v="2026-02-26T00:00:00"/>
    <d v="2026-04-16T00:00:00"/>
    <x v="0"/>
    <s v="a6JHn9214437"/>
    <x v="5"/>
    <s v="Dec"/>
    <s v="Late media plan changes from client."/>
    <n v="49"/>
    <x v="1"/>
    <x v="1"/>
    <x v="4"/>
    <x v="1"/>
  </r>
  <r>
    <x v="0"/>
    <s v="NFL Prime Video 2025"/>
    <s v="Billing Request- 00100768"/>
    <x v="3"/>
    <d v="2025-11-08T00:00:00"/>
    <d v="2025-11-21T00:00:00"/>
    <x v="0"/>
    <s v="a6Jat6791040"/>
    <x v="5"/>
    <s v="Jan; Feb"/>
    <s v="Finance validation process delay."/>
    <n v="13"/>
    <x v="4"/>
    <x v="15"/>
    <x v="3"/>
    <x v="0"/>
  </r>
  <r>
    <x v="0"/>
    <s v="Retail Media Expansion 2025"/>
    <s v="Billing Request- 00100769"/>
    <x v="4"/>
    <d v="2025-05-13T00:00:00"/>
    <d v="2025-05-15T00:00:00"/>
    <x v="2"/>
    <s v="a6JXt5485722"/>
    <x v="2"/>
    <s v="Dec"/>
    <s v="Manual billing entry issue."/>
    <n v="2"/>
    <x v="2"/>
    <x v="4"/>
    <x v="3"/>
    <x v="0"/>
  </r>
  <r>
    <x v="0"/>
    <s v="NWSL Halftime Sponsorship 2025"/>
    <s v="Billing Request- 00100770"/>
    <x v="2"/>
    <d v="2025-08-03T00:00:00"/>
    <d v="2025-11-02T00:00:00"/>
    <x v="2"/>
    <s v="a6JHn9426008"/>
    <x v="3"/>
    <s v="Mar; Apr"/>
    <s v=""/>
    <n v="91"/>
    <x v="0"/>
    <x v="8"/>
    <x v="1"/>
    <x v="0"/>
  </r>
  <r>
    <x v="0"/>
    <s v="TNF Sponsorship 2026"/>
    <s v="Billing Request- 00100771"/>
    <x v="1"/>
    <d v="2026-02-28T00:00:00"/>
    <d v="2026-04-09T00:00:00"/>
    <x v="2"/>
    <s v="a6Jat2333367"/>
    <x v="2"/>
    <s v="Aug"/>
    <s v="Incorrect legal terms delayed PTS."/>
    <n v="40"/>
    <x v="1"/>
    <x v="1"/>
    <x v="4"/>
    <x v="1"/>
  </r>
  <r>
    <x v="0"/>
    <s v="Confluence Academy 2025"/>
    <s v="Billing Request- 00100773"/>
    <x v="9"/>
    <d v="2025-12-17T00:00:00"/>
    <d v="2026-03-14T00:00:00"/>
    <x v="2"/>
    <s v="a6JXt1122310"/>
    <x v="2"/>
    <s v="Nov; Dec"/>
    <s v="Invoice details mismatch with approved campaign."/>
    <n v="87"/>
    <x v="0"/>
    <x v="11"/>
    <x v="3"/>
    <x v="0"/>
  </r>
  <r>
    <x v="0"/>
    <s v="NWSL Prime Video 2026"/>
    <s v="Billing Request- 00100775"/>
    <x v="7"/>
    <d v="2026-04-01T00:00:00"/>
    <d v="2026-04-08T00:00:00"/>
    <x v="2"/>
    <s v="a6Jat6670004"/>
    <x v="1"/>
    <s v="Nov; Dec"/>
    <s v="Incorrect legal terms delayed PTS."/>
    <n v="7"/>
    <x v="2"/>
    <x v="10"/>
    <x v="1"/>
    <x v="1"/>
  </r>
  <r>
    <x v="0"/>
    <s v="Prime Sports NFL 2026"/>
    <s v="Billing Request- 00100777"/>
    <x v="5"/>
    <d v="2026-05-05T00:00:00"/>
    <d v="2026-05-07T00:00:00"/>
    <x v="2"/>
    <s v="a6Jat6867356"/>
    <x v="0"/>
    <s v="Dec"/>
    <s v="Client requested retroactive billing adjustments."/>
    <n v="2"/>
    <x v="2"/>
    <x v="16"/>
    <x v="3"/>
    <x v="1"/>
  </r>
  <r>
    <x v="0"/>
    <s v="NBA League Pass 2025"/>
    <s v="Billing Request- 00100779"/>
    <x v="5"/>
    <d v="2025-07-06T00:00:00"/>
    <d v="2025-08-30T00:00:00"/>
    <x v="2"/>
    <s v="a6JHn3715129"/>
    <x v="3"/>
    <s v="Mar; Apr"/>
    <s v="Client requested retroactive billing adjustments."/>
    <n v="55"/>
    <x v="1"/>
    <x v="12"/>
    <x v="2"/>
    <x v="0"/>
  </r>
  <r>
    <x v="0"/>
    <s v="NFL Prime Video 2025"/>
    <s v="Billing Request- 00100780"/>
    <x v="4"/>
    <d v="2025-12-30T00:00:00"/>
    <d v="2026-01-25T00:00:00"/>
    <x v="2"/>
    <s v="a6JHn6556840"/>
    <x v="4"/>
    <s v="Jul"/>
    <s v="Finance validation process delay."/>
    <n v="26"/>
    <x v="3"/>
    <x v="11"/>
    <x v="3"/>
    <x v="0"/>
  </r>
  <r>
    <x v="0"/>
    <s v="NWSL Prime Video 2026"/>
    <s v="Billing Request- 00100781"/>
    <x v="6"/>
    <d v="2026-03-10T00:00:00"/>
    <d v="2026-03-26T00:00:00"/>
    <x v="0"/>
    <s v="a6JXt3137987"/>
    <x v="1"/>
    <s v="Jan; Feb"/>
    <s v=""/>
    <n v="16"/>
    <x v="3"/>
    <x v="2"/>
    <x v="1"/>
    <x v="1"/>
  </r>
  <r>
    <x v="4"/>
    <s v="Amazon TNF 2024 2025"/>
    <s v="Billing Request- 00100782"/>
    <x v="4"/>
    <d v="2025-07-19T00:00:00"/>
    <d v="2025-08-05T00:00:00"/>
    <x v="2"/>
    <s v="a6JHn9388623"/>
    <x v="1"/>
    <s v="Aug"/>
    <s v="Client requested retroactive billing adjustments."/>
    <n v="17"/>
    <x v="3"/>
    <x v="12"/>
    <x v="4"/>
    <x v="0"/>
  </r>
  <r>
    <x v="0"/>
    <s v="Confluence Academy 2025"/>
    <s v="Billing Request- 00100783"/>
    <x v="9"/>
    <d v="2025-06-25T00:00:00"/>
    <d v="2025-08-19T00:00:00"/>
    <x v="2"/>
    <s v="a6JHn2386047"/>
    <x v="4"/>
    <s v="May"/>
    <s v=""/>
    <n v="55"/>
    <x v="1"/>
    <x v="9"/>
    <x v="3"/>
    <x v="0"/>
  </r>
  <r>
    <x v="0"/>
    <s v="Retail Media Expansion 2025"/>
    <s v="Billing Request- 00100785"/>
    <x v="7"/>
    <d v="2025-04-07T00:00:00"/>
    <d v="2025-07-26T00:00:00"/>
    <x v="2"/>
    <s v="a6Jat5594635"/>
    <x v="4"/>
    <s v="Mar; Apr"/>
    <s v="Client requested retroactive billing adjustments."/>
    <n v="110"/>
    <x v="0"/>
    <x v="3"/>
    <x v="3"/>
    <x v="0"/>
  </r>
  <r>
    <x v="0"/>
    <s v="Prime Sports NFL 2025"/>
    <s v="Billing Request- 00100786"/>
    <x v="7"/>
    <d v="2025-02-16T00:00:00"/>
    <d v="2025-06-07T00:00:00"/>
    <x v="2"/>
    <s v="a6JXt4882711"/>
    <x v="3"/>
    <s v="Mar; Apr"/>
    <s v="Finance validation process delay."/>
    <n v="111"/>
    <x v="0"/>
    <x v="6"/>
    <x v="3"/>
    <x v="0"/>
  </r>
  <r>
    <x v="0"/>
    <s v="Amazon TNF 2024 2025"/>
    <s v="Billing Request- 00100789"/>
    <x v="6"/>
    <d v="2025-06-05T00:00:00"/>
    <d v="2025-06-20T00:00:00"/>
    <x v="0"/>
    <s v="a6Jat6556810"/>
    <x v="2"/>
    <s v="Dec"/>
    <s v=""/>
    <n v="15"/>
    <x v="3"/>
    <x v="9"/>
    <x v="4"/>
    <x v="0"/>
  </r>
  <r>
    <x v="0"/>
    <s v="NASCAR P&amp;Q 2025"/>
    <s v="Billing Request- 00100790"/>
    <x v="0"/>
    <d v="2025-05-02T00:00:00"/>
    <d v="2025-07-25T00:00:00"/>
    <x v="2"/>
    <s v="a6Jat3189181"/>
    <x v="6"/>
    <s v="Feb"/>
    <s v="Manual billing entry issue."/>
    <n v="84"/>
    <x v="0"/>
    <x v="4"/>
    <x v="0"/>
    <x v="0"/>
  </r>
  <r>
    <x v="0"/>
    <s v="NFL Prime Video 2025"/>
    <s v="Billing Request- 00100793"/>
    <x v="4"/>
    <d v="2025-09-15T00:00:00"/>
    <d v="2025-12-26T00:00:00"/>
    <x v="0"/>
    <s v="a6Jat5859627"/>
    <x v="5"/>
    <s v="Feb"/>
    <s v="Manual billing entry issue."/>
    <n v="102"/>
    <x v="0"/>
    <x v="14"/>
    <x v="3"/>
    <x v="0"/>
  </r>
  <r>
    <x v="0"/>
    <s v="Confluence Academy 2025"/>
    <s v="Billing Request- 00100794"/>
    <x v="9"/>
    <d v="2025-07-23T00:00:00"/>
    <d v="2025-09-25T00:00:00"/>
    <x v="0"/>
    <s v="a6JHn7547256"/>
    <x v="5"/>
    <s v="Sep"/>
    <s v="Manual billing entry issue."/>
    <n v="64"/>
    <x v="0"/>
    <x v="12"/>
    <x v="3"/>
    <x v="0"/>
  </r>
  <r>
    <x v="0"/>
    <s v="NBA Playoffs Campaign 2026"/>
    <s v="Billing Request- 00100797"/>
    <x v="6"/>
    <d v="2026-01-14T00:00:00"/>
    <d v="2026-04-07T00:00:00"/>
    <x v="2"/>
    <s v="a6JHn7192640"/>
    <x v="6"/>
    <s v="Nov; Dec"/>
    <s v="Late media plan changes from client."/>
    <n v="83"/>
    <x v="0"/>
    <x v="7"/>
    <x v="2"/>
    <x v="1"/>
  </r>
  <r>
    <x v="0"/>
    <s v="Global Consumer Products 2025"/>
    <s v="Billing Request- 00100798"/>
    <x v="7"/>
    <d v="2025-07-29T00:00:00"/>
    <d v="2025-11-21T00:00:00"/>
    <x v="2"/>
    <s v="a6Jat6964017"/>
    <x v="2"/>
    <s v="Sep"/>
    <s v="Agency submitted updated invoice mapping."/>
    <n v="115"/>
    <x v="0"/>
    <x v="12"/>
    <x v="3"/>
    <x v="0"/>
  </r>
  <r>
    <x v="0"/>
    <s v="NBA Playoffs Campaign 2025"/>
    <s v="Billing Request- 00100801"/>
    <x v="4"/>
    <d v="2025-08-24T00:00:00"/>
    <d v="2025-09-17T00:00:00"/>
    <x v="1"/>
    <s v="a6Jat5731917"/>
    <x v="3"/>
    <s v="Jun"/>
    <s v="Agency submitted updated invoice mapping."/>
    <n v="24"/>
    <x v="3"/>
    <x v="8"/>
    <x v="2"/>
    <x v="0"/>
  </r>
  <r>
    <x v="0"/>
    <s v="WNBA Incremental Scatter 2026"/>
    <s v="Billing Request- 00100802"/>
    <x v="1"/>
    <d v="2026-02-18T00:00:00"/>
    <d v="2026-02-27T00:00:00"/>
    <x v="2"/>
    <s v="a6JXt7752901"/>
    <x v="2"/>
    <s v="Sep; Oct"/>
    <s v="Agency submitted updated invoice mapping."/>
    <n v="9"/>
    <x v="4"/>
    <x v="1"/>
    <x v="2"/>
    <x v="1"/>
  </r>
  <r>
    <x v="0"/>
    <s v="Prime Sports NFL 2025"/>
    <s v="Billing Request- 00100803"/>
    <x v="5"/>
    <d v="2025-01-07T00:00:00"/>
    <d v="2025-03-26T00:00:00"/>
    <x v="2"/>
    <s v="a6Jat1733836"/>
    <x v="4"/>
    <s v="Mar"/>
    <s v="Late media plan changes from client."/>
    <n v="78"/>
    <x v="0"/>
    <x v="0"/>
    <x v="3"/>
    <x v="0"/>
  </r>
  <r>
    <x v="0"/>
    <s v="NASCAR Apex 2025 2026"/>
    <s v="Billing Request- 00100805"/>
    <x v="3"/>
    <d v="2026-04-24T00:00:00"/>
    <d v="2026-05-08T00:00:00"/>
    <x v="2"/>
    <s v="a6JXt5487177"/>
    <x v="6"/>
    <s v="Jan"/>
    <s v="Client requested retroactive billing adjustments."/>
    <n v="14"/>
    <x v="4"/>
    <x v="10"/>
    <x v="0"/>
    <x v="1"/>
  </r>
  <r>
    <x v="0"/>
    <s v="NWSL Halftime Sponsorship 2025"/>
    <s v="Billing Request- 00100807"/>
    <x v="2"/>
    <d v="2025-04-26T00:00:00"/>
    <d v="2025-08-22T00:00:00"/>
    <x v="1"/>
    <s v="a6Jat2706851"/>
    <x v="3"/>
    <s v="Mar"/>
    <s v="Invoice details mismatch with approved campaign."/>
    <n v="118"/>
    <x v="0"/>
    <x v="3"/>
    <x v="1"/>
    <x v="0"/>
  </r>
  <r>
    <x v="2"/>
    <s v="NWSL Prime Video 2025"/>
    <s v="Billing Request- 00100809"/>
    <x v="4"/>
    <d v="2025-02-23T00:00:00"/>
    <d v="2025-03-30T00:00:00"/>
    <x v="0"/>
    <s v="a6JXt2281267"/>
    <x v="1"/>
    <s v="May"/>
    <s v="Agency submitted updated invoice mapping."/>
    <n v="35"/>
    <x v="1"/>
    <x v="6"/>
    <x v="1"/>
    <x v="0"/>
  </r>
  <r>
    <x v="0"/>
    <s v="NWSL Halftime Sponsorship 2025"/>
    <s v="Billing Request- 00100810"/>
    <x v="5"/>
    <d v="2025-07-19T00:00:00"/>
    <d v="2025-09-15T00:00:00"/>
    <x v="2"/>
    <s v="a6JXt5672054"/>
    <x v="6"/>
    <s v="Nov"/>
    <s v="Agency submitted updated invoice mapping."/>
    <n v="58"/>
    <x v="1"/>
    <x v="12"/>
    <x v="1"/>
    <x v="0"/>
  </r>
  <r>
    <x v="0"/>
    <s v="Streaming Bundle Initiative 2025"/>
    <s v="Billing Request- 00100812"/>
    <x v="0"/>
    <d v="2025-09-12T00:00:00"/>
    <d v="2025-11-20T00:00:00"/>
    <x v="0"/>
    <s v="a6JHn2402872"/>
    <x v="2"/>
    <s v="Mar; Apr"/>
    <s v=""/>
    <n v="69"/>
    <x v="0"/>
    <x v="14"/>
    <x v="3"/>
    <x v="0"/>
  </r>
  <r>
    <x v="0"/>
    <s v="WNBA Incremental Scatter 2025"/>
    <s v="Billing Request- 00100813"/>
    <x v="3"/>
    <d v="2025-12-22T00:00:00"/>
    <d v="2026-04-05T00:00:00"/>
    <x v="2"/>
    <s v="a6Jat7080036"/>
    <x v="0"/>
    <s v="May"/>
    <s v="Incorrect legal terms delayed PTS."/>
    <n v="104"/>
    <x v="0"/>
    <x v="11"/>
    <x v="2"/>
    <x v="0"/>
  </r>
  <r>
    <x v="0"/>
    <s v="Amazon NBA Live Sports 2025"/>
    <s v="Billing Request- 00100815"/>
    <x v="4"/>
    <d v="2025-03-02T00:00:00"/>
    <d v="2025-05-31T00:00:00"/>
    <x v="0"/>
    <s v="a6JHn7235826"/>
    <x v="2"/>
    <s v="Apr"/>
    <s v="Incorrect legal terms delayed PTS."/>
    <n v="90"/>
    <x v="0"/>
    <x v="13"/>
    <x v="2"/>
    <x v="0"/>
  </r>
  <r>
    <x v="0"/>
    <s v="WNBA Incremental Scatter 2025"/>
    <s v="Billing Request- 00100816"/>
    <x v="4"/>
    <d v="2025-11-01T00:00:00"/>
    <d v="2026-02-21T00:00:00"/>
    <x v="2"/>
    <s v="a6Jat2292941"/>
    <x v="5"/>
    <s v="Mar; Apr"/>
    <s v="Agency submitted updated invoice mapping."/>
    <n v="112"/>
    <x v="0"/>
    <x v="15"/>
    <x v="2"/>
    <x v="0"/>
  </r>
  <r>
    <x v="0"/>
    <s v="Global Consumer Products 2026"/>
    <s v="Billing Request- 00100817"/>
    <x v="2"/>
    <d v="2026-05-01T00:00:00"/>
    <d v="2026-05-08T00:00:00"/>
    <x v="0"/>
    <s v="a6JHn1221617"/>
    <x v="6"/>
    <s v="May"/>
    <s v="Client requested retroactive billing adjustments."/>
    <n v="7"/>
    <x v="2"/>
    <x v="16"/>
    <x v="3"/>
    <x v="1"/>
  </r>
  <r>
    <x v="0"/>
    <s v="NBA Playoffs Campaign 2026"/>
    <s v="Billing Request- 00100818"/>
    <x v="3"/>
    <d v="2026-01-09T00:00:00"/>
    <d v="2026-03-28T00:00:00"/>
    <x v="0"/>
    <s v="a6JXt8621830"/>
    <x v="2"/>
    <s v="Sep"/>
    <s v=""/>
    <n v="78"/>
    <x v="0"/>
    <x v="7"/>
    <x v="2"/>
    <x v="1"/>
  </r>
  <r>
    <x v="1"/>
    <s v="NBA League Pass 2025"/>
    <s v="Billing Request- 00100819"/>
    <x v="9"/>
    <d v="2025-04-27T00:00:00"/>
    <d v="2025-06-21T00:00:00"/>
    <x v="2"/>
    <s v="a6Jat4554492"/>
    <x v="5"/>
    <s v="Feb"/>
    <s v="Manual billing entry issue."/>
    <n v="55"/>
    <x v="1"/>
    <x v="3"/>
    <x v="2"/>
    <x v="0"/>
  </r>
  <r>
    <x v="0"/>
    <s v="Prime Sports NFL 2025"/>
    <s v="Billing Request- 00100820"/>
    <x v="5"/>
    <d v="2025-10-14T00:00:00"/>
    <d v="2025-12-31T00:00:00"/>
    <x v="0"/>
    <s v="a6JHn7383228"/>
    <x v="6"/>
    <s v="Dec"/>
    <s v="Missing supporting documentation from vendor."/>
    <n v="78"/>
    <x v="0"/>
    <x v="5"/>
    <x v="3"/>
    <x v="0"/>
  </r>
  <r>
    <x v="0"/>
    <s v="NWSL Halftime Sponsorship 2026"/>
    <s v="Billing Request- 00100824"/>
    <x v="8"/>
    <d v="2026-01-25T00:00:00"/>
    <d v="2026-03-09T00:00:00"/>
    <x v="0"/>
    <s v="a6Jat7410771"/>
    <x v="5"/>
    <s v="Feb"/>
    <s v="Late media plan changes from client."/>
    <n v="43"/>
    <x v="1"/>
    <x v="7"/>
    <x v="1"/>
    <x v="1"/>
  </r>
  <r>
    <x v="0"/>
    <s v="NASCAR Apex 2025 2026"/>
    <s v="Billing Request- 00100826"/>
    <x v="9"/>
    <d v="2026-03-29T00:00:00"/>
    <d v="2026-05-08T00:00:00"/>
    <x v="0"/>
    <s v="a6JHn1671305"/>
    <x v="4"/>
    <s v="Jul"/>
    <s v="Incorrect legal terms delayed PTS."/>
    <n v="40"/>
    <x v="1"/>
    <x v="2"/>
    <x v="0"/>
    <x v="1"/>
  </r>
  <r>
    <x v="0"/>
    <s v="NBA League Pass 2026"/>
    <s v="Billing Request- 00100827"/>
    <x v="1"/>
    <d v="2026-05-08T00:00:00"/>
    <d v="2026-05-09T00:00:00"/>
    <x v="1"/>
    <s v="a6Jat9370358"/>
    <x v="0"/>
    <s v="Nov"/>
    <s v="Agency submitted updated invoice mapping."/>
    <n v="1"/>
    <x v="2"/>
    <x v="16"/>
    <x v="2"/>
    <x v="1"/>
  </r>
  <r>
    <x v="0"/>
    <s v="DirecTV NASCAR Campaign 2026"/>
    <s v="Billing Request- 00100828"/>
    <x v="2"/>
    <d v="2026-02-11T00:00:00"/>
    <d v="2026-02-20T00:00:00"/>
    <x v="2"/>
    <s v="a6Jat8729953"/>
    <x v="0"/>
    <s v="Sep"/>
    <s v="Finance validation process delay."/>
    <n v="9"/>
    <x v="4"/>
    <x v="1"/>
    <x v="0"/>
    <x v="1"/>
  </r>
  <r>
    <x v="0"/>
    <s v="Streaming Bundle Initiative 2025"/>
    <s v="Billing Request- 00100829"/>
    <x v="0"/>
    <d v="2025-03-13T00:00:00"/>
    <d v="2025-03-29T00:00:00"/>
    <x v="0"/>
    <s v="a6JHn7862438"/>
    <x v="2"/>
    <s v="May"/>
    <s v="Finance validation process delay."/>
    <n v="16"/>
    <x v="3"/>
    <x v="13"/>
    <x v="3"/>
    <x v="0"/>
  </r>
  <r>
    <x v="0"/>
    <s v="NASCAR P&amp;Q 2025"/>
    <s v="Billing Request- 00100830"/>
    <x v="0"/>
    <d v="2025-11-16T00:00:00"/>
    <d v="2025-12-27T00:00:00"/>
    <x v="2"/>
    <s v="a6JHn1715977"/>
    <x v="2"/>
    <s v="Feb"/>
    <s v="Manual billing entry issue."/>
    <n v="41"/>
    <x v="1"/>
    <x v="15"/>
    <x v="0"/>
    <x v="0"/>
  </r>
  <r>
    <x v="0"/>
    <s v="WNBA Incremental Scatter 2025"/>
    <s v="Billing Request- 00100831"/>
    <x v="7"/>
    <d v="2025-10-15T00:00:00"/>
    <d v="2025-10-17T00:00:00"/>
    <x v="2"/>
    <s v="a6JHn2224379"/>
    <x v="0"/>
    <s v="May; Jun"/>
    <s v="Incorrect legal terms delayed PTS."/>
    <n v="2"/>
    <x v="2"/>
    <x v="5"/>
    <x v="2"/>
    <x v="0"/>
  </r>
  <r>
    <x v="0"/>
    <s v="Streaming Bundle Initiative 2025"/>
    <s v="Billing Request- 00100832"/>
    <x v="9"/>
    <d v="2025-08-28T00:00:00"/>
    <d v="2025-11-19T00:00:00"/>
    <x v="2"/>
    <s v="a6Jat7659629"/>
    <x v="4"/>
    <s v="Jan; Feb"/>
    <s v="Invoice details mismatch with approved campaign."/>
    <n v="83"/>
    <x v="0"/>
    <x v="8"/>
    <x v="3"/>
    <x v="0"/>
  </r>
  <r>
    <x v="0"/>
    <s v="Retail Media Expansion 2026"/>
    <s v="Billing Request- 00100836"/>
    <x v="9"/>
    <d v="2026-04-26T00:00:00"/>
    <d v="2026-05-06T00:00:00"/>
    <x v="2"/>
    <s v="a6Jat2550906"/>
    <x v="3"/>
    <s v="Oct"/>
    <s v="Agency submitted updated invoice mapping."/>
    <n v="10"/>
    <x v="4"/>
    <x v="10"/>
    <x v="3"/>
    <x v="1"/>
  </r>
  <r>
    <x v="0"/>
    <s v="NBA League Pass 2025"/>
    <s v="Billing Request- 00100838"/>
    <x v="4"/>
    <d v="2025-10-24T00:00:00"/>
    <d v="2026-01-11T00:00:00"/>
    <x v="0"/>
    <s v="a6JXt6310245"/>
    <x v="4"/>
    <s v="May; Jun"/>
    <s v="Agency submitted updated invoice mapping."/>
    <n v="79"/>
    <x v="0"/>
    <x v="5"/>
    <x v="2"/>
    <x v="0"/>
  </r>
  <r>
    <x v="0"/>
    <s v="NWSL Prime Video 2025"/>
    <s v="Billing Request- 00100839"/>
    <x v="8"/>
    <d v="2025-06-12T00:00:00"/>
    <d v="2025-06-27T00:00:00"/>
    <x v="2"/>
    <s v="a6JHn3109184"/>
    <x v="2"/>
    <s v="Apr"/>
    <s v="Client requested retroactive billing adjustments."/>
    <n v="15"/>
    <x v="3"/>
    <x v="9"/>
    <x v="1"/>
    <x v="0"/>
  </r>
  <r>
    <x v="0"/>
    <s v="Amazon NBA Live Sports 2025"/>
    <s v="Billing Request- 00100842"/>
    <x v="3"/>
    <d v="2025-06-21T00:00:00"/>
    <d v="2025-07-06T00:00:00"/>
    <x v="2"/>
    <s v="a6JXt3728933"/>
    <x v="0"/>
    <s v="Jan; Feb"/>
    <s v="Late media plan changes from client."/>
    <n v="15"/>
    <x v="3"/>
    <x v="9"/>
    <x v="2"/>
    <x v="0"/>
  </r>
  <r>
    <x v="1"/>
    <s v="Confluence Academy 2026"/>
    <s v="Billing Request- 00100843"/>
    <x v="4"/>
    <d v="2026-04-22T00:00:00"/>
    <d v="2026-05-07T00:00:00"/>
    <x v="0"/>
    <s v="a6Jat2503875"/>
    <x v="5"/>
    <s v="Mar; Apr"/>
    <s v="Incorrect legal terms delayed PTS."/>
    <n v="15"/>
    <x v="3"/>
    <x v="10"/>
    <x v="3"/>
    <x v="1"/>
  </r>
  <r>
    <x v="0"/>
    <s v="Confluence Academy 2025"/>
    <s v="Billing Request- 00100844"/>
    <x v="9"/>
    <d v="2025-11-16T00:00:00"/>
    <d v="2026-03-15T00:00:00"/>
    <x v="2"/>
    <s v="a6Jat5863789"/>
    <x v="4"/>
    <s v="Aug"/>
    <s v="Finance validation process delay."/>
    <n v="119"/>
    <x v="0"/>
    <x v="15"/>
    <x v="3"/>
    <x v="0"/>
  </r>
  <r>
    <x v="0"/>
    <s v="NWSL Halftime Sponsorship 2025"/>
    <s v="Billing Request- 00100845"/>
    <x v="9"/>
    <d v="2025-02-28T00:00:00"/>
    <d v="2025-03-26T00:00:00"/>
    <x v="0"/>
    <s v="a6JHn7927895"/>
    <x v="6"/>
    <s v="Dec"/>
    <s v="Manual billing entry issue."/>
    <n v="26"/>
    <x v="3"/>
    <x v="6"/>
    <x v="1"/>
    <x v="0"/>
  </r>
  <r>
    <x v="4"/>
    <s v="NASCAR Apex 2025 2025"/>
    <s v="Billing Request- 00100846"/>
    <x v="4"/>
    <d v="2025-05-18T00:00:00"/>
    <d v="2025-09-08T00:00:00"/>
    <x v="0"/>
    <s v="a6JHn5052611"/>
    <x v="0"/>
    <s v="Feb"/>
    <s v="Client requested retroactive billing adjustments."/>
    <n v="113"/>
    <x v="0"/>
    <x v="4"/>
    <x v="0"/>
    <x v="0"/>
  </r>
  <r>
    <x v="0"/>
    <s v="NWSL Halftime Sponsorship 2026"/>
    <s v="Billing Request- 00100848"/>
    <x v="7"/>
    <d v="2026-04-20T00:00:00"/>
    <d v="2026-05-07T00:00:00"/>
    <x v="2"/>
    <s v="a6Jat8338380"/>
    <x v="6"/>
    <s v="May"/>
    <s v=""/>
    <n v="17"/>
    <x v="3"/>
    <x v="10"/>
    <x v="1"/>
    <x v="1"/>
  </r>
  <r>
    <x v="0"/>
    <s v="Amazon TNF 2024 2025"/>
    <s v="Billing Request- 00100852"/>
    <x v="2"/>
    <d v="2025-11-23T00:00:00"/>
    <d v="2026-02-06T00:00:00"/>
    <x v="2"/>
    <s v="a6Jat3379602"/>
    <x v="3"/>
    <s v="Jun"/>
    <s v="Incorrect legal terms delayed PTS."/>
    <n v="75"/>
    <x v="0"/>
    <x v="15"/>
    <x v="4"/>
    <x v="0"/>
  </r>
  <r>
    <x v="3"/>
    <s v="DirecTV NASCAR Campaign 2025"/>
    <s v="Billing Request- 00100854"/>
    <x v="4"/>
    <d v="2025-07-12T00:00:00"/>
    <d v="2025-11-03T00:00:00"/>
    <x v="0"/>
    <s v="a6Jat6012276"/>
    <x v="4"/>
    <s v="Feb"/>
    <s v="Incorrect legal terms delayed PTS."/>
    <n v="114"/>
    <x v="0"/>
    <x v="12"/>
    <x v="0"/>
    <x v="0"/>
  </r>
  <r>
    <x v="0"/>
    <s v="Confluence Academy 2026"/>
    <s v="Billing Request- 00100855"/>
    <x v="0"/>
    <d v="2026-03-30T00:00:00"/>
    <d v="2026-05-05T00:00:00"/>
    <x v="0"/>
    <s v="a6Jat4235406"/>
    <x v="6"/>
    <s v="Nov; Dec"/>
    <s v="Client requested retroactive billing adjustments."/>
    <n v="36"/>
    <x v="1"/>
    <x v="2"/>
    <x v="3"/>
    <x v="1"/>
  </r>
  <r>
    <x v="3"/>
    <s v="NASCAR P&amp;Q 2025"/>
    <s v="Billing Request- 00100856"/>
    <x v="1"/>
    <d v="2025-03-20T00:00:00"/>
    <d v="2025-04-17T00:00:00"/>
    <x v="2"/>
    <s v="a6Jat4686979"/>
    <x v="2"/>
    <s v="May"/>
    <s v="Late media plan changes from client."/>
    <n v="28"/>
    <x v="3"/>
    <x v="13"/>
    <x v="0"/>
    <x v="0"/>
  </r>
  <r>
    <x v="4"/>
    <s v="Global Consumer Products 2025"/>
    <s v="Billing Request- 00100859"/>
    <x v="9"/>
    <d v="2025-08-17T00:00:00"/>
    <d v="2025-10-11T00:00:00"/>
    <x v="0"/>
    <s v="a6JXt7426442"/>
    <x v="4"/>
    <s v="Dec"/>
    <s v="Invoice details mismatch with approved campaign."/>
    <n v="55"/>
    <x v="1"/>
    <x v="8"/>
    <x v="3"/>
    <x v="0"/>
  </r>
  <r>
    <x v="1"/>
    <s v="WNBA Incremental Scatter 2026"/>
    <s v="Billing Request- 00100860"/>
    <x v="0"/>
    <d v="2026-01-17T00:00:00"/>
    <d v="2026-03-16T00:00:00"/>
    <x v="2"/>
    <s v="a6JHn5923669"/>
    <x v="1"/>
    <s v="Sep; Oct"/>
    <s v="Invoice details mismatch with approved campaign."/>
    <n v="58"/>
    <x v="1"/>
    <x v="7"/>
    <x v="2"/>
    <x v="1"/>
  </r>
  <r>
    <x v="4"/>
    <s v="NASCAR Apex 2025 2025"/>
    <s v="Billing Request- 00100861"/>
    <x v="6"/>
    <d v="2025-02-28T00:00:00"/>
    <d v="2025-03-24T00:00:00"/>
    <x v="2"/>
    <s v="a6Jat4610191"/>
    <x v="3"/>
    <s v="May"/>
    <s v="Invoice details mismatch with approved campaign."/>
    <n v="24"/>
    <x v="3"/>
    <x v="6"/>
    <x v="0"/>
    <x v="0"/>
  </r>
  <r>
    <x v="0"/>
    <s v="TNF Sponsorship 2025"/>
    <s v="Billing Request- 00100863"/>
    <x v="0"/>
    <d v="2025-09-27T00:00:00"/>
    <d v="2025-10-25T00:00:00"/>
    <x v="1"/>
    <s v="a6JXt2255341"/>
    <x v="2"/>
    <s v="Mar; Apr"/>
    <s v="Missing supporting documentation from vendor."/>
    <n v="28"/>
    <x v="3"/>
    <x v="14"/>
    <x v="4"/>
    <x v="0"/>
  </r>
  <r>
    <x v="4"/>
    <s v="WNBA Incremental Scatter 2025"/>
    <s v="Billing Request- 00100864"/>
    <x v="1"/>
    <d v="2025-06-13T00:00:00"/>
    <d v="2025-07-09T00:00:00"/>
    <x v="2"/>
    <s v="a6JHn8067188"/>
    <x v="6"/>
    <s v="May; Jun"/>
    <s v="Agency submitted updated invoice mapping."/>
    <n v="26"/>
    <x v="3"/>
    <x v="9"/>
    <x v="2"/>
    <x v="0"/>
  </r>
  <r>
    <x v="0"/>
    <s v="WNBA Incremental Scatter 2025"/>
    <s v="Billing Request- 00100865"/>
    <x v="8"/>
    <d v="2025-10-30T00:00:00"/>
    <d v="2025-12-19T00:00:00"/>
    <x v="0"/>
    <s v="a6JXt1077963"/>
    <x v="3"/>
    <s v="May"/>
    <s v="Missing supporting documentation from vendor."/>
    <n v="50"/>
    <x v="1"/>
    <x v="5"/>
    <x v="2"/>
    <x v="0"/>
  </r>
  <r>
    <x v="0"/>
    <s v="TNF Sponsorship 2025"/>
    <s v="Billing Request- 00100867"/>
    <x v="8"/>
    <d v="2025-06-27T00:00:00"/>
    <d v="2025-08-18T00:00:00"/>
    <x v="2"/>
    <s v="a6JHn8626616"/>
    <x v="1"/>
    <s v="Apr"/>
    <s v="Invoice details mismatch with approved campaign."/>
    <n v="52"/>
    <x v="1"/>
    <x v="9"/>
    <x v="4"/>
    <x v="0"/>
  </r>
  <r>
    <x v="4"/>
    <s v="WNBA Incremental Scatter 2026"/>
    <s v="Billing Request- 00100868"/>
    <x v="7"/>
    <d v="2026-01-27T00:00:00"/>
    <d v="2026-01-31T00:00:00"/>
    <x v="2"/>
    <s v="a6JHn8309538"/>
    <x v="4"/>
    <s v="Mar"/>
    <s v="Manual billing entry issue."/>
    <n v="4"/>
    <x v="2"/>
    <x v="7"/>
    <x v="2"/>
    <x v="1"/>
  </r>
  <r>
    <x v="2"/>
    <s v="Confluence Academy 2025"/>
    <s v="Billing Request- 00100869"/>
    <x v="1"/>
    <d v="2025-07-08T00:00:00"/>
    <d v="2025-10-21T00:00:00"/>
    <x v="0"/>
    <s v="a6JHn1722698"/>
    <x v="6"/>
    <s v="Oct"/>
    <s v="Incorrect legal terms delayed PTS."/>
    <n v="105"/>
    <x v="0"/>
    <x v="12"/>
    <x v="3"/>
    <x v="0"/>
  </r>
  <r>
    <x v="0"/>
    <s v="NFL Prime Video 2026"/>
    <s v="Billing Request- 00100871"/>
    <x v="8"/>
    <d v="2026-04-16T00:00:00"/>
    <d v="2026-05-06T00:00:00"/>
    <x v="0"/>
    <s v="a6JHn6400776"/>
    <x v="4"/>
    <s v="Mar"/>
    <s v="Late media plan changes from client."/>
    <n v="20"/>
    <x v="3"/>
    <x v="10"/>
    <x v="3"/>
    <x v="1"/>
  </r>
  <r>
    <x v="0"/>
    <s v="Retail Media Expansion 2026"/>
    <s v="Billing Request- 00100872"/>
    <x v="1"/>
    <d v="2026-01-22T00:00:00"/>
    <d v="2026-03-09T00:00:00"/>
    <x v="0"/>
    <s v="a6Jat2308903"/>
    <x v="0"/>
    <s v="Feb"/>
    <s v="Manual billing entry issue."/>
    <n v="46"/>
    <x v="1"/>
    <x v="7"/>
    <x v="3"/>
    <x v="1"/>
  </r>
  <r>
    <x v="3"/>
    <s v="Confluence Academy 2025"/>
    <s v="Billing Request- 00100874"/>
    <x v="8"/>
    <d v="2025-12-02T00:00:00"/>
    <d v="2025-12-22T00:00:00"/>
    <x v="2"/>
    <s v="a6JHn7468887"/>
    <x v="1"/>
    <s v="Sep; Oct"/>
    <s v="Manual billing entry issue."/>
    <n v="20"/>
    <x v="3"/>
    <x v="11"/>
    <x v="3"/>
    <x v="0"/>
  </r>
  <r>
    <x v="0"/>
    <s v="NASCAR Apex 2025 2026"/>
    <s v="Billing Request- 00100875"/>
    <x v="5"/>
    <d v="2026-02-18T00:00:00"/>
    <d v="2026-02-27T00:00:00"/>
    <x v="2"/>
    <s v="a6JXt2712355"/>
    <x v="0"/>
    <s v="Apr"/>
    <s v="Incorrect legal terms delayed PTS."/>
    <n v="9"/>
    <x v="4"/>
    <x v="1"/>
    <x v="0"/>
    <x v="1"/>
  </r>
  <r>
    <x v="0"/>
    <s v="Streaming Bundle Initiative 2025"/>
    <s v="Billing Request- 00100877"/>
    <x v="1"/>
    <d v="2025-03-19T00:00:00"/>
    <d v="2025-05-09T00:00:00"/>
    <x v="2"/>
    <s v="a6JHn7203890"/>
    <x v="6"/>
    <s v="Jan; Feb"/>
    <s v="Missing supporting documentation from vendor."/>
    <n v="51"/>
    <x v="1"/>
    <x v="13"/>
    <x v="3"/>
    <x v="0"/>
  </r>
  <r>
    <x v="0"/>
    <s v="NASCAR Apex 2025 2025"/>
    <s v="Billing Request- 00100880"/>
    <x v="0"/>
    <d v="2025-04-23T00:00:00"/>
    <d v="2025-07-26T00:00:00"/>
    <x v="0"/>
    <s v="a6JHn5831713"/>
    <x v="3"/>
    <s v="Jan"/>
    <s v="Incorrect legal terms delayed PTS."/>
    <n v="94"/>
    <x v="0"/>
    <x v="3"/>
    <x v="0"/>
    <x v="0"/>
  </r>
  <r>
    <x v="0"/>
    <s v="NWSL Prime Video 2026"/>
    <s v="Billing Request- 00100882"/>
    <x v="5"/>
    <d v="2026-02-06T00:00:00"/>
    <d v="2026-02-08T00:00:00"/>
    <x v="2"/>
    <s v="a6JHn2291460"/>
    <x v="2"/>
    <s v="Jan"/>
    <s v="Invoice details mismatch with approved campaign."/>
    <n v="2"/>
    <x v="2"/>
    <x v="1"/>
    <x v="1"/>
    <x v="1"/>
  </r>
  <r>
    <x v="0"/>
    <s v="Amazon NBA Live Sports 2026"/>
    <s v="Billing Request- 00100883"/>
    <x v="7"/>
    <d v="2026-01-01T00:00:00"/>
    <d v="2026-03-05T00:00:00"/>
    <x v="0"/>
    <s v="a6JXt5876441"/>
    <x v="5"/>
    <s v="Sep; Oct"/>
    <s v="Agency submitted updated invoice mapping."/>
    <n v="63"/>
    <x v="0"/>
    <x v="7"/>
    <x v="2"/>
    <x v="1"/>
  </r>
  <r>
    <x v="0"/>
    <s v="DirecTV NASCAR Campaign 2026"/>
    <s v="Billing Request- 00100884"/>
    <x v="8"/>
    <d v="2026-01-25T00:00:00"/>
    <d v="2026-02-07T00:00:00"/>
    <x v="2"/>
    <s v="a6JHn5317440"/>
    <x v="3"/>
    <s v="Dec"/>
    <s v="Finance validation process delay."/>
    <n v="13"/>
    <x v="4"/>
    <x v="7"/>
    <x v="0"/>
    <x v="1"/>
  </r>
  <r>
    <x v="0"/>
    <s v="DirecTV NASCAR Campaign 2026"/>
    <s v="Billing Request- 00100887"/>
    <x v="5"/>
    <d v="2026-04-07T00:00:00"/>
    <d v="2026-05-09T00:00:00"/>
    <x v="0"/>
    <s v="a6JHn9840030"/>
    <x v="3"/>
    <s v="Dec"/>
    <s v="Invoice details mismatch with approved campaign."/>
    <n v="32"/>
    <x v="1"/>
    <x v="10"/>
    <x v="0"/>
    <x v="1"/>
  </r>
  <r>
    <x v="0"/>
    <s v="NASCAR P&amp;Q 2025"/>
    <s v="Billing Request- 00100888"/>
    <x v="9"/>
    <d v="2025-08-02T00:00:00"/>
    <d v="2025-09-07T00:00:00"/>
    <x v="2"/>
    <s v="a6JHn3062947"/>
    <x v="1"/>
    <s v="May; Jun"/>
    <s v="Invoice details mismatch with approved campaign."/>
    <n v="36"/>
    <x v="1"/>
    <x v="8"/>
    <x v="0"/>
    <x v="0"/>
  </r>
  <r>
    <x v="0"/>
    <s v="NFL Prime Video 2026"/>
    <s v="Billing Request- 00100890"/>
    <x v="2"/>
    <d v="2026-01-04T00:00:00"/>
    <d v="2026-03-04T00:00:00"/>
    <x v="2"/>
    <s v="a6Jat9193429"/>
    <x v="6"/>
    <s v="Mar; Apr"/>
    <s v="Invoice details mismatch with approved campaign."/>
    <n v="59"/>
    <x v="1"/>
    <x v="7"/>
    <x v="3"/>
    <x v="1"/>
  </r>
  <r>
    <x v="0"/>
    <s v="NASCAR P&amp;Q 2025"/>
    <s v="Billing Request- 00100891"/>
    <x v="1"/>
    <d v="2025-01-01T00:00:00"/>
    <d v="2025-01-08T00:00:00"/>
    <x v="2"/>
    <s v="a6JXt3601089"/>
    <x v="2"/>
    <s v="Sep"/>
    <s v="Agency submitted updated invoice mapping."/>
    <n v="7"/>
    <x v="2"/>
    <x v="0"/>
    <x v="0"/>
    <x v="0"/>
  </r>
  <r>
    <x v="0"/>
    <s v="Confluence Academy 2026"/>
    <s v="Billing Request- 00100892"/>
    <x v="9"/>
    <d v="2026-02-20T00:00:00"/>
    <d v="2026-04-17T00:00:00"/>
    <x v="2"/>
    <s v="a6JHn5172971"/>
    <x v="0"/>
    <s v="Jan; Feb"/>
    <s v="Incorrect legal terms delayed PTS."/>
    <n v="56"/>
    <x v="1"/>
    <x v="1"/>
    <x v="3"/>
    <x v="1"/>
  </r>
  <r>
    <x v="0"/>
    <s v="Amazon NBA Live Sports 2026"/>
    <s v="Billing Request- 00100893"/>
    <x v="7"/>
    <d v="2026-03-19T00:00:00"/>
    <d v="2026-05-07T00:00:00"/>
    <x v="2"/>
    <s v="a6JXt3334991"/>
    <x v="3"/>
    <s v="May"/>
    <s v="Missing supporting documentation from vendor."/>
    <n v="49"/>
    <x v="1"/>
    <x v="2"/>
    <x v="2"/>
    <x v="1"/>
  </r>
  <r>
    <x v="0"/>
    <s v="TNF Sponsorship 2025"/>
    <s v="Billing Request- 00100894"/>
    <x v="9"/>
    <d v="2025-06-04T00:00:00"/>
    <d v="2025-07-14T00:00:00"/>
    <x v="0"/>
    <s v="a6JXt4076474"/>
    <x v="1"/>
    <s v="Mar; Apr"/>
    <s v="Incorrect legal terms delayed PTS."/>
    <n v="40"/>
    <x v="1"/>
    <x v="9"/>
    <x v="4"/>
    <x v="0"/>
  </r>
  <r>
    <x v="0"/>
    <s v="NWSL Halftime Sponsorship 2025"/>
    <s v="Billing Request- 00100896"/>
    <x v="0"/>
    <d v="2025-10-14T00:00:00"/>
    <d v="2025-10-18T00:00:00"/>
    <x v="2"/>
    <s v="a6JHn5070918"/>
    <x v="5"/>
    <s v="Dec"/>
    <s v="Agency submitted updated invoice mapping."/>
    <n v="4"/>
    <x v="2"/>
    <x v="5"/>
    <x v="1"/>
    <x v="0"/>
  </r>
  <r>
    <x v="0"/>
    <s v="NASCAR P&amp;Q 2025"/>
    <s v="Billing Request- 00100897"/>
    <x v="8"/>
    <d v="2025-10-17T00:00:00"/>
    <d v="2026-02-07T00:00:00"/>
    <x v="2"/>
    <s v="a6JHn1099872"/>
    <x v="1"/>
    <s v="Sep; Oct"/>
    <s v="Finance validation process delay."/>
    <n v="113"/>
    <x v="0"/>
    <x v="5"/>
    <x v="0"/>
    <x v="0"/>
  </r>
  <r>
    <x v="0"/>
    <s v="DirecTV NASCAR Campaign 2026"/>
    <s v="Billing Request- 00100898"/>
    <x v="6"/>
    <d v="2026-01-22T00:00:00"/>
    <d v="2026-01-30T00:00:00"/>
    <x v="2"/>
    <s v="a6JHn9077690"/>
    <x v="1"/>
    <s v="Feb"/>
    <s v="Incorrect legal terms delayed PTS."/>
    <n v="8"/>
    <x v="4"/>
    <x v="7"/>
    <x v="0"/>
    <x v="1"/>
  </r>
  <r>
    <x v="0"/>
    <s v="NFL Prime Video 2025"/>
    <s v="Billing Request- 00100899"/>
    <x v="7"/>
    <d v="2025-12-12T00:00:00"/>
    <d v="2026-02-16T00:00:00"/>
    <x v="2"/>
    <s v="a6JHn3288458"/>
    <x v="2"/>
    <s v="May"/>
    <s v="Late media plan changes from client."/>
    <n v="66"/>
    <x v="0"/>
    <x v="11"/>
    <x v="3"/>
    <x v="0"/>
  </r>
  <r>
    <x v="0"/>
    <s v="NWSL Halftime Sponsorship 2025"/>
    <s v="Billing Request- 00100900"/>
    <x v="3"/>
    <d v="2025-01-04T00:00:00"/>
    <d v="2025-04-18T00:00:00"/>
    <x v="2"/>
    <s v="a6JXt3030620"/>
    <x v="6"/>
    <s v="Aug"/>
    <s v="Manual billing entry issue."/>
    <n v="104"/>
    <x v="0"/>
    <x v="0"/>
    <x v="1"/>
    <x v="0"/>
  </r>
  <r>
    <x v="0"/>
    <s v="TNF Sponsorship 2025"/>
    <s v="Billing Request- 00100904"/>
    <x v="4"/>
    <d v="2025-08-06T00:00:00"/>
    <d v="2025-08-25T00:00:00"/>
    <x v="2"/>
    <s v="a6Jat6079496"/>
    <x v="2"/>
    <s v="May; Jun"/>
    <s v="Client requested retroactive billing adjustments."/>
    <n v="19"/>
    <x v="3"/>
    <x v="8"/>
    <x v="4"/>
    <x v="0"/>
  </r>
  <r>
    <x v="0"/>
    <s v="NWSL Prime Video 2026"/>
    <s v="Billing Request- 00100905"/>
    <x v="3"/>
    <d v="2026-04-01T00:00:00"/>
    <d v="2026-04-19T00:00:00"/>
    <x v="1"/>
    <s v="a6JHn9399318"/>
    <x v="4"/>
    <s v="Dec"/>
    <s v=""/>
    <n v="18"/>
    <x v="3"/>
    <x v="10"/>
    <x v="1"/>
    <x v="1"/>
  </r>
  <r>
    <x v="0"/>
    <s v="NBA League Pass 2025"/>
    <s v="Billing Request- 00100906"/>
    <x v="2"/>
    <d v="2025-02-02T00:00:00"/>
    <d v="2025-02-25T00:00:00"/>
    <x v="2"/>
    <s v="a6JHn3349469"/>
    <x v="1"/>
    <s v="Oct"/>
    <s v="Missing supporting documentation from vendor."/>
    <n v="23"/>
    <x v="3"/>
    <x v="6"/>
    <x v="2"/>
    <x v="0"/>
  </r>
  <r>
    <x v="0"/>
    <s v="Streaming Bundle Initiative 2025"/>
    <s v="Billing Request- 00100908"/>
    <x v="7"/>
    <d v="2025-10-25T00:00:00"/>
    <d v="2025-12-09T00:00:00"/>
    <x v="2"/>
    <s v="a6JXt3670591"/>
    <x v="6"/>
    <s v="Apr"/>
    <s v="Finance validation process delay."/>
    <n v="45"/>
    <x v="1"/>
    <x v="5"/>
    <x v="3"/>
    <x v="0"/>
  </r>
  <r>
    <x v="3"/>
    <s v="WNBA Incremental Scatter 2026"/>
    <s v="Billing Request- 00100909"/>
    <x v="1"/>
    <d v="2026-05-02T00:00:00"/>
    <d v="2026-05-08T00:00:00"/>
    <x v="2"/>
    <s v="a6JHn8047372"/>
    <x v="6"/>
    <s v="Sep"/>
    <s v="Incorrect legal terms delayed PTS."/>
    <n v="6"/>
    <x v="2"/>
    <x v="16"/>
    <x v="2"/>
    <x v="1"/>
  </r>
  <r>
    <x v="0"/>
    <s v="Confluence Academy 2026"/>
    <s v="Billing Request- 00100912"/>
    <x v="5"/>
    <d v="2026-02-19T00:00:00"/>
    <d v="2026-03-03T00:00:00"/>
    <x v="0"/>
    <s v="a6Jat1557661"/>
    <x v="6"/>
    <s v="Dec"/>
    <s v="Missing supporting documentation from vendor."/>
    <n v="12"/>
    <x v="4"/>
    <x v="1"/>
    <x v="3"/>
    <x v="1"/>
  </r>
  <r>
    <x v="0"/>
    <s v="Amazon NBA Live Sports 2025"/>
    <s v="Billing Request- 00100913"/>
    <x v="6"/>
    <d v="2025-02-06T00:00:00"/>
    <d v="2025-03-22T00:00:00"/>
    <x v="2"/>
    <s v="a6JHn9402873"/>
    <x v="3"/>
    <s v="Nov; Dec"/>
    <s v="Agency submitted updated invoice mapping."/>
    <n v="44"/>
    <x v="1"/>
    <x v="6"/>
    <x v="2"/>
    <x v="0"/>
  </r>
  <r>
    <x v="0"/>
    <s v="NWSL Halftime Sponsorship 2026"/>
    <s v="Billing Request- 00100914"/>
    <x v="1"/>
    <d v="2026-04-23T00:00:00"/>
    <d v="2026-05-04T00:00:00"/>
    <x v="2"/>
    <s v="a6JXt6003418"/>
    <x v="6"/>
    <s v="Jul; Aug"/>
    <s v="Manual billing entry issue."/>
    <n v="11"/>
    <x v="4"/>
    <x v="10"/>
    <x v="1"/>
    <x v="1"/>
  </r>
  <r>
    <x v="0"/>
    <s v="Prime Sports NFL 2026"/>
    <s v="Billing Request- 00100918"/>
    <x v="5"/>
    <d v="2026-01-10T00:00:00"/>
    <d v="2026-02-24T00:00:00"/>
    <x v="2"/>
    <s v="a6Jat9032452"/>
    <x v="3"/>
    <s v="Feb"/>
    <s v="Incorrect legal terms delayed PTS."/>
    <n v="45"/>
    <x v="1"/>
    <x v="7"/>
    <x v="3"/>
    <x v="1"/>
  </r>
  <r>
    <x v="0"/>
    <s v="Prime Sports NFL 2025"/>
    <s v="Billing Request- 00100920"/>
    <x v="9"/>
    <d v="2025-07-14T00:00:00"/>
    <d v="2025-10-10T00:00:00"/>
    <x v="0"/>
    <s v="a6JXt3101134"/>
    <x v="2"/>
    <s v="Mar; Apr"/>
    <s v=""/>
    <n v="88"/>
    <x v="0"/>
    <x v="12"/>
    <x v="3"/>
    <x v="0"/>
  </r>
  <r>
    <x v="3"/>
    <s v="Amazon TNF 2024 2025"/>
    <s v="Billing Request- 00100922"/>
    <x v="4"/>
    <d v="2025-10-02T00:00:00"/>
    <d v="2025-12-14T00:00:00"/>
    <x v="2"/>
    <s v="a6Jat2285330"/>
    <x v="4"/>
    <s v="May; Jun"/>
    <s v="Agency submitted updated invoice mapping."/>
    <n v="73"/>
    <x v="0"/>
    <x v="5"/>
    <x v="4"/>
    <x v="0"/>
  </r>
  <r>
    <x v="0"/>
    <s v="DirecTV NASCAR Campaign 2026"/>
    <s v="Billing Request- 00100925"/>
    <x v="0"/>
    <d v="2026-03-04T00:00:00"/>
    <d v="2026-05-07T00:00:00"/>
    <x v="2"/>
    <s v="a6JHn7892648"/>
    <x v="0"/>
    <s v="Sep"/>
    <s v="Incorrect legal terms delayed PTS."/>
    <n v="64"/>
    <x v="0"/>
    <x v="2"/>
    <x v="0"/>
    <x v="1"/>
  </r>
  <r>
    <x v="4"/>
    <s v="Prime Sports NFL 2025"/>
    <s v="Billing Request- 00100927"/>
    <x v="2"/>
    <d v="2025-08-21T00:00:00"/>
    <d v="2025-09-05T00:00:00"/>
    <x v="2"/>
    <s v="a6JXt7445414"/>
    <x v="1"/>
    <s v="Mar"/>
    <s v="Client requested retroactive billing adjustments."/>
    <n v="15"/>
    <x v="3"/>
    <x v="8"/>
    <x v="3"/>
    <x v="0"/>
  </r>
  <r>
    <x v="2"/>
    <s v="TNF Sponsorship 2025"/>
    <s v="Billing Request- 00100929"/>
    <x v="0"/>
    <d v="2025-12-05T00:00:00"/>
    <d v="2026-01-14T00:00:00"/>
    <x v="0"/>
    <s v="a6JHn5404568"/>
    <x v="4"/>
    <s v="Jan"/>
    <s v="Invoice details mismatch with approved campaign."/>
    <n v="40"/>
    <x v="1"/>
    <x v="11"/>
    <x v="4"/>
    <x v="0"/>
  </r>
  <r>
    <x v="4"/>
    <s v="NWSL Halftime Sponsorship 2025"/>
    <s v="Billing Request- 00100930"/>
    <x v="3"/>
    <d v="2025-11-15T00:00:00"/>
    <d v="2026-01-10T00:00:00"/>
    <x v="2"/>
    <s v="a6JXt5822081"/>
    <x v="0"/>
    <s v="Mar; Apr"/>
    <s v=""/>
    <n v="56"/>
    <x v="1"/>
    <x v="15"/>
    <x v="1"/>
    <x v="0"/>
  </r>
  <r>
    <x v="0"/>
    <s v="Global Consumer Products 2025"/>
    <s v="Billing Request- 00100932"/>
    <x v="1"/>
    <d v="2025-07-22T00:00:00"/>
    <d v="2025-07-27T00:00:00"/>
    <x v="0"/>
    <s v="a6JXt1207016"/>
    <x v="3"/>
    <s v="Nov"/>
    <s v="Late media plan changes from client."/>
    <n v="5"/>
    <x v="2"/>
    <x v="12"/>
    <x v="3"/>
    <x v="0"/>
  </r>
  <r>
    <x v="0"/>
    <s v="NWSL Halftime Sponsorship 2026"/>
    <s v="Billing Request- 00100933"/>
    <x v="9"/>
    <d v="2026-04-24T00:00:00"/>
    <d v="2026-05-09T00:00:00"/>
    <x v="1"/>
    <s v="a6JHn4654790"/>
    <x v="6"/>
    <s v="Mar"/>
    <s v="Late media plan changes from client."/>
    <n v="15"/>
    <x v="3"/>
    <x v="10"/>
    <x v="1"/>
    <x v="1"/>
  </r>
  <r>
    <x v="0"/>
    <s v="NWSL Halftime Sponsorship 2026"/>
    <s v="Billing Request- 00100934"/>
    <x v="5"/>
    <d v="2026-03-22T00:00:00"/>
    <d v="2026-03-31T00:00:00"/>
    <x v="0"/>
    <s v="a6JHn9303529"/>
    <x v="4"/>
    <s v="Jun"/>
    <s v="Agency submitted updated invoice mapping."/>
    <n v="9"/>
    <x v="4"/>
    <x v="2"/>
    <x v="1"/>
    <x v="1"/>
  </r>
  <r>
    <x v="0"/>
    <s v="Amazon TNF 2024 2026"/>
    <s v="Billing Request- 00100935"/>
    <x v="4"/>
    <d v="2026-01-13T00:00:00"/>
    <d v="2026-02-12T00:00:00"/>
    <x v="2"/>
    <s v="a6JHn6323988"/>
    <x v="5"/>
    <s v="Aug"/>
    <s v="Client requested retroactive billing adjustments."/>
    <n v="30"/>
    <x v="3"/>
    <x v="7"/>
    <x v="4"/>
    <x v="1"/>
  </r>
  <r>
    <x v="0"/>
    <s v="TNF Sponsorship 2026"/>
    <s v="Billing Request- 00100936"/>
    <x v="1"/>
    <d v="2026-03-08T00:00:00"/>
    <d v="2026-04-10T00:00:00"/>
    <x v="2"/>
    <s v="a6Jat6867489"/>
    <x v="6"/>
    <s v="Sep; Oct"/>
    <s v="Finance validation process delay."/>
    <n v="33"/>
    <x v="1"/>
    <x v="2"/>
    <x v="4"/>
    <x v="1"/>
  </r>
  <r>
    <x v="0"/>
    <s v="WNBA Incremental Scatter 2025"/>
    <s v="Billing Request- 00100939"/>
    <x v="3"/>
    <d v="2025-05-29T00:00:00"/>
    <d v="2025-09-26T00:00:00"/>
    <x v="2"/>
    <s v="a6JHn9569737"/>
    <x v="1"/>
    <s v="Dec"/>
    <s v="Manual billing entry issue."/>
    <n v="120"/>
    <x v="0"/>
    <x v="4"/>
    <x v="2"/>
    <x v="0"/>
  </r>
  <r>
    <x v="0"/>
    <s v="Amazon NBA Live Sports 2025"/>
    <s v="Billing Request- 00100940"/>
    <x v="0"/>
    <d v="2025-10-26T00:00:00"/>
    <d v="2025-10-31T00:00:00"/>
    <x v="0"/>
    <s v="a6Jat4767844"/>
    <x v="5"/>
    <s v="Nov; Dec"/>
    <s v="Missing supporting documentation from vendor."/>
    <n v="5"/>
    <x v="2"/>
    <x v="5"/>
    <x v="2"/>
    <x v="0"/>
  </r>
  <r>
    <x v="0"/>
    <s v="Confluence Academy 2025"/>
    <s v="Billing Request- 00100941"/>
    <x v="6"/>
    <d v="2025-03-04T00:00:00"/>
    <d v="2025-06-21T00:00:00"/>
    <x v="0"/>
    <s v="a6JXt8399044"/>
    <x v="3"/>
    <s v="Jul"/>
    <s v="Late media plan changes from client."/>
    <n v="109"/>
    <x v="0"/>
    <x v="13"/>
    <x v="3"/>
    <x v="0"/>
  </r>
  <r>
    <x v="0"/>
    <s v="NASCAR P&amp;Q 2026"/>
    <s v="Billing Request- 00100942"/>
    <x v="8"/>
    <d v="2026-03-26T00:00:00"/>
    <d v="2026-04-27T00:00:00"/>
    <x v="0"/>
    <s v="a6Jat5044088"/>
    <x v="2"/>
    <s v="Mar; Apr"/>
    <s v="Invoice details mismatch with approved campaign."/>
    <n v="32"/>
    <x v="1"/>
    <x v="2"/>
    <x v="0"/>
    <x v="1"/>
  </r>
  <r>
    <x v="3"/>
    <s v="NWSL Halftime Sponsorship 2025"/>
    <s v="Billing Request- 00100945"/>
    <x v="1"/>
    <d v="2025-03-17T00:00:00"/>
    <d v="2025-05-30T00:00:00"/>
    <x v="0"/>
    <s v="a6Jat3797952"/>
    <x v="0"/>
    <s v="Sep"/>
    <s v=""/>
    <n v="74"/>
    <x v="0"/>
    <x v="13"/>
    <x v="1"/>
    <x v="0"/>
  </r>
  <r>
    <x v="3"/>
    <s v="NFL Prime Video 2025"/>
    <s v="Billing Request- 00100946"/>
    <x v="1"/>
    <d v="2025-08-29T00:00:00"/>
    <d v="2025-12-03T00:00:00"/>
    <x v="0"/>
    <s v="a6Jat3800715"/>
    <x v="4"/>
    <s v="Sep; Oct"/>
    <s v=""/>
    <n v="96"/>
    <x v="0"/>
    <x v="8"/>
    <x v="3"/>
    <x v="0"/>
  </r>
  <r>
    <x v="0"/>
    <s v="NWSL Halftime Sponsorship 2026"/>
    <s v="Billing Request- 00100947"/>
    <x v="4"/>
    <d v="2026-04-19T00:00:00"/>
    <d v="2026-05-08T00:00:00"/>
    <x v="2"/>
    <s v="a6JHn2808110"/>
    <x v="6"/>
    <s v="Dec"/>
    <s v="Finance validation process delay."/>
    <n v="19"/>
    <x v="3"/>
    <x v="10"/>
    <x v="1"/>
    <x v="1"/>
  </r>
  <r>
    <x v="0"/>
    <s v="NASCAR Apex 2025 2026"/>
    <s v="Billing Request- 00100948"/>
    <x v="1"/>
    <d v="2026-04-26T00:00:00"/>
    <d v="2026-05-06T00:00:00"/>
    <x v="0"/>
    <s v="a6JXt9545877"/>
    <x v="4"/>
    <s v="Jan"/>
    <s v="Invoice details mismatch with approved campaign."/>
    <n v="10"/>
    <x v="4"/>
    <x v="10"/>
    <x v="0"/>
    <x v="1"/>
  </r>
  <r>
    <x v="0"/>
    <s v="NASCAR Apex 2025 2025"/>
    <s v="Billing Request- 00100949"/>
    <x v="7"/>
    <d v="2025-08-21T00:00:00"/>
    <d v="2025-10-09T00:00:00"/>
    <x v="0"/>
    <s v="a6JHn2625688"/>
    <x v="3"/>
    <s v="Jul; Aug"/>
    <s v="Invoice details mismatch with approved campaign."/>
    <n v="49"/>
    <x v="1"/>
    <x v="8"/>
    <x v="0"/>
    <x v="0"/>
  </r>
  <r>
    <x v="0"/>
    <s v="Global Consumer Products 2025"/>
    <s v="Billing Request- 00100951"/>
    <x v="2"/>
    <d v="2025-10-22T00:00:00"/>
    <d v="2026-02-12T00:00:00"/>
    <x v="2"/>
    <s v="a6Jat5829206"/>
    <x v="0"/>
    <s v="May; Jun"/>
    <s v="Manual billing entry issue."/>
    <n v="113"/>
    <x v="0"/>
    <x v="5"/>
    <x v="3"/>
    <x v="0"/>
  </r>
  <r>
    <x v="2"/>
    <s v="Confluence Academy 2026"/>
    <s v="Billing Request- 00100952"/>
    <x v="7"/>
    <d v="2026-03-15T00:00:00"/>
    <d v="2026-05-07T00:00:00"/>
    <x v="0"/>
    <s v="a6Jat2610210"/>
    <x v="5"/>
    <s v="Sep; Oct"/>
    <s v="Agency submitted updated invoice mapping."/>
    <n v="53"/>
    <x v="1"/>
    <x v="2"/>
    <x v="3"/>
    <x v="1"/>
  </r>
  <r>
    <x v="0"/>
    <s v="Amazon TNF 2024 2025"/>
    <s v="Billing Request- 00100954"/>
    <x v="5"/>
    <d v="2025-08-21T00:00:00"/>
    <d v="2025-09-28T00:00:00"/>
    <x v="2"/>
    <s v="a6JHn2457333"/>
    <x v="3"/>
    <s v="Apr"/>
    <s v="Invoice details mismatch with approved campaign."/>
    <n v="38"/>
    <x v="1"/>
    <x v="8"/>
    <x v="4"/>
    <x v="0"/>
  </r>
  <r>
    <x v="0"/>
    <s v="NASCAR P&amp;Q 2026"/>
    <s v="Billing Request- 00100955"/>
    <x v="1"/>
    <d v="2026-02-26T00:00:00"/>
    <d v="2026-05-09T00:00:00"/>
    <x v="2"/>
    <s v="a6JXt9604096"/>
    <x v="2"/>
    <s v="Nov"/>
    <s v="Client requested retroactive billing adjustments."/>
    <n v="72"/>
    <x v="0"/>
    <x v="1"/>
    <x v="0"/>
    <x v="1"/>
  </r>
  <r>
    <x v="0"/>
    <s v="Global Consumer Products 2025"/>
    <s v="Billing Request- 00100956"/>
    <x v="4"/>
    <d v="2025-12-28T00:00:00"/>
    <d v="2026-04-09T00:00:00"/>
    <x v="2"/>
    <s v="a6JXt1597875"/>
    <x v="4"/>
    <s v="May"/>
    <s v="Missing supporting documentation from vendor."/>
    <n v="102"/>
    <x v="0"/>
    <x v="11"/>
    <x v="3"/>
    <x v="0"/>
  </r>
  <r>
    <x v="0"/>
    <s v="NASCAR Apex 2025 2026"/>
    <s v="Billing Request- 00100957"/>
    <x v="2"/>
    <d v="2026-02-26T00:00:00"/>
    <d v="2026-05-08T00:00:00"/>
    <x v="0"/>
    <s v="a6JXt9333686"/>
    <x v="4"/>
    <s v="Jul"/>
    <s v="Incorrect legal terms delayed PTS."/>
    <n v="71"/>
    <x v="0"/>
    <x v="1"/>
    <x v="0"/>
    <x v="1"/>
  </r>
  <r>
    <x v="0"/>
    <s v="NWSL Halftime Sponsorship 2026"/>
    <s v="Billing Request- 00100958"/>
    <x v="4"/>
    <d v="2026-02-24T00:00:00"/>
    <d v="2026-02-25T00:00:00"/>
    <x v="2"/>
    <s v="a6JXt3988274"/>
    <x v="0"/>
    <s v="Sep"/>
    <s v="Missing supporting documentation from vendor."/>
    <n v="1"/>
    <x v="2"/>
    <x v="1"/>
    <x v="1"/>
    <x v="1"/>
  </r>
  <r>
    <x v="0"/>
    <s v="NASCAR Apex 2025 2025"/>
    <s v="Billing Request- 00100959"/>
    <x v="2"/>
    <d v="2025-05-01T00:00:00"/>
    <d v="2025-07-22T00:00:00"/>
    <x v="1"/>
    <s v="a6JHn4890524"/>
    <x v="2"/>
    <s v="Jul; Aug"/>
    <s v="Finance validation process delay."/>
    <n v="82"/>
    <x v="0"/>
    <x v="4"/>
    <x v="0"/>
    <x v="0"/>
  </r>
  <r>
    <x v="0"/>
    <s v="Streaming Bundle Initiative 2026"/>
    <s v="Billing Request- 00100960"/>
    <x v="8"/>
    <d v="2026-04-11T00:00:00"/>
    <d v="2026-05-07T00:00:00"/>
    <x v="2"/>
    <s v="a6JHn8039619"/>
    <x v="3"/>
    <s v="Aug"/>
    <s v="Missing supporting documentation from vendor."/>
    <n v="26"/>
    <x v="3"/>
    <x v="10"/>
    <x v="3"/>
    <x v="1"/>
  </r>
  <r>
    <x v="0"/>
    <s v="NWSL Halftime Sponsorship 2025"/>
    <s v="Billing Request- 00100963"/>
    <x v="9"/>
    <d v="2025-01-28T00:00:00"/>
    <d v="2025-03-04T00:00:00"/>
    <x v="0"/>
    <s v="a6JHn8510091"/>
    <x v="4"/>
    <s v="Jun"/>
    <s v=""/>
    <n v="35"/>
    <x v="1"/>
    <x v="0"/>
    <x v="1"/>
    <x v="0"/>
  </r>
  <r>
    <x v="0"/>
    <s v="NFL Prime Video 2026"/>
    <s v="Billing Request- 00100965"/>
    <x v="9"/>
    <d v="2026-01-17T00:00:00"/>
    <d v="2026-04-11T00:00:00"/>
    <x v="2"/>
    <s v="a6Jat9987534"/>
    <x v="1"/>
    <s v="Aug"/>
    <s v="Late media plan changes from client."/>
    <n v="84"/>
    <x v="0"/>
    <x v="7"/>
    <x v="3"/>
    <x v="1"/>
  </r>
  <r>
    <x v="2"/>
    <s v="NBA Playoffs Campaign 2026"/>
    <s v="Billing Request- 00100966"/>
    <x v="1"/>
    <d v="2026-04-06T00:00:00"/>
    <d v="2026-05-06T00:00:00"/>
    <x v="2"/>
    <s v="a6Jat9834133"/>
    <x v="5"/>
    <s v="Jan; Feb"/>
    <s v="Finance validation process delay."/>
    <n v="30"/>
    <x v="3"/>
    <x v="10"/>
    <x v="2"/>
    <x v="1"/>
  </r>
  <r>
    <x v="0"/>
    <s v="Retail Media Expansion 2025"/>
    <s v="Billing Request- 00100971"/>
    <x v="6"/>
    <d v="2025-12-26T00:00:00"/>
    <d v="2026-03-05T00:00:00"/>
    <x v="1"/>
    <s v="a6JXt7604270"/>
    <x v="1"/>
    <s v="Nov; Dec"/>
    <s v="Incorrect legal terms delayed PTS."/>
    <n v="69"/>
    <x v="0"/>
    <x v="11"/>
    <x v="3"/>
    <x v="0"/>
  </r>
  <r>
    <x v="0"/>
    <s v="NWSL Halftime Sponsorship 2025"/>
    <s v="Billing Request- 00100972"/>
    <x v="6"/>
    <d v="2025-10-23T00:00:00"/>
    <d v="2025-10-27T00:00:00"/>
    <x v="2"/>
    <s v="a6Jat6211168"/>
    <x v="4"/>
    <s v="Mar"/>
    <s v="Incorrect legal terms delayed PTS."/>
    <n v="4"/>
    <x v="2"/>
    <x v="5"/>
    <x v="1"/>
    <x v="0"/>
  </r>
  <r>
    <x v="0"/>
    <s v="NWSL Halftime Sponsorship 2025"/>
    <s v="Billing Request- 00100973"/>
    <x v="0"/>
    <d v="2025-04-17T00:00:00"/>
    <d v="2025-08-06T00:00:00"/>
    <x v="2"/>
    <s v="a6JHn9781289"/>
    <x v="1"/>
    <s v="Aug"/>
    <s v="Client requested retroactive billing adjustments."/>
    <n v="111"/>
    <x v="0"/>
    <x v="3"/>
    <x v="1"/>
    <x v="0"/>
  </r>
  <r>
    <x v="0"/>
    <s v="DirecTV NASCAR Campaign 2026"/>
    <s v="Billing Request- 00100974"/>
    <x v="4"/>
    <d v="2026-03-06T00:00:00"/>
    <d v="2026-04-28T00:00:00"/>
    <x v="2"/>
    <s v="a6JHn7820513"/>
    <x v="3"/>
    <s v="Jul"/>
    <s v=""/>
    <n v="53"/>
    <x v="1"/>
    <x v="2"/>
    <x v="0"/>
    <x v="1"/>
  </r>
  <r>
    <x v="0"/>
    <s v="NBA League Pass 2026"/>
    <s v="Billing Request- 00100975"/>
    <x v="1"/>
    <d v="2026-05-08T00:00:00"/>
    <d v="2026-05-04T00:00:00"/>
    <x v="2"/>
    <s v="a6JXt2366240"/>
    <x v="0"/>
    <s v="Mar"/>
    <s v="Missing supporting documentation from vendor."/>
    <n v="-4"/>
    <x v="2"/>
    <x v="16"/>
    <x v="2"/>
    <x v="1"/>
  </r>
  <r>
    <x v="0"/>
    <s v="NWSL Halftime Sponsorship 2025"/>
    <s v="Billing Request- 00100977"/>
    <x v="3"/>
    <d v="2025-10-08T00:00:00"/>
    <d v="2025-12-01T00:00:00"/>
    <x v="2"/>
    <s v="a6JHn5548431"/>
    <x v="3"/>
    <s v="Dec"/>
    <s v="Agency submitted updated invoice mapping."/>
    <n v="54"/>
    <x v="1"/>
    <x v="5"/>
    <x v="1"/>
    <x v="0"/>
  </r>
  <r>
    <x v="0"/>
    <s v="NASCAR Apex 2025 2025"/>
    <s v="Billing Request- 00100979"/>
    <x v="7"/>
    <d v="2025-08-31T00:00:00"/>
    <d v="2025-09-02T00:00:00"/>
    <x v="2"/>
    <s v="a6Jat6231815"/>
    <x v="4"/>
    <s v="Apr"/>
    <s v=""/>
    <n v="2"/>
    <x v="2"/>
    <x v="8"/>
    <x v="0"/>
    <x v="0"/>
  </r>
  <r>
    <x v="0"/>
    <s v="Streaming Bundle Initiative 2025"/>
    <s v="Billing Request- 00100980"/>
    <x v="6"/>
    <d v="2025-02-18T00:00:00"/>
    <d v="2025-02-26T00:00:00"/>
    <x v="2"/>
    <s v="a6JXt4792145"/>
    <x v="2"/>
    <s v="Jan"/>
    <s v="Manual billing entry issue."/>
    <n v="8"/>
    <x v="4"/>
    <x v="6"/>
    <x v="3"/>
    <x v="0"/>
  </r>
  <r>
    <x v="0"/>
    <s v="DirecTV NASCAR Campaign 2025"/>
    <s v="Billing Request- 00100982"/>
    <x v="6"/>
    <d v="2025-05-24T00:00:00"/>
    <d v="2025-06-16T00:00:00"/>
    <x v="0"/>
    <s v="a6JXt7424776"/>
    <x v="5"/>
    <s v="Sep"/>
    <s v="Finance validation process delay."/>
    <n v="23"/>
    <x v="3"/>
    <x v="4"/>
    <x v="0"/>
    <x v="0"/>
  </r>
  <r>
    <x v="0"/>
    <s v="NWSL Prime Video 2025"/>
    <s v="Billing Request- 00100985"/>
    <x v="0"/>
    <d v="2025-07-17T00:00:00"/>
    <d v="2025-10-16T00:00:00"/>
    <x v="2"/>
    <s v="a6JXt2311972"/>
    <x v="1"/>
    <s v="Jul"/>
    <s v="Agency submitted updated invoice mapping."/>
    <n v="91"/>
    <x v="0"/>
    <x v="12"/>
    <x v="1"/>
    <x v="0"/>
  </r>
  <r>
    <x v="0"/>
    <s v="NWSL Prime Video 2026"/>
    <s v="Billing Request- 00100986"/>
    <x v="3"/>
    <d v="2026-03-13T00:00:00"/>
    <d v="2026-05-08T00:00:00"/>
    <x v="0"/>
    <s v="a6JXt3017289"/>
    <x v="0"/>
    <s v="Dec"/>
    <s v="Agency submitted updated invoice mapping."/>
    <n v="56"/>
    <x v="1"/>
    <x v="2"/>
    <x v="1"/>
    <x v="1"/>
  </r>
  <r>
    <x v="1"/>
    <s v="NWSL Halftime Sponsorship 2025"/>
    <s v="Billing Request- 00100989"/>
    <x v="0"/>
    <d v="2025-11-25T00:00:00"/>
    <d v="2026-01-26T00:00:00"/>
    <x v="0"/>
    <s v="a6JHn1960109"/>
    <x v="1"/>
    <s v="Jan"/>
    <s v="Finance validation process delay."/>
    <n v="62"/>
    <x v="0"/>
    <x v="15"/>
    <x v="1"/>
    <x v="0"/>
  </r>
  <r>
    <x v="0"/>
    <s v="NWSL Halftime Sponsorship 2026"/>
    <s v="Billing Request- 00100990"/>
    <x v="5"/>
    <d v="2026-04-27T00:00:00"/>
    <d v="2026-05-08T00:00:00"/>
    <x v="2"/>
    <s v="a6JXt3570131"/>
    <x v="1"/>
    <s v="May"/>
    <s v="Incorrect legal terms delayed PTS."/>
    <n v="11"/>
    <x v="4"/>
    <x v="10"/>
    <x v="1"/>
    <x v="1"/>
  </r>
  <r>
    <x v="0"/>
    <s v="NWSL Halftime Sponsorship 2025"/>
    <s v="Billing Request- 00100991"/>
    <x v="0"/>
    <d v="2025-03-03T00:00:00"/>
    <d v="2025-03-11T00:00:00"/>
    <x v="0"/>
    <s v="a6JHn4257839"/>
    <x v="2"/>
    <s v="Jan"/>
    <s v="Invoice details mismatch with approved campaign."/>
    <n v="8"/>
    <x v="4"/>
    <x v="13"/>
    <x v="1"/>
    <x v="0"/>
  </r>
  <r>
    <x v="0"/>
    <s v="NBA League Pass 2026"/>
    <s v="Billing Request- 00100992"/>
    <x v="4"/>
    <d v="2026-03-23T00:00:00"/>
    <d v="2026-05-04T00:00:00"/>
    <x v="1"/>
    <s v="a6JHn7985675"/>
    <x v="6"/>
    <s v="Jul"/>
    <s v=""/>
    <n v="42"/>
    <x v="1"/>
    <x v="2"/>
    <x v="2"/>
    <x v="1"/>
  </r>
  <r>
    <x v="0"/>
    <s v="Confluence Academy 2025"/>
    <s v="Billing Request- 00100995"/>
    <x v="8"/>
    <d v="2025-04-06T00:00:00"/>
    <d v="2025-05-17T00:00:00"/>
    <x v="0"/>
    <s v="a6Jat7283563"/>
    <x v="6"/>
    <s v="Aug"/>
    <s v="Late media plan changes from client."/>
    <n v="41"/>
    <x v="1"/>
    <x v="3"/>
    <x v="3"/>
    <x v="0"/>
  </r>
  <r>
    <x v="0"/>
    <s v="NBA League Pass 2026"/>
    <s v="Billing Request- 00100996"/>
    <x v="5"/>
    <d v="2026-02-18T00:00:00"/>
    <d v="2026-05-04T00:00:00"/>
    <x v="0"/>
    <s v="a6Jat5680229"/>
    <x v="5"/>
    <s v="Nov"/>
    <s v="Missing supporting documentation from vendor."/>
    <n v="75"/>
    <x v="0"/>
    <x v="1"/>
    <x v="2"/>
    <x v="1"/>
  </r>
  <r>
    <x v="0"/>
    <s v="NWSL Halftime Sponsorship 2025"/>
    <s v="Billing Request- 00100998"/>
    <x v="3"/>
    <d v="2025-11-25T00:00:00"/>
    <d v="2026-01-31T00:00:00"/>
    <x v="0"/>
    <s v="a6JHn3612283"/>
    <x v="5"/>
    <s v="Jul"/>
    <s v="Missing supporting documentation from vendor."/>
    <n v="67"/>
    <x v="0"/>
    <x v="15"/>
    <x v="1"/>
    <x v="0"/>
  </r>
  <r>
    <x v="0"/>
    <s v="NASCAR P&amp;Q 2025"/>
    <s v="Billing Request- 00100999"/>
    <x v="1"/>
    <d v="2025-12-16T00:00:00"/>
    <d v="2026-03-28T00:00:00"/>
    <x v="1"/>
    <s v="a6JXt5512234"/>
    <x v="5"/>
    <s v="Jul"/>
    <s v="Late media plan changes from client."/>
    <n v="102"/>
    <x v="0"/>
    <x v="11"/>
    <x v="0"/>
    <x v="0"/>
  </r>
  <r>
    <x v="0"/>
    <s v="NFL Prime Video 2025"/>
    <s v="Billing Request- 00101001"/>
    <x v="5"/>
    <d v="2025-11-19T00:00:00"/>
    <d v="2026-01-04T00:00:00"/>
    <x v="2"/>
    <s v="a6JXt2681206"/>
    <x v="3"/>
    <s v="Oct"/>
    <s v="Agency submitted updated invoice mapping."/>
    <n v="46"/>
    <x v="1"/>
    <x v="15"/>
    <x v="3"/>
    <x v="0"/>
  </r>
  <r>
    <x v="4"/>
    <s v="Prime Sports NFL 2025"/>
    <s v="Billing Request- 00101002"/>
    <x v="9"/>
    <d v="2025-04-06T00:00:00"/>
    <d v="2025-07-12T00:00:00"/>
    <x v="2"/>
    <s v="a6JXt8297560"/>
    <x v="0"/>
    <s v="Aug"/>
    <s v="Late media plan changes from client."/>
    <n v="97"/>
    <x v="0"/>
    <x v="3"/>
    <x v="3"/>
    <x v="0"/>
  </r>
  <r>
    <x v="0"/>
    <s v="NWSL Prime Video 2025"/>
    <s v="Billing Request- 00101003"/>
    <x v="1"/>
    <d v="2025-11-04T00:00:00"/>
    <d v="2025-12-18T00:00:00"/>
    <x v="1"/>
    <s v="a6Jat9505390"/>
    <x v="0"/>
    <s v="Mar; Apr"/>
    <s v="Late media plan changes from client."/>
    <n v="44"/>
    <x v="1"/>
    <x v="15"/>
    <x v="1"/>
    <x v="0"/>
  </r>
  <r>
    <x v="2"/>
    <s v="NBA Playoffs Campaign 2026"/>
    <s v="Billing Request- 00101004"/>
    <x v="7"/>
    <d v="2026-04-13T00:00:00"/>
    <d v="2026-05-09T00:00:00"/>
    <x v="0"/>
    <s v="a6JXt9792694"/>
    <x v="5"/>
    <s v="May"/>
    <s v="Agency submitted updated invoice mapping."/>
    <n v="26"/>
    <x v="3"/>
    <x v="10"/>
    <x v="2"/>
    <x v="1"/>
  </r>
  <r>
    <x v="4"/>
    <s v="NASCAR P&amp;Q 2025"/>
    <s v="Billing Request- 00101005"/>
    <x v="4"/>
    <d v="2025-01-28T00:00:00"/>
    <d v="2025-02-09T00:00:00"/>
    <x v="2"/>
    <s v="a6Jat8727379"/>
    <x v="2"/>
    <s v="May"/>
    <s v="Manual billing entry issue."/>
    <n v="12"/>
    <x v="4"/>
    <x v="0"/>
    <x v="0"/>
    <x v="0"/>
  </r>
  <r>
    <x v="0"/>
    <s v="NFL Prime Video 2026"/>
    <s v="Billing Request- 00101006"/>
    <x v="5"/>
    <d v="2026-03-19T00:00:00"/>
    <d v="2026-04-28T00:00:00"/>
    <x v="2"/>
    <s v="a6Jat5105930"/>
    <x v="2"/>
    <s v="Nov; Dec"/>
    <s v="Invoice details mismatch with approved campaign."/>
    <n v="40"/>
    <x v="1"/>
    <x v="2"/>
    <x v="3"/>
    <x v="1"/>
  </r>
  <r>
    <x v="0"/>
    <s v="NBA League Pass 2026"/>
    <s v="Billing Request- 00101008"/>
    <x v="9"/>
    <d v="2026-01-25T00:00:00"/>
    <d v="2026-03-16T00:00:00"/>
    <x v="2"/>
    <s v="a6JHn5751216"/>
    <x v="5"/>
    <s v="Jan; Feb"/>
    <s v=""/>
    <n v="50"/>
    <x v="1"/>
    <x v="7"/>
    <x v="2"/>
    <x v="1"/>
  </r>
  <r>
    <x v="0"/>
    <s v="NFL Prime Video 2025"/>
    <s v="Billing Request- 00101010"/>
    <x v="9"/>
    <d v="2025-07-23T00:00:00"/>
    <d v="2025-11-18T00:00:00"/>
    <x v="2"/>
    <s v="a6Jat6065677"/>
    <x v="6"/>
    <s v="Nov"/>
    <s v="Missing supporting documentation from vendor."/>
    <n v="118"/>
    <x v="0"/>
    <x v="12"/>
    <x v="3"/>
    <x v="0"/>
  </r>
  <r>
    <x v="0"/>
    <s v="NASCAR Apex 2025 2025"/>
    <s v="Billing Request- 00101011"/>
    <x v="9"/>
    <d v="2025-08-06T00:00:00"/>
    <d v="2025-08-26T00:00:00"/>
    <x v="0"/>
    <s v="a6Jat5379180"/>
    <x v="4"/>
    <s v="Jun"/>
    <s v="Missing supporting documentation from vendor."/>
    <n v="20"/>
    <x v="3"/>
    <x v="8"/>
    <x v="0"/>
    <x v="0"/>
  </r>
  <r>
    <x v="0"/>
    <s v="TNF Sponsorship 2025"/>
    <s v="Billing Request- 00101012"/>
    <x v="5"/>
    <d v="2025-02-24T00:00:00"/>
    <d v="2025-04-25T00:00:00"/>
    <x v="2"/>
    <s v="a6JHn1205092"/>
    <x v="3"/>
    <s v="May"/>
    <s v=""/>
    <n v="60"/>
    <x v="1"/>
    <x v="6"/>
    <x v="4"/>
    <x v="0"/>
  </r>
  <r>
    <x v="0"/>
    <s v="NWSL Prime Video 2025"/>
    <s v="Billing Request- 00101013"/>
    <x v="1"/>
    <d v="2025-08-21T00:00:00"/>
    <d v="2025-08-23T00:00:00"/>
    <x v="2"/>
    <s v="a6JHn5339410"/>
    <x v="5"/>
    <s v="May; Jun"/>
    <s v=""/>
    <n v="2"/>
    <x v="2"/>
    <x v="8"/>
    <x v="1"/>
    <x v="0"/>
  </r>
  <r>
    <x v="1"/>
    <s v="DirecTV NASCAR Campaign 2025"/>
    <s v="Billing Request- 00101014"/>
    <x v="3"/>
    <d v="2025-08-31T00:00:00"/>
    <d v="2025-12-01T00:00:00"/>
    <x v="2"/>
    <s v="a6Jat8114632"/>
    <x v="1"/>
    <s v="Jan; Feb"/>
    <s v="Incorrect legal terms delayed PTS."/>
    <n v="92"/>
    <x v="0"/>
    <x v="8"/>
    <x v="0"/>
    <x v="0"/>
  </r>
  <r>
    <x v="0"/>
    <s v="NASCAR Apex 2025 2025"/>
    <s v="Billing Request- 00101017"/>
    <x v="0"/>
    <d v="2025-04-02T00:00:00"/>
    <d v="2025-05-10T00:00:00"/>
    <x v="2"/>
    <s v="a6JXt1597521"/>
    <x v="6"/>
    <s v="Dec"/>
    <s v="Client requested retroactive billing adjustments."/>
    <n v="38"/>
    <x v="1"/>
    <x v="3"/>
    <x v="0"/>
    <x v="0"/>
  </r>
  <r>
    <x v="0"/>
    <s v="WNBA Incremental Scatter 2025"/>
    <s v="Billing Request- 00101018"/>
    <x v="9"/>
    <d v="2025-07-22T00:00:00"/>
    <d v="2025-08-23T00:00:00"/>
    <x v="2"/>
    <s v="a6Jat9278722"/>
    <x v="3"/>
    <s v="Dec"/>
    <s v="Finance validation process delay."/>
    <n v="32"/>
    <x v="1"/>
    <x v="12"/>
    <x v="2"/>
    <x v="0"/>
  </r>
  <r>
    <x v="0"/>
    <s v="Streaming Bundle Initiative 2025"/>
    <s v="Billing Request- 00101019"/>
    <x v="0"/>
    <d v="2025-05-05T00:00:00"/>
    <d v="2025-08-31T00:00:00"/>
    <x v="2"/>
    <s v="a6Jat3462063"/>
    <x v="2"/>
    <s v="Apr"/>
    <s v="Missing supporting documentation from vendor."/>
    <n v="118"/>
    <x v="0"/>
    <x v="4"/>
    <x v="3"/>
    <x v="0"/>
  </r>
  <r>
    <x v="0"/>
    <s v="NASCAR Apex 2025 2025"/>
    <s v="Billing Request- 00101020"/>
    <x v="1"/>
    <d v="2025-02-10T00:00:00"/>
    <d v="2025-03-26T00:00:00"/>
    <x v="2"/>
    <s v="a6JXt5309362"/>
    <x v="1"/>
    <s v="Mar; Apr"/>
    <s v="Incorrect legal terms delayed PTS."/>
    <n v="44"/>
    <x v="1"/>
    <x v="6"/>
    <x v="0"/>
    <x v="0"/>
  </r>
  <r>
    <x v="0"/>
    <s v="Retail Media Expansion 2026"/>
    <s v="Billing Request- 00101021"/>
    <x v="7"/>
    <d v="2026-03-08T00:00:00"/>
    <d v="2026-04-16T00:00:00"/>
    <x v="2"/>
    <s v="a6JXt8934254"/>
    <x v="1"/>
    <s v="Mar; Apr"/>
    <s v="Late media plan changes from client."/>
    <n v="39"/>
    <x v="1"/>
    <x v="2"/>
    <x v="3"/>
    <x v="1"/>
  </r>
  <r>
    <x v="0"/>
    <s v="Confluence Academy 2025"/>
    <s v="Billing Request- 00101022"/>
    <x v="2"/>
    <d v="2025-04-06T00:00:00"/>
    <d v="2025-05-12T00:00:00"/>
    <x v="0"/>
    <s v="a6JXt5780038"/>
    <x v="6"/>
    <s v="Mar; Apr"/>
    <s v="Manual billing entry issue."/>
    <n v="36"/>
    <x v="1"/>
    <x v="3"/>
    <x v="3"/>
    <x v="0"/>
  </r>
  <r>
    <x v="0"/>
    <s v="Global Consumer Products 2025"/>
    <s v="Billing Request- 00101024"/>
    <x v="0"/>
    <d v="2025-04-24T00:00:00"/>
    <d v="2025-05-03T00:00:00"/>
    <x v="2"/>
    <s v="a6JHn8059261"/>
    <x v="3"/>
    <s v="Nov; Dec"/>
    <s v="Missing supporting documentation from vendor."/>
    <n v="9"/>
    <x v="4"/>
    <x v="3"/>
    <x v="3"/>
    <x v="0"/>
  </r>
  <r>
    <x v="0"/>
    <s v="NASCAR Apex 2025 2025"/>
    <s v="Billing Request- 00101025"/>
    <x v="8"/>
    <d v="2025-10-13T00:00:00"/>
    <d v="2025-10-15T00:00:00"/>
    <x v="0"/>
    <s v="a6Jat8750193"/>
    <x v="4"/>
    <s v="Nov; Dec"/>
    <s v="Agency submitted updated invoice mapping."/>
    <n v="2"/>
    <x v="2"/>
    <x v="5"/>
    <x v="0"/>
    <x v="0"/>
  </r>
  <r>
    <x v="0"/>
    <s v="Amazon TNF 2024 2025"/>
    <s v="Billing Request- 00101026"/>
    <x v="7"/>
    <d v="2025-05-11T00:00:00"/>
    <d v="2025-07-02T00:00:00"/>
    <x v="2"/>
    <s v="a6JHn2394052"/>
    <x v="2"/>
    <s v="Sep; Oct"/>
    <s v="Invoice details mismatch with approved campaign."/>
    <n v="52"/>
    <x v="1"/>
    <x v="4"/>
    <x v="4"/>
    <x v="0"/>
  </r>
  <r>
    <x v="0"/>
    <s v="NWSL Halftime Sponsorship 2025"/>
    <s v="Billing Request- 00101027"/>
    <x v="0"/>
    <d v="2025-06-11T00:00:00"/>
    <d v="2025-08-08T00:00:00"/>
    <x v="2"/>
    <s v="a6JXt6899311"/>
    <x v="0"/>
    <s v="Mar; Apr"/>
    <s v="Client requested retroactive billing adjustments."/>
    <n v="58"/>
    <x v="1"/>
    <x v="9"/>
    <x v="1"/>
    <x v="0"/>
  </r>
  <r>
    <x v="0"/>
    <s v="NWSL Halftime Sponsorship 2026"/>
    <s v="Billing Request- 00101028"/>
    <x v="1"/>
    <d v="2026-03-14T00:00:00"/>
    <d v="2026-05-04T00:00:00"/>
    <x v="2"/>
    <s v="a6JHn3071885"/>
    <x v="0"/>
    <s v="Jul"/>
    <s v="Manual billing entry issue."/>
    <n v="51"/>
    <x v="1"/>
    <x v="2"/>
    <x v="1"/>
    <x v="1"/>
  </r>
  <r>
    <x v="0"/>
    <s v="Amazon NBA Live Sports 2026"/>
    <s v="Billing Request- 00101029"/>
    <x v="0"/>
    <d v="2026-03-16T00:00:00"/>
    <d v="2026-04-08T00:00:00"/>
    <x v="2"/>
    <s v="a6Jat8015896"/>
    <x v="3"/>
    <s v="Nov"/>
    <s v="Invoice details mismatch with approved campaign."/>
    <n v="23"/>
    <x v="3"/>
    <x v="2"/>
    <x v="2"/>
    <x v="1"/>
  </r>
  <r>
    <x v="0"/>
    <s v="DirecTV NASCAR Campaign 2025"/>
    <s v="Billing Request- 00101030"/>
    <x v="8"/>
    <d v="2025-12-07T00:00:00"/>
    <d v="2026-03-31T00:00:00"/>
    <x v="2"/>
    <s v="a6JHn9301923"/>
    <x v="3"/>
    <s v="May; Jun"/>
    <s v="Agency submitted updated invoice mapping."/>
    <n v="114"/>
    <x v="0"/>
    <x v="11"/>
    <x v="0"/>
    <x v="0"/>
  </r>
  <r>
    <x v="0"/>
    <s v="NASCAR P&amp;Q 2026"/>
    <s v="Billing Request- 00101031"/>
    <x v="1"/>
    <d v="2026-02-15T00:00:00"/>
    <d v="2026-04-08T00:00:00"/>
    <x v="2"/>
    <s v="a6JHn3890222"/>
    <x v="0"/>
    <s v="Mar; Apr"/>
    <s v="Missing supporting documentation from vendor."/>
    <n v="52"/>
    <x v="1"/>
    <x v="1"/>
    <x v="0"/>
    <x v="1"/>
  </r>
  <r>
    <x v="0"/>
    <s v="Retail Media Expansion 2025"/>
    <s v="Billing Request- 00101032"/>
    <x v="4"/>
    <d v="2025-11-22T00:00:00"/>
    <d v="2025-11-26T00:00:00"/>
    <x v="2"/>
    <s v="a6Jat7858110"/>
    <x v="3"/>
    <s v="Aug"/>
    <s v="Agency submitted updated invoice mapping."/>
    <n v="4"/>
    <x v="2"/>
    <x v="15"/>
    <x v="3"/>
    <x v="0"/>
  </r>
  <r>
    <x v="0"/>
    <s v="TNF Sponsorship 2025"/>
    <s v="Billing Request- 00101033"/>
    <x v="3"/>
    <d v="2025-08-30T00:00:00"/>
    <d v="2025-11-26T00:00:00"/>
    <x v="2"/>
    <s v="a6JXt7532030"/>
    <x v="5"/>
    <s v="Jul"/>
    <s v="Agency submitted updated invoice mapping."/>
    <n v="88"/>
    <x v="0"/>
    <x v="8"/>
    <x v="4"/>
    <x v="0"/>
  </r>
  <r>
    <x v="0"/>
    <s v="NWSL Halftime Sponsorship 2025"/>
    <s v="Billing Request- 00101034"/>
    <x v="0"/>
    <d v="2025-05-03T00:00:00"/>
    <d v="2025-05-26T00:00:00"/>
    <x v="2"/>
    <s v="a6Jat4473005"/>
    <x v="0"/>
    <s v="May; Jun"/>
    <s v="Manual billing entry issue."/>
    <n v="23"/>
    <x v="3"/>
    <x v="4"/>
    <x v="1"/>
    <x v="0"/>
  </r>
  <r>
    <x v="0"/>
    <s v="Amazon NBA Live Sports 2025"/>
    <s v="Billing Request- 00101035"/>
    <x v="5"/>
    <d v="2025-08-16T00:00:00"/>
    <d v="2025-09-16T00:00:00"/>
    <x v="2"/>
    <s v="a6JXt6557607"/>
    <x v="4"/>
    <s v="May; Jun"/>
    <s v="Incorrect legal terms delayed PTS."/>
    <n v="31"/>
    <x v="1"/>
    <x v="8"/>
    <x v="2"/>
    <x v="0"/>
  </r>
  <r>
    <x v="0"/>
    <s v="NWSL Halftime Sponsorship 2025"/>
    <s v="Billing Request- 00101037"/>
    <x v="9"/>
    <d v="2025-01-31T00:00:00"/>
    <d v="2025-03-10T00:00:00"/>
    <x v="0"/>
    <s v="a6JXt8382743"/>
    <x v="1"/>
    <s v="Apr"/>
    <s v="Incorrect legal terms delayed PTS."/>
    <n v="38"/>
    <x v="1"/>
    <x v="0"/>
    <x v="1"/>
    <x v="0"/>
  </r>
  <r>
    <x v="0"/>
    <s v="Confluence Academy 2026"/>
    <s v="Billing Request- 00101040"/>
    <x v="7"/>
    <d v="2026-03-08T00:00:00"/>
    <d v="2026-05-07T00:00:00"/>
    <x v="2"/>
    <s v="a6JHn1435209"/>
    <x v="3"/>
    <s v="Dec"/>
    <s v="Late media plan changes from client."/>
    <n v="60"/>
    <x v="1"/>
    <x v="2"/>
    <x v="3"/>
    <x v="1"/>
  </r>
  <r>
    <x v="0"/>
    <s v="NASCAR Apex 2025 2025"/>
    <s v="Billing Request- 00101041"/>
    <x v="5"/>
    <d v="2025-03-23T00:00:00"/>
    <d v="2025-06-04T00:00:00"/>
    <x v="0"/>
    <s v="a6Jat3156762"/>
    <x v="5"/>
    <s v="Oct"/>
    <s v="Missing supporting documentation from vendor."/>
    <n v="73"/>
    <x v="0"/>
    <x v="13"/>
    <x v="0"/>
    <x v="0"/>
  </r>
  <r>
    <x v="0"/>
    <s v="Global Consumer Products 2026"/>
    <s v="Billing Request- 00101043"/>
    <x v="3"/>
    <d v="2026-02-09T00:00:00"/>
    <d v="2026-04-26T00:00:00"/>
    <x v="2"/>
    <s v="a6JHn3837377"/>
    <x v="0"/>
    <s v="Jun"/>
    <s v="Finance validation process delay."/>
    <n v="76"/>
    <x v="0"/>
    <x v="1"/>
    <x v="3"/>
    <x v="1"/>
  </r>
  <r>
    <x v="0"/>
    <s v="TNF Sponsorship 2026"/>
    <s v="Billing Request- 00101044"/>
    <x v="0"/>
    <d v="2026-01-04T00:00:00"/>
    <d v="2026-03-31T00:00:00"/>
    <x v="2"/>
    <s v="a6Jat5669360"/>
    <x v="1"/>
    <s v="Apr"/>
    <s v="Manual billing entry issue."/>
    <n v="86"/>
    <x v="0"/>
    <x v="7"/>
    <x v="4"/>
    <x v="1"/>
  </r>
  <r>
    <x v="0"/>
    <s v="NFL Prime Video 2025"/>
    <s v="Billing Request- 00101045"/>
    <x v="1"/>
    <d v="2025-08-24T00:00:00"/>
    <d v="2025-11-05T00:00:00"/>
    <x v="2"/>
    <s v="a6Jat7685573"/>
    <x v="3"/>
    <s v="Sep; Oct"/>
    <s v="Incorrect legal terms delayed PTS."/>
    <n v="73"/>
    <x v="0"/>
    <x v="8"/>
    <x v="3"/>
    <x v="0"/>
  </r>
  <r>
    <x v="0"/>
    <s v="NBA Playoffs Campaign 2025"/>
    <s v="Billing Request- 00101047"/>
    <x v="3"/>
    <d v="2025-11-30T00:00:00"/>
    <d v="2026-03-20T00:00:00"/>
    <x v="2"/>
    <s v="a6Jat5458768"/>
    <x v="3"/>
    <s v="Mar"/>
    <s v="Manual billing entry issue."/>
    <n v="110"/>
    <x v="0"/>
    <x v="15"/>
    <x v="2"/>
    <x v="0"/>
  </r>
  <r>
    <x v="0"/>
    <s v="NBA League Pass 2025"/>
    <s v="Billing Request- 00101048"/>
    <x v="8"/>
    <d v="2025-02-02T00:00:00"/>
    <d v="2025-05-29T00:00:00"/>
    <x v="2"/>
    <s v="a6JXt9007468"/>
    <x v="6"/>
    <s v="Nov; Dec"/>
    <s v="Client requested retroactive billing adjustments."/>
    <n v="116"/>
    <x v="0"/>
    <x v="6"/>
    <x v="2"/>
    <x v="0"/>
  </r>
  <r>
    <x v="0"/>
    <s v="Amazon NBA Live Sports 2025"/>
    <s v="Billing Request- 00101049"/>
    <x v="3"/>
    <d v="2025-11-21T00:00:00"/>
    <d v="2025-12-01T00:00:00"/>
    <x v="2"/>
    <s v="a6Jat2675639"/>
    <x v="5"/>
    <s v="Jul"/>
    <s v="Finance validation process delay."/>
    <n v="10"/>
    <x v="4"/>
    <x v="15"/>
    <x v="2"/>
    <x v="0"/>
  </r>
  <r>
    <x v="0"/>
    <s v="DirecTV NASCAR Campaign 2026"/>
    <s v="Billing Request- 00101052"/>
    <x v="5"/>
    <d v="2026-03-05T00:00:00"/>
    <d v="2026-04-18T00:00:00"/>
    <x v="2"/>
    <s v="a6JHn2870157"/>
    <x v="0"/>
    <s v="Jan"/>
    <s v="Invoice details mismatch with approved campaign."/>
    <n v="44"/>
    <x v="1"/>
    <x v="2"/>
    <x v="0"/>
    <x v="1"/>
  </r>
  <r>
    <x v="0"/>
    <s v="WNBA Incremental Scatter 2026"/>
    <s v="Billing Request- 00101053"/>
    <x v="6"/>
    <d v="2026-05-01T00:00:00"/>
    <d v="2026-05-08T00:00:00"/>
    <x v="0"/>
    <s v="a6Jat8435634"/>
    <x v="2"/>
    <s v="Nov; Dec"/>
    <s v="Agency submitted updated invoice mapping."/>
    <n v="7"/>
    <x v="2"/>
    <x v="16"/>
    <x v="2"/>
    <x v="1"/>
  </r>
  <r>
    <x v="0"/>
    <s v="NBA Playoffs Campaign 2025"/>
    <s v="Billing Request- 00101055"/>
    <x v="6"/>
    <d v="2025-03-21T00:00:00"/>
    <d v="2025-05-02T00:00:00"/>
    <x v="0"/>
    <s v="a6Jat3636248"/>
    <x v="5"/>
    <s v="Jul; Aug"/>
    <s v="Missing supporting documentation from vendor."/>
    <n v="42"/>
    <x v="1"/>
    <x v="13"/>
    <x v="2"/>
    <x v="0"/>
  </r>
  <r>
    <x v="2"/>
    <s v="NASCAR Apex 2025 2026"/>
    <s v="Billing Request- 00101056"/>
    <x v="2"/>
    <d v="2026-03-10T00:00:00"/>
    <d v="2026-04-09T00:00:00"/>
    <x v="0"/>
    <s v="a6JHn3432470"/>
    <x v="3"/>
    <s v="Dec"/>
    <s v="Invoice details mismatch with approved campaign."/>
    <n v="30"/>
    <x v="3"/>
    <x v="2"/>
    <x v="0"/>
    <x v="1"/>
  </r>
  <r>
    <x v="0"/>
    <s v="NWSL Prime Video 2025"/>
    <s v="Billing Request- 00101057"/>
    <x v="6"/>
    <d v="2025-08-06T00:00:00"/>
    <d v="2025-10-18T00:00:00"/>
    <x v="1"/>
    <s v="a6Jat7858320"/>
    <x v="2"/>
    <s v="May"/>
    <s v="Finance validation process delay."/>
    <n v="73"/>
    <x v="0"/>
    <x v="8"/>
    <x v="1"/>
    <x v="0"/>
  </r>
  <r>
    <x v="0"/>
    <s v="NBA Playoffs Campaign 2026"/>
    <s v="Billing Request- 00101058"/>
    <x v="6"/>
    <d v="2026-01-05T00:00:00"/>
    <d v="2026-04-20T00:00:00"/>
    <x v="2"/>
    <s v="a6JHn1397267"/>
    <x v="0"/>
    <s v="Jan; Feb"/>
    <s v="Invoice details mismatch with approved campaign."/>
    <n v="105"/>
    <x v="0"/>
    <x v="7"/>
    <x v="2"/>
    <x v="1"/>
  </r>
  <r>
    <x v="4"/>
    <s v="Amazon NBA Live Sports 2025"/>
    <s v="Billing Request- 00101059"/>
    <x v="6"/>
    <d v="2025-04-13T00:00:00"/>
    <d v="2025-07-25T00:00:00"/>
    <x v="2"/>
    <s v="a6Jat3691366"/>
    <x v="2"/>
    <s v="Jul; Aug"/>
    <s v="Finance validation process delay."/>
    <n v="103"/>
    <x v="0"/>
    <x v="3"/>
    <x v="2"/>
    <x v="0"/>
  </r>
  <r>
    <x v="0"/>
    <s v="NWSL Prime Video 2026"/>
    <s v="Billing Request- 00101060"/>
    <x v="4"/>
    <d v="2026-01-12T00:00:00"/>
    <d v="2026-04-22T00:00:00"/>
    <x v="1"/>
    <s v="a6JXt7291774"/>
    <x v="6"/>
    <s v="Feb"/>
    <s v="Invoice details mismatch with approved campaign."/>
    <n v="100"/>
    <x v="0"/>
    <x v="7"/>
    <x v="1"/>
    <x v="1"/>
  </r>
  <r>
    <x v="0"/>
    <s v="Confluence Academy 2025"/>
    <s v="Billing Request- 00101062"/>
    <x v="3"/>
    <d v="2025-10-21T00:00:00"/>
    <d v="2025-11-16T00:00:00"/>
    <x v="2"/>
    <s v="a6JXt5374141"/>
    <x v="5"/>
    <s v="Oct"/>
    <s v="Client requested retroactive billing adjustments."/>
    <n v="26"/>
    <x v="3"/>
    <x v="5"/>
    <x v="3"/>
    <x v="0"/>
  </r>
  <r>
    <x v="0"/>
    <s v="NASCAR Apex 2025 2025"/>
    <s v="Billing Request- 00101064"/>
    <x v="9"/>
    <d v="2025-04-12T00:00:00"/>
    <d v="2025-07-08T00:00:00"/>
    <x v="1"/>
    <s v="a6Jat2999683"/>
    <x v="0"/>
    <s v="Jan; Feb"/>
    <s v="Finance validation process delay."/>
    <n v="87"/>
    <x v="0"/>
    <x v="3"/>
    <x v="0"/>
    <x v="0"/>
  </r>
  <r>
    <x v="0"/>
    <s v="NASCAR P&amp;Q 2026"/>
    <s v="Billing Request- 00101065"/>
    <x v="3"/>
    <d v="2026-01-16T00:00:00"/>
    <d v="2026-05-05T00:00:00"/>
    <x v="1"/>
    <s v="a6JXt6487324"/>
    <x v="0"/>
    <s v="Oct"/>
    <s v="Invoice details mismatch with approved campaign."/>
    <n v="109"/>
    <x v="0"/>
    <x v="7"/>
    <x v="0"/>
    <x v="1"/>
  </r>
  <r>
    <x v="0"/>
    <s v="Amazon TNF 2024 2025"/>
    <s v="Billing Request- 00101066"/>
    <x v="0"/>
    <d v="2025-02-08T00:00:00"/>
    <d v="2025-04-22T00:00:00"/>
    <x v="0"/>
    <s v="a6Jat8859233"/>
    <x v="2"/>
    <s v="Jul"/>
    <s v="Incorrect legal terms delayed PTS."/>
    <n v="73"/>
    <x v="0"/>
    <x v="6"/>
    <x v="4"/>
    <x v="0"/>
  </r>
  <r>
    <x v="3"/>
    <s v="NWSL Prime Video 2026"/>
    <s v="Billing Request- 00101067"/>
    <x v="1"/>
    <d v="2026-04-21T00:00:00"/>
    <d v="2026-05-07T00:00:00"/>
    <x v="1"/>
    <s v="a6Jat6543686"/>
    <x v="4"/>
    <s v="Nov"/>
    <s v="Finance validation process delay."/>
    <n v="16"/>
    <x v="3"/>
    <x v="10"/>
    <x v="1"/>
    <x v="1"/>
  </r>
  <r>
    <x v="0"/>
    <s v="NWSL Halftime Sponsorship 2025"/>
    <s v="Billing Request- 00101068"/>
    <x v="4"/>
    <d v="2025-12-21T00:00:00"/>
    <d v="2026-03-26T00:00:00"/>
    <x v="2"/>
    <s v="a6JXt7542233"/>
    <x v="6"/>
    <s v="Aug"/>
    <s v="Invoice details mismatch with approved campaign."/>
    <n v="95"/>
    <x v="0"/>
    <x v="11"/>
    <x v="1"/>
    <x v="0"/>
  </r>
  <r>
    <x v="0"/>
    <s v="NBA League Pass 2025"/>
    <s v="Billing Request- 00101069"/>
    <x v="0"/>
    <d v="2025-05-13T00:00:00"/>
    <d v="2025-08-31T00:00:00"/>
    <x v="0"/>
    <s v="a6Jat6949960"/>
    <x v="4"/>
    <s v="Jul"/>
    <s v="Agency submitted updated invoice mapping."/>
    <n v="110"/>
    <x v="0"/>
    <x v="4"/>
    <x v="2"/>
    <x v="0"/>
  </r>
  <r>
    <x v="0"/>
    <s v="NBA Playoffs Campaign 2025"/>
    <s v="Billing Request- 00101071"/>
    <x v="9"/>
    <d v="2025-08-06T00:00:00"/>
    <d v="2025-09-10T00:00:00"/>
    <x v="2"/>
    <s v="a6JHn3065444"/>
    <x v="6"/>
    <s v="May; Jun"/>
    <s v="Manual billing entry issue."/>
    <n v="35"/>
    <x v="1"/>
    <x v="8"/>
    <x v="2"/>
    <x v="0"/>
  </r>
  <r>
    <x v="0"/>
    <s v="NWSL Halftime Sponsorship 2025"/>
    <s v="Billing Request- 00101072"/>
    <x v="5"/>
    <d v="2025-08-17T00:00:00"/>
    <d v="2025-10-13T00:00:00"/>
    <x v="2"/>
    <s v="a6Jat2557794"/>
    <x v="5"/>
    <s v="Sep; Oct"/>
    <s v="Incorrect legal terms delayed PTS."/>
    <n v="57"/>
    <x v="1"/>
    <x v="8"/>
    <x v="1"/>
    <x v="0"/>
  </r>
  <r>
    <x v="0"/>
    <s v="NWSL Halftime Sponsorship 2025"/>
    <s v="Billing Request- 00101074"/>
    <x v="6"/>
    <d v="2025-09-18T00:00:00"/>
    <d v="2025-10-03T00:00:00"/>
    <x v="0"/>
    <s v="a6JHn2678829"/>
    <x v="3"/>
    <s v="Oct"/>
    <s v="Incorrect legal terms delayed PTS."/>
    <n v="15"/>
    <x v="3"/>
    <x v="14"/>
    <x v="1"/>
    <x v="0"/>
  </r>
  <r>
    <x v="0"/>
    <s v="WNBA Incremental Scatter 2025"/>
    <s v="Billing Request- 00101075"/>
    <x v="2"/>
    <d v="2025-11-30T00:00:00"/>
    <d v="2026-01-08T00:00:00"/>
    <x v="0"/>
    <s v="a6JHn1265919"/>
    <x v="2"/>
    <s v="Nov"/>
    <s v="Client requested retroactive billing adjustments."/>
    <n v="39"/>
    <x v="1"/>
    <x v="15"/>
    <x v="2"/>
    <x v="0"/>
  </r>
  <r>
    <x v="0"/>
    <s v="Amazon NBA Live Sports 2025"/>
    <s v="Billing Request- 00101077"/>
    <x v="6"/>
    <d v="2025-08-01T00:00:00"/>
    <d v="2025-11-15T00:00:00"/>
    <x v="1"/>
    <s v="a6Jat4046988"/>
    <x v="6"/>
    <s v="Jun"/>
    <s v="Client requested retroactive billing adjustments."/>
    <n v="106"/>
    <x v="0"/>
    <x v="8"/>
    <x v="2"/>
    <x v="0"/>
  </r>
  <r>
    <x v="0"/>
    <s v="NASCAR Apex 2025 2025"/>
    <s v="Billing Request- 00101078"/>
    <x v="4"/>
    <d v="2025-06-06T00:00:00"/>
    <d v="2025-07-28T00:00:00"/>
    <x v="2"/>
    <s v="a6Jat6563023"/>
    <x v="0"/>
    <s v="Feb"/>
    <s v="Agency submitted updated invoice mapping."/>
    <n v="52"/>
    <x v="1"/>
    <x v="9"/>
    <x v="0"/>
    <x v="0"/>
  </r>
  <r>
    <x v="0"/>
    <s v="NWSL Halftime Sponsorship 2026"/>
    <s v="Billing Request- 00101079"/>
    <x v="9"/>
    <d v="2026-01-12T00:00:00"/>
    <d v="2026-03-23T00:00:00"/>
    <x v="2"/>
    <s v="a6Jat2545582"/>
    <x v="6"/>
    <s v="Apr"/>
    <s v="Finance validation process delay."/>
    <n v="70"/>
    <x v="0"/>
    <x v="7"/>
    <x v="1"/>
    <x v="1"/>
  </r>
  <r>
    <x v="0"/>
    <s v="Streaming Bundle Initiative 2025"/>
    <s v="Billing Request- 00101080"/>
    <x v="2"/>
    <d v="2025-08-01T00:00:00"/>
    <d v="2025-11-19T00:00:00"/>
    <x v="2"/>
    <s v="a6JXt1012106"/>
    <x v="0"/>
    <s v="Jul; Aug"/>
    <s v="Late media plan changes from client."/>
    <n v="110"/>
    <x v="0"/>
    <x v="8"/>
    <x v="3"/>
    <x v="0"/>
  </r>
  <r>
    <x v="0"/>
    <s v="Amazon TNF 2024 2026"/>
    <s v="Billing Request- 00101082"/>
    <x v="7"/>
    <d v="2026-02-06T00:00:00"/>
    <d v="2026-03-07T00:00:00"/>
    <x v="2"/>
    <s v="a6JXt2765436"/>
    <x v="4"/>
    <s v="Sep"/>
    <s v="Agency submitted updated invoice mapping."/>
    <n v="29"/>
    <x v="3"/>
    <x v="1"/>
    <x v="4"/>
    <x v="1"/>
  </r>
  <r>
    <x v="0"/>
    <s v="NWSL Prime Video 2025"/>
    <s v="Billing Request- 00101083"/>
    <x v="5"/>
    <d v="2025-06-04T00:00:00"/>
    <d v="2025-07-17T00:00:00"/>
    <x v="2"/>
    <s v="a6JHn7287608"/>
    <x v="5"/>
    <s v="Feb"/>
    <s v="Missing supporting documentation from vendor."/>
    <n v="43"/>
    <x v="1"/>
    <x v="9"/>
    <x v="1"/>
    <x v="0"/>
  </r>
  <r>
    <x v="0"/>
    <s v="NFL Prime Video 2025"/>
    <s v="Billing Request- 00101084"/>
    <x v="9"/>
    <d v="2025-04-12T00:00:00"/>
    <d v="2025-05-06T00:00:00"/>
    <x v="0"/>
    <s v="a6Jat3715983"/>
    <x v="3"/>
    <s v="Jan"/>
    <s v="Finance validation process delay."/>
    <n v="24"/>
    <x v="3"/>
    <x v="3"/>
    <x v="3"/>
    <x v="0"/>
  </r>
  <r>
    <x v="0"/>
    <s v="Streaming Bundle Initiative 2025"/>
    <s v="Billing Request- 00101085"/>
    <x v="3"/>
    <d v="2025-06-26T00:00:00"/>
    <d v="2025-07-21T00:00:00"/>
    <x v="2"/>
    <s v="a6JXt5409130"/>
    <x v="0"/>
    <s v="Apr"/>
    <s v="Late media plan changes from client."/>
    <n v="25"/>
    <x v="3"/>
    <x v="9"/>
    <x v="3"/>
    <x v="0"/>
  </r>
  <r>
    <x v="1"/>
    <s v="NASCAR Apex 2025 2025"/>
    <s v="Billing Request- 00101086"/>
    <x v="3"/>
    <d v="2025-09-21T00:00:00"/>
    <d v="2026-01-18T00:00:00"/>
    <x v="2"/>
    <s v="a6JHn9176462"/>
    <x v="0"/>
    <s v="Apr"/>
    <s v="Invoice details mismatch with approved campaign."/>
    <n v="119"/>
    <x v="0"/>
    <x v="14"/>
    <x v="0"/>
    <x v="0"/>
  </r>
  <r>
    <x v="0"/>
    <s v="NASCAR Apex 2025 2026"/>
    <s v="Billing Request- 00101087"/>
    <x v="7"/>
    <d v="2026-03-09T00:00:00"/>
    <d v="2026-03-18T00:00:00"/>
    <x v="1"/>
    <s v="a6Jat2586848"/>
    <x v="0"/>
    <s v="Apr"/>
    <s v="Incorrect legal terms delayed PTS."/>
    <n v="9"/>
    <x v="4"/>
    <x v="2"/>
    <x v="0"/>
    <x v="1"/>
  </r>
  <r>
    <x v="0"/>
    <s v="NASCAR Apex 2025 2025"/>
    <s v="Billing Request- 00101088"/>
    <x v="5"/>
    <d v="2025-06-01T00:00:00"/>
    <d v="2025-06-18T00:00:00"/>
    <x v="2"/>
    <s v="a6Jat9467858"/>
    <x v="0"/>
    <s v="Sep; Oct"/>
    <s v="Manual billing entry issue."/>
    <n v="17"/>
    <x v="3"/>
    <x v="9"/>
    <x v="0"/>
    <x v="0"/>
  </r>
  <r>
    <x v="4"/>
    <s v="Streaming Bundle Initiative 2026"/>
    <s v="Billing Request- 00101091"/>
    <x v="9"/>
    <d v="2026-02-08T00:00:00"/>
    <d v="2026-04-19T00:00:00"/>
    <x v="2"/>
    <s v="a6JHn5974384"/>
    <x v="5"/>
    <s v="Mar; Apr"/>
    <s v="Finance validation process delay."/>
    <n v="70"/>
    <x v="0"/>
    <x v="1"/>
    <x v="3"/>
    <x v="1"/>
  </r>
  <r>
    <x v="0"/>
    <s v="NASCAR P&amp;Q 2025"/>
    <s v="Billing Request- 00101092"/>
    <x v="7"/>
    <d v="2025-03-11T00:00:00"/>
    <d v="2025-06-12T00:00:00"/>
    <x v="0"/>
    <s v="a6JXt6227870"/>
    <x v="2"/>
    <s v="Mar"/>
    <s v="Client requested retroactive billing adjustments."/>
    <n v="93"/>
    <x v="0"/>
    <x v="13"/>
    <x v="0"/>
    <x v="0"/>
  </r>
  <r>
    <x v="0"/>
    <s v="NWSL Halftime Sponsorship 2026"/>
    <s v="Billing Request- 00101093"/>
    <x v="5"/>
    <d v="2026-02-05T00:00:00"/>
    <d v="2026-02-24T00:00:00"/>
    <x v="0"/>
    <s v="a6Jat7563888"/>
    <x v="2"/>
    <s v="Mar; Apr"/>
    <s v="Missing supporting documentation from vendor."/>
    <n v="19"/>
    <x v="3"/>
    <x v="1"/>
    <x v="1"/>
    <x v="1"/>
  </r>
  <r>
    <x v="0"/>
    <s v="NASCAR P&amp;Q 2025"/>
    <s v="Billing Request- 00101094"/>
    <x v="1"/>
    <d v="2025-05-08T00:00:00"/>
    <d v="2025-08-23T00:00:00"/>
    <x v="1"/>
    <s v="a6Jat7735054"/>
    <x v="2"/>
    <s v="May"/>
    <s v="Manual billing entry issue."/>
    <n v="107"/>
    <x v="0"/>
    <x v="4"/>
    <x v="0"/>
    <x v="0"/>
  </r>
  <r>
    <x v="0"/>
    <s v="NASCAR P&amp;Q 2025"/>
    <s v="Billing Request- 00101095"/>
    <x v="0"/>
    <d v="2025-12-11T00:00:00"/>
    <d v="2026-01-16T00:00:00"/>
    <x v="2"/>
    <s v="a6JXt2721547"/>
    <x v="0"/>
    <s v="Aug"/>
    <s v="Finance validation process delay."/>
    <n v="36"/>
    <x v="1"/>
    <x v="11"/>
    <x v="0"/>
    <x v="0"/>
  </r>
  <r>
    <x v="0"/>
    <s v="NWSL Prime Video 2026"/>
    <s v="Billing Request- 00101098"/>
    <x v="2"/>
    <d v="2026-04-03T00:00:00"/>
    <d v="2026-05-04T00:00:00"/>
    <x v="0"/>
    <s v="a6JHn5628257"/>
    <x v="2"/>
    <s v="Sep; Oct"/>
    <s v="Invoice details mismatch with approved campaign."/>
    <n v="31"/>
    <x v="1"/>
    <x v="10"/>
    <x v="1"/>
    <x v="1"/>
  </r>
  <r>
    <x v="0"/>
    <s v="Amazon TNF 2024 2025"/>
    <s v="Billing Request- 00101099"/>
    <x v="7"/>
    <d v="2025-05-09T00:00:00"/>
    <d v="2025-06-24T00:00:00"/>
    <x v="0"/>
    <s v="a6Jat9304320"/>
    <x v="5"/>
    <s v="Mar; Apr"/>
    <s v="Late media plan changes from client."/>
    <n v="46"/>
    <x v="1"/>
    <x v="4"/>
    <x v="4"/>
    <x v="0"/>
  </r>
  <r>
    <x v="0"/>
    <s v="NBA League Pass 2025"/>
    <s v="Billing Request- 00101101"/>
    <x v="9"/>
    <d v="2025-03-02T00:00:00"/>
    <d v="2025-06-08T00:00:00"/>
    <x v="0"/>
    <s v="a6JXt8077121"/>
    <x v="2"/>
    <s v="Feb"/>
    <s v="Invoice details mismatch with approved campaign."/>
    <n v="98"/>
    <x v="0"/>
    <x v="13"/>
    <x v="2"/>
    <x v="0"/>
  </r>
  <r>
    <x v="2"/>
    <s v="NWSL Halftime Sponsorship 2025"/>
    <s v="Billing Request- 00101102"/>
    <x v="4"/>
    <d v="2025-08-14T00:00:00"/>
    <d v="2025-12-02T00:00:00"/>
    <x v="0"/>
    <s v="a6JXt8244357"/>
    <x v="4"/>
    <s v="Jun"/>
    <s v="Client requested retroactive billing adjustments."/>
    <n v="110"/>
    <x v="0"/>
    <x v="8"/>
    <x v="1"/>
    <x v="0"/>
  </r>
  <r>
    <x v="4"/>
    <s v="NASCAR Apex 2025 2025"/>
    <s v="Billing Request- 00101103"/>
    <x v="6"/>
    <d v="2025-06-18T00:00:00"/>
    <d v="2025-07-01T00:00:00"/>
    <x v="0"/>
    <s v="a6JHn7016123"/>
    <x v="3"/>
    <s v="Aug"/>
    <s v="Late media plan changes from client."/>
    <n v="13"/>
    <x v="4"/>
    <x v="9"/>
    <x v="0"/>
    <x v="0"/>
  </r>
  <r>
    <x v="0"/>
    <s v="NWSL Prime Video 2025"/>
    <s v="Billing Request- 00101104"/>
    <x v="9"/>
    <d v="2025-01-25T00:00:00"/>
    <d v="2025-03-08T00:00:00"/>
    <x v="2"/>
    <s v="a6JXt6400269"/>
    <x v="1"/>
    <s v="Dec"/>
    <s v="Agency submitted updated invoice mapping."/>
    <n v="42"/>
    <x v="1"/>
    <x v="0"/>
    <x v="1"/>
    <x v="0"/>
  </r>
  <r>
    <x v="0"/>
    <s v="DirecTV NASCAR Campaign 2026"/>
    <s v="Billing Request- 00101105"/>
    <x v="2"/>
    <d v="2026-01-23T00:00:00"/>
    <d v="2026-03-07T00:00:00"/>
    <x v="0"/>
    <s v="a6Jat6310561"/>
    <x v="6"/>
    <s v="Mar"/>
    <s v="Missing supporting documentation from vendor."/>
    <n v="43"/>
    <x v="1"/>
    <x v="7"/>
    <x v="0"/>
    <x v="1"/>
  </r>
  <r>
    <x v="0"/>
    <s v="Amazon NBA Live Sports 2025"/>
    <s v="Billing Request- 00101106"/>
    <x v="6"/>
    <d v="2025-09-12T00:00:00"/>
    <d v="2025-12-03T00:00:00"/>
    <x v="0"/>
    <s v="a6JHn6881989"/>
    <x v="1"/>
    <s v="May; Jun"/>
    <s v="Invoice details mismatch with approved campaign."/>
    <n v="82"/>
    <x v="0"/>
    <x v="14"/>
    <x v="2"/>
    <x v="0"/>
  </r>
  <r>
    <x v="0"/>
    <s v="Amazon TNF 2024 2026"/>
    <s v="Billing Request- 00101107"/>
    <x v="3"/>
    <d v="2026-02-13T00:00:00"/>
    <d v="2026-03-27T00:00:00"/>
    <x v="2"/>
    <s v="a6JXt5969473"/>
    <x v="5"/>
    <s v="Jun"/>
    <s v="Missing supporting documentation from vendor."/>
    <n v="42"/>
    <x v="1"/>
    <x v="1"/>
    <x v="4"/>
    <x v="1"/>
  </r>
  <r>
    <x v="0"/>
    <s v="Amazon TNF 2024 2025"/>
    <s v="Billing Request- 00101108"/>
    <x v="2"/>
    <d v="2025-02-08T00:00:00"/>
    <d v="2025-03-06T00:00:00"/>
    <x v="0"/>
    <s v="a6JXt7788683"/>
    <x v="4"/>
    <s v="Nov"/>
    <s v=""/>
    <n v="26"/>
    <x v="3"/>
    <x v="6"/>
    <x v="4"/>
    <x v="0"/>
  </r>
  <r>
    <x v="4"/>
    <s v="NWSL Halftime Sponsorship 2025"/>
    <s v="Billing Request- 00101109"/>
    <x v="6"/>
    <d v="2025-03-10T00:00:00"/>
    <d v="2025-07-06T00:00:00"/>
    <x v="0"/>
    <s v="a6JHn2379281"/>
    <x v="4"/>
    <s v="May; Jun"/>
    <s v="Client requested retroactive billing adjustments."/>
    <n v="118"/>
    <x v="0"/>
    <x v="13"/>
    <x v="1"/>
    <x v="0"/>
  </r>
  <r>
    <x v="4"/>
    <s v="DirecTV NASCAR Campaign 2025"/>
    <s v="Billing Request- 00101112"/>
    <x v="6"/>
    <d v="2025-07-18T00:00:00"/>
    <d v="2025-10-22T00:00:00"/>
    <x v="2"/>
    <s v="a6JHn8236259"/>
    <x v="3"/>
    <s v="Aug"/>
    <s v="Invoice details mismatch with approved campaign."/>
    <n v="96"/>
    <x v="0"/>
    <x v="12"/>
    <x v="0"/>
    <x v="0"/>
  </r>
  <r>
    <x v="4"/>
    <s v="NBA League Pass 2025"/>
    <s v="Billing Request- 00101113"/>
    <x v="1"/>
    <d v="2025-02-09T00:00:00"/>
    <d v="2025-05-09T00:00:00"/>
    <x v="1"/>
    <s v="a6Jat3160312"/>
    <x v="1"/>
    <s v="Sep; Oct"/>
    <s v="Finance validation process delay."/>
    <n v="89"/>
    <x v="0"/>
    <x v="6"/>
    <x v="2"/>
    <x v="0"/>
  </r>
  <r>
    <x v="0"/>
    <s v="Retail Media Expansion 2025"/>
    <s v="Billing Request- 00101114"/>
    <x v="8"/>
    <d v="2025-02-23T00:00:00"/>
    <d v="2025-06-07T00:00:00"/>
    <x v="0"/>
    <s v="a6JXt4757489"/>
    <x v="3"/>
    <s v="Feb"/>
    <s v="Finance validation process delay."/>
    <n v="104"/>
    <x v="0"/>
    <x v="6"/>
    <x v="3"/>
    <x v="0"/>
  </r>
  <r>
    <x v="1"/>
    <s v="NWSL Halftime Sponsorship 2025"/>
    <s v="Billing Request- 00101115"/>
    <x v="3"/>
    <d v="2025-09-12T00:00:00"/>
    <d v="2025-11-27T00:00:00"/>
    <x v="2"/>
    <s v="a6JXt8524049"/>
    <x v="2"/>
    <s v="Feb"/>
    <s v="Invoice details mismatch with approved campaign."/>
    <n v="76"/>
    <x v="0"/>
    <x v="14"/>
    <x v="1"/>
    <x v="0"/>
  </r>
  <r>
    <x v="0"/>
    <s v="TNF Sponsorship 2025"/>
    <s v="Billing Request- 00101116"/>
    <x v="4"/>
    <d v="2025-12-28T00:00:00"/>
    <d v="2026-01-16T00:00:00"/>
    <x v="0"/>
    <s v="a6JXt5228060"/>
    <x v="2"/>
    <s v="Jul; Aug"/>
    <s v="Missing supporting documentation from vendor."/>
    <n v="19"/>
    <x v="3"/>
    <x v="11"/>
    <x v="4"/>
    <x v="0"/>
  </r>
  <r>
    <x v="0"/>
    <s v="Amazon NBA Live Sports 2025"/>
    <s v="Billing Request- 00101117"/>
    <x v="7"/>
    <d v="2025-03-10T00:00:00"/>
    <d v="2025-04-30T00:00:00"/>
    <x v="0"/>
    <s v="a6JHn6545427"/>
    <x v="5"/>
    <s v="Sep; Oct"/>
    <s v="Missing supporting documentation from vendor."/>
    <n v="51"/>
    <x v="1"/>
    <x v="13"/>
    <x v="2"/>
    <x v="0"/>
  </r>
  <r>
    <x v="1"/>
    <s v="NBA Playoffs Campaign 2025"/>
    <s v="Billing Request- 00101119"/>
    <x v="4"/>
    <d v="2025-03-24T00:00:00"/>
    <d v="2025-06-26T00:00:00"/>
    <x v="0"/>
    <s v="a6Jat4040670"/>
    <x v="2"/>
    <s v="Jul; Aug"/>
    <s v="Incorrect legal terms delayed PTS."/>
    <n v="94"/>
    <x v="0"/>
    <x v="13"/>
    <x v="2"/>
    <x v="0"/>
  </r>
  <r>
    <x v="4"/>
    <s v="Streaming Bundle Initiative 2025"/>
    <s v="Billing Request- 00101120"/>
    <x v="6"/>
    <d v="2025-02-18T00:00:00"/>
    <d v="2025-04-11T00:00:00"/>
    <x v="2"/>
    <s v="a6JHn3323803"/>
    <x v="4"/>
    <s v="Apr"/>
    <s v="Late media plan changes from client."/>
    <n v="52"/>
    <x v="1"/>
    <x v="6"/>
    <x v="3"/>
    <x v="0"/>
  </r>
  <r>
    <x v="0"/>
    <s v="NASCAR Apex 2025 2025"/>
    <s v="Billing Request- 00101121"/>
    <x v="6"/>
    <d v="2025-12-29T00:00:00"/>
    <d v="2026-02-23T00:00:00"/>
    <x v="2"/>
    <s v="a6Jat4802391"/>
    <x v="2"/>
    <s v="Mar"/>
    <s v="Invoice details mismatch with approved campaign."/>
    <n v="56"/>
    <x v="1"/>
    <x v="11"/>
    <x v="0"/>
    <x v="0"/>
  </r>
  <r>
    <x v="3"/>
    <s v="NASCAR P&amp;Q 2025"/>
    <s v="Billing Request- 00101122"/>
    <x v="6"/>
    <d v="2025-02-18T00:00:00"/>
    <d v="2025-04-27T00:00:00"/>
    <x v="2"/>
    <s v="a6JXt1992308"/>
    <x v="6"/>
    <s v="Jun"/>
    <s v="Client requested retroactive billing adjustments."/>
    <n v="68"/>
    <x v="0"/>
    <x v="6"/>
    <x v="0"/>
    <x v="0"/>
  </r>
  <r>
    <x v="0"/>
    <s v="NASCAR Apex 2025 2026"/>
    <s v="Billing Request- 00101123"/>
    <x v="1"/>
    <d v="2026-01-04T00:00:00"/>
    <d v="2026-01-05T00:00:00"/>
    <x v="0"/>
    <s v="a6JXt7288704"/>
    <x v="4"/>
    <s v="Jul"/>
    <s v="Finance validation process delay."/>
    <n v="1"/>
    <x v="2"/>
    <x v="7"/>
    <x v="0"/>
    <x v="1"/>
  </r>
  <r>
    <x v="2"/>
    <s v="TNF Sponsorship 2025"/>
    <s v="Billing Request- 00101125"/>
    <x v="0"/>
    <d v="2025-10-03T00:00:00"/>
    <d v="2026-01-25T00:00:00"/>
    <x v="2"/>
    <s v="a6JXt4026890"/>
    <x v="5"/>
    <s v="Jun"/>
    <s v="Incorrect legal terms delayed PTS."/>
    <n v="114"/>
    <x v="0"/>
    <x v="5"/>
    <x v="4"/>
    <x v="0"/>
  </r>
  <r>
    <x v="2"/>
    <s v="Global Consumer Products 2025"/>
    <s v="Billing Request- 00101126"/>
    <x v="8"/>
    <d v="2025-11-05T00:00:00"/>
    <d v="2025-11-25T00:00:00"/>
    <x v="1"/>
    <s v="a6JXt7523750"/>
    <x v="6"/>
    <s v="Nov; Dec"/>
    <s v="Incorrect legal terms delayed PTS."/>
    <n v="20"/>
    <x v="3"/>
    <x v="15"/>
    <x v="3"/>
    <x v="0"/>
  </r>
  <r>
    <x v="0"/>
    <s v="Amazon NBA Live Sports 2025"/>
    <s v="Billing Request- 00101127"/>
    <x v="8"/>
    <d v="2025-07-07T00:00:00"/>
    <d v="2025-07-26T00:00:00"/>
    <x v="2"/>
    <s v="a6JHn1983550"/>
    <x v="1"/>
    <s v="Apr"/>
    <s v=""/>
    <n v="19"/>
    <x v="3"/>
    <x v="12"/>
    <x v="2"/>
    <x v="0"/>
  </r>
  <r>
    <x v="0"/>
    <s v="NWSL Halftime Sponsorship 2026"/>
    <s v="Billing Request- 00101129"/>
    <x v="0"/>
    <d v="2026-04-20T00:00:00"/>
    <d v="2026-05-06T00:00:00"/>
    <x v="2"/>
    <s v="a6JHn9121925"/>
    <x v="0"/>
    <s v="Oct"/>
    <s v="Finance validation process delay."/>
    <n v="16"/>
    <x v="3"/>
    <x v="10"/>
    <x v="1"/>
    <x v="1"/>
  </r>
  <r>
    <x v="0"/>
    <s v="Amazon TNF 2024 2026"/>
    <s v="Billing Request- 00101130"/>
    <x v="6"/>
    <d v="2026-03-15T00:00:00"/>
    <d v="2026-05-04T00:00:00"/>
    <x v="2"/>
    <s v="a6JXt3908477"/>
    <x v="2"/>
    <s v="Feb"/>
    <s v=""/>
    <n v="50"/>
    <x v="1"/>
    <x v="2"/>
    <x v="4"/>
    <x v="1"/>
  </r>
  <r>
    <x v="0"/>
    <s v="WNBA Incremental Scatter 2025"/>
    <s v="Billing Request- 00101132"/>
    <x v="1"/>
    <d v="2025-12-24T00:00:00"/>
    <d v="2025-12-30T00:00:00"/>
    <x v="2"/>
    <s v="a6Jat6373918"/>
    <x v="2"/>
    <s v="Jul"/>
    <s v="Finance validation process delay."/>
    <n v="6"/>
    <x v="2"/>
    <x v="11"/>
    <x v="2"/>
    <x v="0"/>
  </r>
  <r>
    <x v="0"/>
    <s v="NASCAR Apex 2025 2026"/>
    <s v="Billing Request- 00101134"/>
    <x v="9"/>
    <d v="2026-04-10T00:00:00"/>
    <d v="2026-05-08T00:00:00"/>
    <x v="2"/>
    <s v="a6Jat5331630"/>
    <x v="2"/>
    <s v="Oct"/>
    <s v="Manual billing entry issue."/>
    <n v="28"/>
    <x v="3"/>
    <x v="10"/>
    <x v="0"/>
    <x v="1"/>
  </r>
  <r>
    <x v="4"/>
    <s v="Prime Sports NFL 2026"/>
    <s v="Billing Request- 00101135"/>
    <x v="2"/>
    <d v="2026-03-11T00:00:00"/>
    <d v="2026-05-03T00:00:00"/>
    <x v="2"/>
    <s v="a6Jat9190913"/>
    <x v="5"/>
    <s v="Jan"/>
    <s v="Missing supporting documentation from vendor."/>
    <n v="53"/>
    <x v="1"/>
    <x v="2"/>
    <x v="3"/>
    <x v="1"/>
  </r>
  <r>
    <x v="0"/>
    <s v="NWSL Prime Video 2026"/>
    <s v="Billing Request- 00101137"/>
    <x v="1"/>
    <d v="2026-03-07T00:00:00"/>
    <d v="2026-05-04T00:00:00"/>
    <x v="2"/>
    <s v="a6JXt5387228"/>
    <x v="1"/>
    <s v="Apr"/>
    <s v="Missing supporting documentation from vendor."/>
    <n v="58"/>
    <x v="1"/>
    <x v="2"/>
    <x v="1"/>
    <x v="1"/>
  </r>
  <r>
    <x v="0"/>
    <s v="Streaming Bundle Initiative 2026"/>
    <s v="Billing Request- 00101138"/>
    <x v="8"/>
    <d v="2026-02-21T00:00:00"/>
    <d v="2026-03-05T00:00:00"/>
    <x v="2"/>
    <s v="a6Jat8867792"/>
    <x v="6"/>
    <s v="Apr"/>
    <s v="Manual billing entry issue."/>
    <n v="12"/>
    <x v="4"/>
    <x v="1"/>
    <x v="3"/>
    <x v="1"/>
  </r>
  <r>
    <x v="0"/>
    <s v="NASCAR P&amp;Q 2026"/>
    <s v="Billing Request- 00101140"/>
    <x v="5"/>
    <d v="2026-02-18T00:00:00"/>
    <d v="2026-05-08T00:00:00"/>
    <x v="1"/>
    <s v="a6JHn5207762"/>
    <x v="3"/>
    <s v="May; Jun"/>
    <s v="Manual billing entry issue."/>
    <n v="79"/>
    <x v="0"/>
    <x v="1"/>
    <x v="0"/>
    <x v="1"/>
  </r>
  <r>
    <x v="2"/>
    <s v="NWSL Halftime Sponsorship 2026"/>
    <s v="Billing Request- 00101141"/>
    <x v="7"/>
    <d v="2026-01-15T00:00:00"/>
    <d v="2026-03-07T00:00:00"/>
    <x v="2"/>
    <s v="a6Jat4086389"/>
    <x v="3"/>
    <s v="May; Jun"/>
    <s v="Client requested retroactive billing adjustments."/>
    <n v="51"/>
    <x v="1"/>
    <x v="7"/>
    <x v="1"/>
    <x v="1"/>
  </r>
  <r>
    <x v="0"/>
    <s v="NBA League Pass 2026"/>
    <s v="Billing Request- 00101142"/>
    <x v="1"/>
    <d v="2026-01-18T00:00:00"/>
    <d v="2026-05-06T00:00:00"/>
    <x v="2"/>
    <s v="a6JHn1951488"/>
    <x v="2"/>
    <s v="Mar"/>
    <s v="Missing supporting documentation from vendor."/>
    <n v="108"/>
    <x v="0"/>
    <x v="7"/>
    <x v="2"/>
    <x v="1"/>
  </r>
  <r>
    <x v="0"/>
    <s v="NBA League Pass 2025"/>
    <s v="Billing Request- 00101143"/>
    <x v="4"/>
    <d v="2025-01-09T00:00:00"/>
    <d v="2025-03-30T00:00:00"/>
    <x v="2"/>
    <s v="a6Jat4920197"/>
    <x v="0"/>
    <s v="Jan"/>
    <s v="Client requested retroactive billing adjustments."/>
    <n v="80"/>
    <x v="0"/>
    <x v="0"/>
    <x v="2"/>
    <x v="0"/>
  </r>
  <r>
    <x v="0"/>
    <s v="Amazon TNF 2024 2026"/>
    <s v="Billing Request- 00101144"/>
    <x v="2"/>
    <d v="2026-01-31T00:00:00"/>
    <d v="2026-05-08T00:00:00"/>
    <x v="0"/>
    <s v="a6JHn7476923"/>
    <x v="2"/>
    <s v="Jan; Feb"/>
    <s v="Finance validation process delay."/>
    <n v="97"/>
    <x v="0"/>
    <x v="7"/>
    <x v="4"/>
    <x v="1"/>
  </r>
  <r>
    <x v="0"/>
    <s v="Global Consumer Products 2026"/>
    <s v="Billing Request- 00101145"/>
    <x v="5"/>
    <d v="2026-03-02T00:00:00"/>
    <d v="2026-05-06T00:00:00"/>
    <x v="1"/>
    <s v="a6JHn9038452"/>
    <x v="0"/>
    <s v="Nov; Dec"/>
    <s v="Invoice details mismatch with approved campaign."/>
    <n v="65"/>
    <x v="0"/>
    <x v="2"/>
    <x v="3"/>
    <x v="1"/>
  </r>
  <r>
    <x v="0"/>
    <s v="NWSL Prime Video 2025"/>
    <s v="Billing Request- 00101148"/>
    <x v="3"/>
    <d v="2025-08-20T00:00:00"/>
    <d v="2025-10-16T00:00:00"/>
    <x v="2"/>
    <s v="a6JHn3233293"/>
    <x v="4"/>
    <s v="Aug"/>
    <s v="Manual billing entry issue."/>
    <n v="57"/>
    <x v="1"/>
    <x v="8"/>
    <x v="1"/>
    <x v="0"/>
  </r>
  <r>
    <x v="3"/>
    <s v="Global Consumer Products 2025"/>
    <s v="Billing Request- 00101149"/>
    <x v="2"/>
    <d v="2025-10-19T00:00:00"/>
    <d v="2025-11-13T00:00:00"/>
    <x v="2"/>
    <s v="a6JHn7288379"/>
    <x v="4"/>
    <s v="Jan; Feb"/>
    <s v="Agency submitted updated invoice mapping."/>
    <n v="25"/>
    <x v="3"/>
    <x v="5"/>
    <x v="3"/>
    <x v="0"/>
  </r>
  <r>
    <x v="3"/>
    <s v="NWSL Prime Video 2025"/>
    <s v="Billing Request- 00101150"/>
    <x v="4"/>
    <d v="2025-10-05T00:00:00"/>
    <d v="2025-12-28T00:00:00"/>
    <x v="1"/>
    <s v="a6JXt7914190"/>
    <x v="4"/>
    <s v="Jul"/>
    <s v="Invoice details mismatch with approved campaign."/>
    <n v="84"/>
    <x v="0"/>
    <x v="5"/>
    <x v="1"/>
    <x v="0"/>
  </r>
  <r>
    <x v="0"/>
    <s v="NWSL Prime Video 2025"/>
    <s v="Billing Request- 00101151"/>
    <x v="9"/>
    <d v="2025-03-22T00:00:00"/>
    <d v="2025-06-15T00:00:00"/>
    <x v="2"/>
    <s v="a6JXt4463711"/>
    <x v="5"/>
    <s v="Jun"/>
    <s v="Late media plan changes from client."/>
    <n v="85"/>
    <x v="0"/>
    <x v="13"/>
    <x v="1"/>
    <x v="0"/>
  </r>
  <r>
    <x v="0"/>
    <s v="NWSL Halftime Sponsorship 2026"/>
    <s v="Billing Request- 00101152"/>
    <x v="8"/>
    <d v="2026-02-09T00:00:00"/>
    <d v="2026-05-03T00:00:00"/>
    <x v="2"/>
    <s v="a6Jat3190350"/>
    <x v="3"/>
    <s v="Sep; Oct"/>
    <s v="Client requested retroactive billing adjustments."/>
    <n v="83"/>
    <x v="0"/>
    <x v="1"/>
    <x v="1"/>
    <x v="1"/>
  </r>
  <r>
    <x v="2"/>
    <s v="Amazon TNF 2024 2025"/>
    <s v="Billing Request- 00101153"/>
    <x v="6"/>
    <d v="2025-02-03T00:00:00"/>
    <d v="2025-02-14T00:00:00"/>
    <x v="0"/>
    <s v="a6JHn2509059"/>
    <x v="3"/>
    <s v="Jul"/>
    <s v="Agency submitted updated invoice mapping."/>
    <n v="11"/>
    <x v="4"/>
    <x v="6"/>
    <x v="4"/>
    <x v="0"/>
  </r>
  <r>
    <x v="3"/>
    <s v="DirecTV NASCAR Campaign 2026"/>
    <s v="Billing Request- 00101154"/>
    <x v="6"/>
    <d v="2026-03-20T00:00:00"/>
    <d v="2026-05-09T00:00:00"/>
    <x v="2"/>
    <s v="a6JHn8970642"/>
    <x v="2"/>
    <s v="Jun"/>
    <s v="Late media plan changes from client."/>
    <n v="50"/>
    <x v="1"/>
    <x v="2"/>
    <x v="0"/>
    <x v="1"/>
  </r>
  <r>
    <x v="0"/>
    <s v="NBA Playoffs Campaign 2025"/>
    <s v="Billing Request- 00101155"/>
    <x v="5"/>
    <d v="2025-10-15T00:00:00"/>
    <d v="2025-11-05T00:00:00"/>
    <x v="2"/>
    <s v="a6JXt7873288"/>
    <x v="5"/>
    <s v="Nov; Dec"/>
    <s v="Finance validation process delay."/>
    <n v="21"/>
    <x v="3"/>
    <x v="5"/>
    <x v="2"/>
    <x v="0"/>
  </r>
  <r>
    <x v="0"/>
    <s v="WNBA Incremental Scatter 2025"/>
    <s v="Billing Request- 00101156"/>
    <x v="4"/>
    <d v="2025-05-24T00:00:00"/>
    <d v="2025-08-21T00:00:00"/>
    <x v="2"/>
    <s v="a6JHn2628546"/>
    <x v="4"/>
    <s v="Jan; Feb"/>
    <s v="Finance validation process delay."/>
    <n v="89"/>
    <x v="0"/>
    <x v="4"/>
    <x v="2"/>
    <x v="0"/>
  </r>
  <r>
    <x v="2"/>
    <s v="TNF Sponsorship 2025"/>
    <s v="Billing Request- 00101157"/>
    <x v="4"/>
    <d v="2025-03-29T00:00:00"/>
    <d v="2025-07-06T00:00:00"/>
    <x v="2"/>
    <s v="a6Jat8505009"/>
    <x v="0"/>
    <s v="Dec"/>
    <s v="Invoice details mismatch with approved campaign."/>
    <n v="99"/>
    <x v="0"/>
    <x v="13"/>
    <x v="4"/>
    <x v="0"/>
  </r>
  <r>
    <x v="0"/>
    <s v="NBA Playoffs Campaign 2026"/>
    <s v="Billing Request- 00101158"/>
    <x v="7"/>
    <d v="2026-04-05T00:00:00"/>
    <d v="2026-04-14T00:00:00"/>
    <x v="0"/>
    <s v="a6Jat2861798"/>
    <x v="2"/>
    <s v="Nov"/>
    <s v="Late media plan changes from client."/>
    <n v="9"/>
    <x v="4"/>
    <x v="10"/>
    <x v="2"/>
    <x v="1"/>
  </r>
  <r>
    <x v="0"/>
    <s v="Streaming Bundle Initiative 2025"/>
    <s v="Billing Request- 00101159"/>
    <x v="6"/>
    <d v="2025-02-12T00:00:00"/>
    <d v="2025-03-30T00:00:00"/>
    <x v="0"/>
    <s v="a6JHn3836358"/>
    <x v="1"/>
    <s v="Sep"/>
    <s v="Manual billing entry issue."/>
    <n v="46"/>
    <x v="1"/>
    <x v="6"/>
    <x v="3"/>
    <x v="0"/>
  </r>
  <r>
    <x v="0"/>
    <s v="Prime Sports NFL 2025"/>
    <s v="Billing Request- 00101160"/>
    <x v="2"/>
    <d v="2025-09-24T00:00:00"/>
    <d v="2026-01-18T00:00:00"/>
    <x v="2"/>
    <s v="a6JXt5006465"/>
    <x v="3"/>
    <s v="May; Jun"/>
    <s v="Missing supporting documentation from vendor."/>
    <n v="116"/>
    <x v="0"/>
    <x v="14"/>
    <x v="3"/>
    <x v="0"/>
  </r>
  <r>
    <x v="0"/>
    <s v="NWSL Halftime Sponsorship 2025"/>
    <s v="Billing Request- 00101161"/>
    <x v="0"/>
    <d v="2025-05-20T00:00:00"/>
    <d v="2025-08-24T00:00:00"/>
    <x v="2"/>
    <s v="a6JXt1179145"/>
    <x v="6"/>
    <s v="Oct"/>
    <s v="Missing supporting documentation from vendor."/>
    <n v="96"/>
    <x v="0"/>
    <x v="4"/>
    <x v="1"/>
    <x v="0"/>
  </r>
  <r>
    <x v="0"/>
    <s v="DirecTV NASCAR Campaign 2025"/>
    <s v="Billing Request- 00101163"/>
    <x v="1"/>
    <d v="2025-06-25T00:00:00"/>
    <d v="2025-07-12T00:00:00"/>
    <x v="2"/>
    <s v="a6JHn5474022"/>
    <x v="0"/>
    <s v="Mar"/>
    <s v="Invoice details mismatch with approved campaign."/>
    <n v="17"/>
    <x v="3"/>
    <x v="9"/>
    <x v="0"/>
    <x v="0"/>
  </r>
  <r>
    <x v="0"/>
    <s v="WNBA Incremental Scatter 2026"/>
    <s v="Billing Request- 00101164"/>
    <x v="0"/>
    <d v="2026-01-30T00:00:00"/>
    <d v="2026-02-02T00:00:00"/>
    <x v="2"/>
    <s v="a6Jat3583794"/>
    <x v="1"/>
    <s v="Aug"/>
    <s v="Incorrect legal terms delayed PTS."/>
    <n v="3"/>
    <x v="2"/>
    <x v="7"/>
    <x v="2"/>
    <x v="1"/>
  </r>
  <r>
    <x v="3"/>
    <s v="TNF Sponsorship 2026"/>
    <s v="Billing Request- 00101165"/>
    <x v="6"/>
    <d v="2026-01-03T00:00:00"/>
    <d v="2026-04-06T00:00:00"/>
    <x v="2"/>
    <s v="a6Jat8730320"/>
    <x v="1"/>
    <s v="Apr"/>
    <s v="Incorrect legal terms delayed PTS."/>
    <n v="93"/>
    <x v="0"/>
    <x v="7"/>
    <x v="4"/>
    <x v="1"/>
  </r>
  <r>
    <x v="4"/>
    <s v="Amazon NBA Live Sports 2025"/>
    <s v="Billing Request- 00101167"/>
    <x v="8"/>
    <d v="2025-11-17T00:00:00"/>
    <d v="2026-01-24T00:00:00"/>
    <x v="0"/>
    <s v="a6JHn4121650"/>
    <x v="3"/>
    <s v="Feb"/>
    <s v="Finance validation process delay."/>
    <n v="68"/>
    <x v="0"/>
    <x v="15"/>
    <x v="2"/>
    <x v="0"/>
  </r>
  <r>
    <x v="0"/>
    <s v="WNBA Incremental Scatter 2025"/>
    <s v="Billing Request- 00101170"/>
    <x v="5"/>
    <d v="2025-06-26T00:00:00"/>
    <d v="2025-09-29T00:00:00"/>
    <x v="1"/>
    <s v="a6JHn5721932"/>
    <x v="6"/>
    <s v="Feb"/>
    <s v="Incorrect legal terms delayed PTS."/>
    <n v="95"/>
    <x v="0"/>
    <x v="9"/>
    <x v="2"/>
    <x v="0"/>
  </r>
  <r>
    <x v="0"/>
    <s v="NWSL Halftime Sponsorship 2025"/>
    <s v="Billing Request- 00101171"/>
    <x v="1"/>
    <d v="2025-01-31T00:00:00"/>
    <d v="2025-04-21T00:00:00"/>
    <x v="0"/>
    <s v="a6JHn1201308"/>
    <x v="3"/>
    <s v="Dec"/>
    <s v="Incorrect legal terms delayed PTS."/>
    <n v="80"/>
    <x v="0"/>
    <x v="0"/>
    <x v="1"/>
    <x v="0"/>
  </r>
  <r>
    <x v="4"/>
    <s v="DirecTV NASCAR Campaign 2025"/>
    <s v="Billing Request- 00101172"/>
    <x v="6"/>
    <d v="2025-06-13T00:00:00"/>
    <d v="2025-08-10T00:00:00"/>
    <x v="2"/>
    <s v="a6JHn9205525"/>
    <x v="5"/>
    <s v="Jul"/>
    <s v="Manual billing entry issue."/>
    <n v="58"/>
    <x v="1"/>
    <x v="9"/>
    <x v="0"/>
    <x v="0"/>
  </r>
  <r>
    <x v="0"/>
    <s v="NASCAR Apex 2025 2025"/>
    <s v="Billing Request- 00101173"/>
    <x v="8"/>
    <d v="2025-01-22T00:00:00"/>
    <d v="2025-04-21T00:00:00"/>
    <x v="2"/>
    <s v="a6JHn8778317"/>
    <x v="0"/>
    <s v="May"/>
    <s v="Agency submitted updated invoice mapping."/>
    <n v="89"/>
    <x v="0"/>
    <x v="0"/>
    <x v="0"/>
    <x v="0"/>
  </r>
  <r>
    <x v="4"/>
    <s v="NFL Prime Video 2025"/>
    <s v="Billing Request- 00101174"/>
    <x v="9"/>
    <d v="2025-07-17T00:00:00"/>
    <d v="2025-09-09T00:00:00"/>
    <x v="2"/>
    <s v="a6JXt3506246"/>
    <x v="3"/>
    <s v="Jan"/>
    <s v="Missing supporting documentation from vendor."/>
    <n v="54"/>
    <x v="1"/>
    <x v="12"/>
    <x v="3"/>
    <x v="0"/>
  </r>
  <r>
    <x v="0"/>
    <s v="Retail Media Expansion 2026"/>
    <s v="Billing Request- 00101175"/>
    <x v="2"/>
    <d v="2026-02-14T00:00:00"/>
    <d v="2026-03-06T00:00:00"/>
    <x v="2"/>
    <s v="a6JHn3514901"/>
    <x v="3"/>
    <s v="Jul"/>
    <s v="Client requested retroactive billing adjustments."/>
    <n v="20"/>
    <x v="3"/>
    <x v="1"/>
    <x v="3"/>
    <x v="1"/>
  </r>
  <r>
    <x v="0"/>
    <s v="Global Consumer Products 2025"/>
    <s v="Billing Request- 00101176"/>
    <x v="9"/>
    <d v="2025-03-23T00:00:00"/>
    <d v="2025-05-01T00:00:00"/>
    <x v="2"/>
    <s v="a6JXt9374127"/>
    <x v="0"/>
    <s v="Jun"/>
    <s v="Finance validation process delay."/>
    <n v="39"/>
    <x v="1"/>
    <x v="13"/>
    <x v="3"/>
    <x v="0"/>
  </r>
  <r>
    <x v="1"/>
    <s v="Amazon TNF 2024 2026"/>
    <s v="Billing Request- 00101177"/>
    <x v="5"/>
    <d v="2026-01-16T00:00:00"/>
    <d v="2026-03-03T00:00:00"/>
    <x v="0"/>
    <s v="a6JXt5854015"/>
    <x v="4"/>
    <s v="Sep; Oct"/>
    <s v="Finance validation process delay."/>
    <n v="46"/>
    <x v="1"/>
    <x v="7"/>
    <x v="4"/>
    <x v="1"/>
  </r>
  <r>
    <x v="0"/>
    <s v="DirecTV NASCAR Campaign 2026"/>
    <s v="Billing Request- 00101178"/>
    <x v="0"/>
    <d v="2026-04-17T00:00:00"/>
    <d v="2026-05-09T00:00:00"/>
    <x v="0"/>
    <s v="a6JXt8197382"/>
    <x v="6"/>
    <s v="May"/>
    <s v=""/>
    <n v="22"/>
    <x v="3"/>
    <x v="10"/>
    <x v="0"/>
    <x v="1"/>
  </r>
  <r>
    <x v="0"/>
    <s v="NWSL Prime Video 2026"/>
    <s v="Billing Request- 00101180"/>
    <x v="5"/>
    <d v="2026-03-01T00:00:00"/>
    <d v="2026-05-07T00:00:00"/>
    <x v="2"/>
    <s v="a6JHn4261117"/>
    <x v="3"/>
    <s v="Aug"/>
    <s v="Manual billing entry issue."/>
    <n v="67"/>
    <x v="0"/>
    <x v="2"/>
    <x v="1"/>
    <x v="1"/>
  </r>
  <r>
    <x v="3"/>
    <s v="Streaming Bundle Initiative 2026"/>
    <s v="Billing Request- 00101181"/>
    <x v="5"/>
    <d v="2026-03-05T00:00:00"/>
    <d v="2026-05-07T00:00:00"/>
    <x v="2"/>
    <s v="a6Jat7444855"/>
    <x v="5"/>
    <s v="Nov"/>
    <s v="Incorrect legal terms delayed PTS."/>
    <n v="63"/>
    <x v="0"/>
    <x v="2"/>
    <x v="3"/>
    <x v="1"/>
  </r>
  <r>
    <x v="0"/>
    <s v="NASCAR P&amp;Q 2025"/>
    <s v="Billing Request- 00101182"/>
    <x v="6"/>
    <d v="2025-08-25T00:00:00"/>
    <d v="2025-11-11T00:00:00"/>
    <x v="0"/>
    <s v="a6JHn3400540"/>
    <x v="1"/>
    <s v="Feb"/>
    <s v="Finance validation process delay."/>
    <n v="78"/>
    <x v="0"/>
    <x v="8"/>
    <x v="0"/>
    <x v="0"/>
  </r>
  <r>
    <x v="0"/>
    <s v="NASCAR P&amp;Q 2025"/>
    <s v="Billing Request- 00101185"/>
    <x v="1"/>
    <d v="2025-01-06T00:00:00"/>
    <d v="2025-02-14T00:00:00"/>
    <x v="2"/>
    <s v="a6JXt8070308"/>
    <x v="3"/>
    <s v="May; Jun"/>
    <s v="Agency submitted updated invoice mapping."/>
    <n v="39"/>
    <x v="1"/>
    <x v="0"/>
    <x v="0"/>
    <x v="0"/>
  </r>
  <r>
    <x v="0"/>
    <s v="Amazon NBA Live Sports 2025"/>
    <s v="Billing Request- 00101186"/>
    <x v="2"/>
    <d v="2025-07-15T00:00:00"/>
    <d v="2025-09-25T00:00:00"/>
    <x v="2"/>
    <s v="a6JHn8649458"/>
    <x v="4"/>
    <s v="May; Jun"/>
    <s v="Late media plan changes from client."/>
    <n v="72"/>
    <x v="0"/>
    <x v="12"/>
    <x v="2"/>
    <x v="0"/>
  </r>
  <r>
    <x v="0"/>
    <s v="NWSL Prime Video 2026"/>
    <s v="Billing Request- 00101190"/>
    <x v="3"/>
    <d v="2026-04-02T00:00:00"/>
    <d v="2026-05-09T00:00:00"/>
    <x v="2"/>
    <s v="a6JXt2042711"/>
    <x v="0"/>
    <s v="Jan; Feb"/>
    <s v="Agency submitted updated invoice mapping."/>
    <n v="37"/>
    <x v="1"/>
    <x v="10"/>
    <x v="1"/>
    <x v="1"/>
  </r>
  <r>
    <x v="0"/>
    <s v="Amazon NBA Live Sports 2025"/>
    <s v="Billing Request- 00101191"/>
    <x v="7"/>
    <d v="2025-02-15T00:00:00"/>
    <d v="2025-05-31T00:00:00"/>
    <x v="0"/>
    <s v="a6JHn4815074"/>
    <x v="6"/>
    <s v="Nov; Dec"/>
    <s v="Client requested retroactive billing adjustments."/>
    <n v="105"/>
    <x v="0"/>
    <x v="6"/>
    <x v="2"/>
    <x v="0"/>
  </r>
  <r>
    <x v="0"/>
    <s v="Global Consumer Products 2026"/>
    <s v="Billing Request- 00101193"/>
    <x v="3"/>
    <d v="2026-04-12T00:00:00"/>
    <d v="2026-04-15T00:00:00"/>
    <x v="0"/>
    <s v="a6JXt7961516"/>
    <x v="6"/>
    <s v="Feb"/>
    <s v="Manual billing entry issue."/>
    <n v="3"/>
    <x v="2"/>
    <x v="10"/>
    <x v="3"/>
    <x v="1"/>
  </r>
  <r>
    <x v="0"/>
    <s v="Streaming Bundle Initiative 2025"/>
    <s v="Billing Request- 00101194"/>
    <x v="3"/>
    <d v="2025-04-17T00:00:00"/>
    <d v="2025-05-17T00:00:00"/>
    <x v="0"/>
    <s v="a6JXt7175999"/>
    <x v="1"/>
    <s v="Jun"/>
    <s v="Missing supporting documentation from vendor."/>
    <n v="30"/>
    <x v="3"/>
    <x v="3"/>
    <x v="3"/>
    <x v="0"/>
  </r>
  <r>
    <x v="0"/>
    <s v="NBA League Pass 2025"/>
    <s v="Billing Request- 00101198"/>
    <x v="5"/>
    <d v="2025-11-28T00:00:00"/>
    <d v="2026-02-17T00:00:00"/>
    <x v="2"/>
    <s v="a6Jat4630984"/>
    <x v="1"/>
    <s v="Nov"/>
    <s v="Manual billing entry issue."/>
    <n v="81"/>
    <x v="0"/>
    <x v="15"/>
    <x v="2"/>
    <x v="0"/>
  </r>
  <r>
    <x v="1"/>
    <s v="NASCAR Apex 2025 2025"/>
    <s v="Billing Request- 00101199"/>
    <x v="8"/>
    <d v="2025-07-18T00:00:00"/>
    <d v="2025-10-19T00:00:00"/>
    <x v="2"/>
    <s v="a6Jat9249059"/>
    <x v="5"/>
    <s v="Oct"/>
    <s v="Manual billing entry issue."/>
    <n v="93"/>
    <x v="0"/>
    <x v="12"/>
    <x v="0"/>
    <x v="0"/>
  </r>
  <r>
    <x v="3"/>
    <s v="WNBA Incremental Scatter 2025"/>
    <s v="Billing Request- 00101202"/>
    <x v="8"/>
    <d v="2025-05-15T00:00:00"/>
    <d v="2025-07-13T00:00:00"/>
    <x v="0"/>
    <s v="a6JXt1509483"/>
    <x v="4"/>
    <s v="Jan"/>
    <s v="Incorrect legal terms delayed PTS."/>
    <n v="59"/>
    <x v="1"/>
    <x v="4"/>
    <x v="2"/>
    <x v="0"/>
  </r>
  <r>
    <x v="4"/>
    <s v="NWSL Prime Video 2025"/>
    <s v="Billing Request- 00101204"/>
    <x v="1"/>
    <d v="2025-01-16T00:00:00"/>
    <d v="2025-01-21T00:00:00"/>
    <x v="2"/>
    <s v="a6Jat1738763"/>
    <x v="1"/>
    <s v="Sep"/>
    <s v="Late media plan changes from client."/>
    <n v="5"/>
    <x v="2"/>
    <x v="0"/>
    <x v="1"/>
    <x v="0"/>
  </r>
  <r>
    <x v="0"/>
    <s v="NASCAR P&amp;Q 2025"/>
    <s v="Billing Request- 00101205"/>
    <x v="8"/>
    <d v="2025-04-14T00:00:00"/>
    <d v="2025-07-26T00:00:00"/>
    <x v="1"/>
    <s v="a6Jat4939600"/>
    <x v="1"/>
    <s v="Jan"/>
    <s v="Client requested retroactive billing adjustments."/>
    <n v="103"/>
    <x v="0"/>
    <x v="3"/>
    <x v="0"/>
    <x v="0"/>
  </r>
  <r>
    <x v="0"/>
    <s v="NWSL Halftime Sponsorship 2026"/>
    <s v="Billing Request- 00101206"/>
    <x v="1"/>
    <d v="2026-04-22T00:00:00"/>
    <d v="2026-05-04T00:00:00"/>
    <x v="0"/>
    <s v="a6JHn7107490"/>
    <x v="5"/>
    <s v="Dec"/>
    <s v="Finance validation process delay."/>
    <n v="12"/>
    <x v="4"/>
    <x v="10"/>
    <x v="1"/>
    <x v="1"/>
  </r>
  <r>
    <x v="0"/>
    <s v="DirecTV NASCAR Campaign 2026"/>
    <s v="Billing Request- 00101207"/>
    <x v="9"/>
    <d v="2026-02-11T00:00:00"/>
    <d v="2026-03-31T00:00:00"/>
    <x v="2"/>
    <s v="a6JXt6818132"/>
    <x v="4"/>
    <s v="Jan; Feb"/>
    <s v="Invoice details mismatch with approved campaign."/>
    <n v="48"/>
    <x v="1"/>
    <x v="1"/>
    <x v="0"/>
    <x v="1"/>
  </r>
  <r>
    <x v="4"/>
    <s v="NASCAR P&amp;Q 2025"/>
    <s v="Billing Request- 00101208"/>
    <x v="6"/>
    <d v="2025-06-27T00:00:00"/>
    <d v="2025-10-04T00:00:00"/>
    <x v="0"/>
    <s v="a6JHn7842181"/>
    <x v="0"/>
    <s v="Mar"/>
    <s v="Late media plan changes from client."/>
    <n v="99"/>
    <x v="0"/>
    <x v="9"/>
    <x v="0"/>
    <x v="0"/>
  </r>
  <r>
    <x v="0"/>
    <s v="NWSL Prime Video 2026"/>
    <s v="Billing Request- 00101209"/>
    <x v="6"/>
    <d v="2026-03-27T00:00:00"/>
    <d v="2026-05-07T00:00:00"/>
    <x v="0"/>
    <s v="a6Jat1717322"/>
    <x v="5"/>
    <s v="May"/>
    <s v="Invoice details mismatch with approved campaign."/>
    <n v="41"/>
    <x v="1"/>
    <x v="2"/>
    <x v="1"/>
    <x v="1"/>
  </r>
  <r>
    <x v="1"/>
    <s v="Retail Media Expansion 2025"/>
    <s v="Billing Request- 00101210"/>
    <x v="1"/>
    <d v="2025-03-23T00:00:00"/>
    <d v="2025-07-10T00:00:00"/>
    <x v="0"/>
    <s v="a6JXt7649652"/>
    <x v="1"/>
    <s v="Mar; Apr"/>
    <s v="Incorrect legal terms delayed PTS."/>
    <n v="109"/>
    <x v="0"/>
    <x v="13"/>
    <x v="3"/>
    <x v="0"/>
  </r>
  <r>
    <x v="0"/>
    <s v="Amazon TNF 2024 2026"/>
    <s v="Billing Request- 00101211"/>
    <x v="6"/>
    <d v="2026-01-11T00:00:00"/>
    <d v="2026-03-19T00:00:00"/>
    <x v="2"/>
    <s v="a6Jat4804776"/>
    <x v="0"/>
    <s v="Apr"/>
    <s v="Invoice details mismatch with approved campaign."/>
    <n v="67"/>
    <x v="0"/>
    <x v="7"/>
    <x v="4"/>
    <x v="1"/>
  </r>
  <r>
    <x v="0"/>
    <s v="NWSL Prime Video 2025"/>
    <s v="Billing Request- 00101212"/>
    <x v="7"/>
    <d v="2025-07-11T00:00:00"/>
    <d v="2025-09-20T00:00:00"/>
    <x v="2"/>
    <s v="a6JHn2785542"/>
    <x v="2"/>
    <s v="May; Jun"/>
    <s v="Agency submitted updated invoice mapping."/>
    <n v="71"/>
    <x v="0"/>
    <x v="12"/>
    <x v="1"/>
    <x v="0"/>
  </r>
  <r>
    <x v="0"/>
    <s v="Confluence Academy 2026"/>
    <s v="Billing Request- 00101213"/>
    <x v="7"/>
    <d v="2026-02-18T00:00:00"/>
    <d v="2026-05-09T00:00:00"/>
    <x v="0"/>
    <s v="a6JXt6143155"/>
    <x v="1"/>
    <s v="Jan; Feb"/>
    <s v="Late media plan changes from client."/>
    <n v="80"/>
    <x v="0"/>
    <x v="1"/>
    <x v="3"/>
    <x v="1"/>
  </r>
  <r>
    <x v="0"/>
    <s v="Amazon TNF 2024 2026"/>
    <s v="Billing Request- 00101214"/>
    <x v="1"/>
    <d v="2026-01-25T00:00:00"/>
    <d v="2026-05-08T00:00:00"/>
    <x v="2"/>
    <s v="a6Jat2196822"/>
    <x v="3"/>
    <s v="May; Jun"/>
    <s v="Incorrect legal terms delayed PTS."/>
    <n v="103"/>
    <x v="0"/>
    <x v="7"/>
    <x v="4"/>
    <x v="1"/>
  </r>
  <r>
    <x v="0"/>
    <s v="NWSL Halftime Sponsorship 2025"/>
    <s v="Billing Request- 00101215"/>
    <x v="7"/>
    <d v="2025-07-03T00:00:00"/>
    <d v="2025-09-26T00:00:00"/>
    <x v="2"/>
    <s v="a6JHn7290045"/>
    <x v="3"/>
    <s v="Mar; Apr"/>
    <s v="Finance validation process delay."/>
    <n v="85"/>
    <x v="0"/>
    <x v="12"/>
    <x v="1"/>
    <x v="0"/>
  </r>
  <r>
    <x v="0"/>
    <s v="NWSL Halftime Sponsorship 2025"/>
    <s v="Billing Request- 00101216"/>
    <x v="9"/>
    <d v="2025-10-31T00:00:00"/>
    <d v="2025-11-06T00:00:00"/>
    <x v="2"/>
    <s v="a6JHn8945647"/>
    <x v="1"/>
    <s v="Nov; Dec"/>
    <s v="Incorrect legal terms delayed PTS."/>
    <n v="6"/>
    <x v="2"/>
    <x v="5"/>
    <x v="1"/>
    <x v="0"/>
  </r>
  <r>
    <x v="0"/>
    <s v="DirecTV NASCAR Campaign 2025"/>
    <s v="Billing Request- 00101217"/>
    <x v="1"/>
    <d v="2025-10-28T00:00:00"/>
    <d v="2026-01-16T00:00:00"/>
    <x v="2"/>
    <s v="a6Jat9178027"/>
    <x v="0"/>
    <s v="Sep"/>
    <s v=""/>
    <n v="80"/>
    <x v="0"/>
    <x v="5"/>
    <x v="0"/>
    <x v="0"/>
  </r>
  <r>
    <x v="0"/>
    <s v="NWSL Halftime Sponsorship 2026"/>
    <s v="Billing Request- 00101219"/>
    <x v="3"/>
    <d v="2026-04-26T00:00:00"/>
    <d v="2026-05-05T00:00:00"/>
    <x v="2"/>
    <s v="a6JXt1473717"/>
    <x v="0"/>
    <s v="Mar"/>
    <s v=""/>
    <n v="9"/>
    <x v="4"/>
    <x v="10"/>
    <x v="1"/>
    <x v="1"/>
  </r>
  <r>
    <x v="0"/>
    <s v="WNBA Incremental Scatter 2025"/>
    <s v="Billing Request- 00101221"/>
    <x v="1"/>
    <d v="2025-08-20T00:00:00"/>
    <d v="2025-09-27T00:00:00"/>
    <x v="2"/>
    <s v="a6Jat3597049"/>
    <x v="4"/>
    <s v="Jul; Aug"/>
    <s v="Finance validation process delay."/>
    <n v="38"/>
    <x v="1"/>
    <x v="8"/>
    <x v="2"/>
    <x v="0"/>
  </r>
  <r>
    <x v="0"/>
    <s v="NWSL Halftime Sponsorship 2025"/>
    <s v="Billing Request- 00101224"/>
    <x v="1"/>
    <d v="2025-02-24T00:00:00"/>
    <d v="2025-04-19T00:00:00"/>
    <x v="2"/>
    <s v="a6JHn2123042"/>
    <x v="6"/>
    <s v="Sep"/>
    <s v="Invoice details mismatch with approved campaign."/>
    <n v="54"/>
    <x v="1"/>
    <x v="6"/>
    <x v="1"/>
    <x v="0"/>
  </r>
  <r>
    <x v="0"/>
    <s v="NBA Playoffs Campaign 2025"/>
    <s v="Billing Request- 00101225"/>
    <x v="7"/>
    <d v="2025-09-17T00:00:00"/>
    <d v="2026-01-13T00:00:00"/>
    <x v="2"/>
    <s v="a6JXt4133828"/>
    <x v="0"/>
    <s v="Nov; Dec"/>
    <s v="Invoice details mismatch with approved campaign."/>
    <n v="118"/>
    <x v="0"/>
    <x v="14"/>
    <x v="2"/>
    <x v="0"/>
  </r>
  <r>
    <x v="0"/>
    <s v="Amazon NBA Live Sports 2025"/>
    <s v="Billing Request- 00101226"/>
    <x v="2"/>
    <d v="2025-09-02T00:00:00"/>
    <d v="2025-09-11T00:00:00"/>
    <x v="2"/>
    <s v="a6Jat3472747"/>
    <x v="4"/>
    <s v="Jan; Feb"/>
    <s v="Client requested retroactive billing adjustments."/>
    <n v="9"/>
    <x v="4"/>
    <x v="14"/>
    <x v="2"/>
    <x v="0"/>
  </r>
  <r>
    <x v="0"/>
    <s v="Amazon TNF 2024 2025"/>
    <s v="Billing Request- 00101227"/>
    <x v="2"/>
    <d v="2025-09-19T00:00:00"/>
    <d v="2025-12-29T00:00:00"/>
    <x v="2"/>
    <s v="a6JXt1148604"/>
    <x v="1"/>
    <s v="May"/>
    <s v="Invoice details mismatch with approved campaign."/>
    <n v="101"/>
    <x v="0"/>
    <x v="14"/>
    <x v="4"/>
    <x v="0"/>
  </r>
  <r>
    <x v="0"/>
    <s v="Amazon NBA Live Sports 2026"/>
    <s v="Billing Request- 00101228"/>
    <x v="3"/>
    <d v="2026-05-03T00:00:00"/>
    <d v="2026-05-08T00:00:00"/>
    <x v="2"/>
    <s v="a6Jat7507169"/>
    <x v="2"/>
    <s v="Nov; Dec"/>
    <s v="Incorrect legal terms delayed PTS."/>
    <n v="5"/>
    <x v="2"/>
    <x v="16"/>
    <x v="2"/>
    <x v="1"/>
  </r>
  <r>
    <x v="0"/>
    <s v="NASCAR Apex 2025 2026"/>
    <s v="Billing Request- 00101230"/>
    <x v="4"/>
    <d v="2026-04-03T00:00:00"/>
    <d v="2026-05-02T00:00:00"/>
    <x v="2"/>
    <s v="a6JHn7620773"/>
    <x v="4"/>
    <s v="Dec"/>
    <s v="Missing supporting documentation from vendor."/>
    <n v="29"/>
    <x v="3"/>
    <x v="10"/>
    <x v="0"/>
    <x v="1"/>
  </r>
  <r>
    <x v="0"/>
    <s v="Amazon NBA Live Sports 2025"/>
    <s v="Billing Request- 00101231"/>
    <x v="7"/>
    <d v="2025-04-26T00:00:00"/>
    <d v="2025-07-31T00:00:00"/>
    <x v="0"/>
    <s v="a6JHn3638806"/>
    <x v="5"/>
    <s v="Sep; Oct"/>
    <s v="Late media plan changes from client."/>
    <n v="96"/>
    <x v="0"/>
    <x v="3"/>
    <x v="2"/>
    <x v="0"/>
  </r>
  <r>
    <x v="0"/>
    <s v="Confluence Academy 2025"/>
    <s v="Billing Request- 00101232"/>
    <x v="4"/>
    <d v="2025-02-08T00:00:00"/>
    <d v="2025-04-05T00:00:00"/>
    <x v="2"/>
    <s v="a6JXt3442155"/>
    <x v="3"/>
    <s v="Sep"/>
    <s v="Missing supporting documentation from vendor."/>
    <n v="56"/>
    <x v="1"/>
    <x v="6"/>
    <x v="3"/>
    <x v="0"/>
  </r>
  <r>
    <x v="0"/>
    <s v="NASCAR P&amp;Q 2026"/>
    <s v="Billing Request- 00101234"/>
    <x v="0"/>
    <d v="2026-02-05T00:00:00"/>
    <d v="2026-04-07T00:00:00"/>
    <x v="1"/>
    <s v="a6JXt9673780"/>
    <x v="2"/>
    <s v="Mar"/>
    <s v="Late media plan changes from client."/>
    <n v="61"/>
    <x v="0"/>
    <x v="1"/>
    <x v="0"/>
    <x v="1"/>
  </r>
  <r>
    <x v="0"/>
    <s v="DirecTV NASCAR Campaign 2025"/>
    <s v="Billing Request- 00101235"/>
    <x v="0"/>
    <d v="2025-05-19T00:00:00"/>
    <d v="2025-09-08T00:00:00"/>
    <x v="2"/>
    <s v="a6JHn5016713"/>
    <x v="4"/>
    <s v="Dec"/>
    <s v="Late media plan changes from client."/>
    <n v="112"/>
    <x v="0"/>
    <x v="4"/>
    <x v="0"/>
    <x v="0"/>
  </r>
  <r>
    <x v="0"/>
    <s v="Confluence Academy 2025"/>
    <s v="Billing Request- 00101239"/>
    <x v="4"/>
    <d v="2025-03-16T00:00:00"/>
    <d v="2025-04-18T00:00:00"/>
    <x v="1"/>
    <s v="a6JXt7594804"/>
    <x v="6"/>
    <s v="Jul"/>
    <s v="Late media plan changes from client."/>
    <n v="33"/>
    <x v="1"/>
    <x v="13"/>
    <x v="3"/>
    <x v="0"/>
  </r>
  <r>
    <x v="0"/>
    <s v="Global Consumer Products 2026"/>
    <s v="Billing Request- 00101240"/>
    <x v="9"/>
    <d v="2026-04-27T00:00:00"/>
    <d v="2026-05-05T00:00:00"/>
    <x v="2"/>
    <s v="a6JHn1855521"/>
    <x v="2"/>
    <s v="Jul; Aug"/>
    <s v="Incorrect legal terms delayed PTS."/>
    <n v="8"/>
    <x v="4"/>
    <x v="10"/>
    <x v="3"/>
    <x v="1"/>
  </r>
  <r>
    <x v="0"/>
    <s v="NFL Prime Video 2025"/>
    <s v="Billing Request- 00101241"/>
    <x v="1"/>
    <d v="2025-07-18T00:00:00"/>
    <d v="2025-08-28T00:00:00"/>
    <x v="2"/>
    <s v="a6Jat1688446"/>
    <x v="3"/>
    <s v="Apr"/>
    <s v=""/>
    <n v="41"/>
    <x v="1"/>
    <x v="12"/>
    <x v="3"/>
    <x v="0"/>
  </r>
  <r>
    <x v="0"/>
    <s v="Prime Sports NFL 2025"/>
    <s v="Billing Request- 00101242"/>
    <x v="4"/>
    <d v="2025-03-07T00:00:00"/>
    <d v="2025-06-16T00:00:00"/>
    <x v="0"/>
    <s v="a6JXt2004617"/>
    <x v="6"/>
    <s v="Nov"/>
    <s v="Late media plan changes from client."/>
    <n v="101"/>
    <x v="0"/>
    <x v="13"/>
    <x v="3"/>
    <x v="0"/>
  </r>
  <r>
    <x v="3"/>
    <s v="NWSL Halftime Sponsorship 2026"/>
    <s v="Billing Request- 00101245"/>
    <x v="4"/>
    <d v="2026-02-26T00:00:00"/>
    <d v="2026-03-29T00:00:00"/>
    <x v="0"/>
    <s v="a6JHn2801653"/>
    <x v="4"/>
    <s v="Oct"/>
    <s v="Missing supporting documentation from vendor."/>
    <n v="31"/>
    <x v="1"/>
    <x v="1"/>
    <x v="1"/>
    <x v="1"/>
  </r>
  <r>
    <x v="0"/>
    <s v="NWSL Prime Video 2025"/>
    <s v="Billing Request- 00101246"/>
    <x v="8"/>
    <d v="2025-11-04T00:00:00"/>
    <d v="2026-02-21T00:00:00"/>
    <x v="2"/>
    <s v="a6Jat7854073"/>
    <x v="0"/>
    <s v="May"/>
    <s v="Missing supporting documentation from vendor."/>
    <n v="109"/>
    <x v="0"/>
    <x v="15"/>
    <x v="1"/>
    <x v="0"/>
  </r>
  <r>
    <x v="0"/>
    <s v="Global Consumer Products 2026"/>
    <s v="Billing Request- 00101247"/>
    <x v="6"/>
    <d v="2026-04-08T00:00:00"/>
    <d v="2026-04-11T00:00:00"/>
    <x v="0"/>
    <s v="a6JHn9790177"/>
    <x v="3"/>
    <s v="Jan"/>
    <s v="Finance validation process delay."/>
    <n v="3"/>
    <x v="2"/>
    <x v="10"/>
    <x v="3"/>
    <x v="1"/>
  </r>
  <r>
    <x v="0"/>
    <s v="NWSL Halftime Sponsorship 2025"/>
    <s v="Billing Request- 00101248"/>
    <x v="5"/>
    <d v="2025-07-18T00:00:00"/>
    <d v="2025-11-03T00:00:00"/>
    <x v="0"/>
    <s v="a6JXt7336155"/>
    <x v="1"/>
    <s v="Jan; Feb"/>
    <s v="Manual billing entry issue."/>
    <n v="108"/>
    <x v="0"/>
    <x v="12"/>
    <x v="1"/>
    <x v="0"/>
  </r>
  <r>
    <x v="0"/>
    <s v="Global Consumer Products 2025"/>
    <s v="Billing Request- 00101250"/>
    <x v="9"/>
    <d v="2025-01-12T00:00:00"/>
    <d v="2025-03-03T00:00:00"/>
    <x v="2"/>
    <s v="a6JHn8471356"/>
    <x v="6"/>
    <s v="Mar; Apr"/>
    <s v="Late media plan changes from client."/>
    <n v="50"/>
    <x v="1"/>
    <x v="0"/>
    <x v="3"/>
    <x v="0"/>
  </r>
  <r>
    <x v="0"/>
    <s v="NASCAR Apex 2025 2025"/>
    <s v="Billing Request- 00101251"/>
    <x v="0"/>
    <d v="2025-05-18T00:00:00"/>
    <d v="2025-07-04T00:00:00"/>
    <x v="2"/>
    <s v="a6JXt9676669"/>
    <x v="5"/>
    <s v="Jul"/>
    <s v="Client requested retroactive billing adjustments."/>
    <n v="47"/>
    <x v="1"/>
    <x v="4"/>
    <x v="0"/>
    <x v="0"/>
  </r>
  <r>
    <x v="0"/>
    <s v="WNBA Incremental Scatter 2026"/>
    <s v="Billing Request- 00101252"/>
    <x v="2"/>
    <d v="2026-04-04T00:00:00"/>
    <d v="2026-04-11T00:00:00"/>
    <x v="2"/>
    <s v="a6JXt1839952"/>
    <x v="6"/>
    <s v="Sep; Oct"/>
    <s v="Late media plan changes from client."/>
    <n v="7"/>
    <x v="2"/>
    <x v="10"/>
    <x v="2"/>
    <x v="1"/>
  </r>
  <r>
    <x v="3"/>
    <s v="NWSL Prime Video 2025"/>
    <s v="Billing Request- 00101253"/>
    <x v="5"/>
    <d v="2025-05-31T00:00:00"/>
    <d v="2025-06-19T00:00:00"/>
    <x v="2"/>
    <s v="a6JHn6227752"/>
    <x v="5"/>
    <s v="Mar"/>
    <s v="Manual billing entry issue."/>
    <n v="19"/>
    <x v="3"/>
    <x v="4"/>
    <x v="1"/>
    <x v="0"/>
  </r>
  <r>
    <x v="0"/>
    <s v="NBA League Pass 2026"/>
    <s v="Billing Request- 00101254"/>
    <x v="4"/>
    <d v="2026-01-14T00:00:00"/>
    <d v="2026-03-29T00:00:00"/>
    <x v="1"/>
    <s v="a6Jat4963537"/>
    <x v="1"/>
    <s v="Jul"/>
    <s v="Incorrect legal terms delayed PTS."/>
    <n v="74"/>
    <x v="0"/>
    <x v="7"/>
    <x v="2"/>
    <x v="1"/>
  </r>
  <r>
    <x v="4"/>
    <s v="DirecTV NASCAR Campaign 2026"/>
    <s v="Billing Request- 00101256"/>
    <x v="5"/>
    <d v="2026-03-25T00:00:00"/>
    <d v="2026-05-08T00:00:00"/>
    <x v="2"/>
    <s v="a6Jat7606962"/>
    <x v="4"/>
    <s v="Feb"/>
    <s v="Finance validation process delay."/>
    <n v="44"/>
    <x v="1"/>
    <x v="2"/>
    <x v="0"/>
    <x v="1"/>
  </r>
  <r>
    <x v="1"/>
    <s v="Streaming Bundle Initiative 2025"/>
    <s v="Billing Request- 00101259"/>
    <x v="2"/>
    <d v="2025-07-26T00:00:00"/>
    <d v="2025-11-17T00:00:00"/>
    <x v="1"/>
    <s v="a6JHn7798104"/>
    <x v="5"/>
    <s v="Mar; Apr"/>
    <s v="Agency submitted updated invoice mapping."/>
    <n v="114"/>
    <x v="0"/>
    <x v="12"/>
    <x v="3"/>
    <x v="0"/>
  </r>
  <r>
    <x v="0"/>
    <s v="NFL Prime Video 2025"/>
    <s v="Billing Request- 00101260"/>
    <x v="0"/>
    <d v="2025-09-13T00:00:00"/>
    <d v="2025-09-30T00:00:00"/>
    <x v="1"/>
    <s v="a6JHn2938375"/>
    <x v="0"/>
    <s v="Jan; Feb"/>
    <s v="Missing supporting documentation from vendor."/>
    <n v="17"/>
    <x v="3"/>
    <x v="14"/>
    <x v="3"/>
    <x v="0"/>
  </r>
  <r>
    <x v="0"/>
    <s v="Amazon NBA Live Sports 2025"/>
    <s v="Billing Request- 00101262"/>
    <x v="6"/>
    <d v="2025-03-14T00:00:00"/>
    <d v="2025-03-17T00:00:00"/>
    <x v="2"/>
    <s v="a6JXt8804839"/>
    <x v="4"/>
    <s v="May; Jun"/>
    <s v="Agency submitted updated invoice mapping."/>
    <n v="3"/>
    <x v="2"/>
    <x v="13"/>
    <x v="2"/>
    <x v="0"/>
  </r>
  <r>
    <x v="0"/>
    <s v="WNBA Incremental Scatter 2025"/>
    <s v="Billing Request- 00101263"/>
    <x v="9"/>
    <d v="2025-01-27T00:00:00"/>
    <d v="2025-02-28T00:00:00"/>
    <x v="2"/>
    <s v="a6JHn7485347"/>
    <x v="6"/>
    <s v="Oct"/>
    <s v="Invoice details mismatch with approved campaign."/>
    <n v="32"/>
    <x v="1"/>
    <x v="0"/>
    <x v="2"/>
    <x v="0"/>
  </r>
  <r>
    <x v="0"/>
    <s v="NWSL Halftime Sponsorship 2026"/>
    <s v="Billing Request- 00101264"/>
    <x v="4"/>
    <d v="2026-05-03T00:00:00"/>
    <d v="2026-05-09T00:00:00"/>
    <x v="2"/>
    <s v="a6JXt3784101"/>
    <x v="6"/>
    <s v="May"/>
    <s v=""/>
    <n v="6"/>
    <x v="2"/>
    <x v="16"/>
    <x v="1"/>
    <x v="1"/>
  </r>
  <r>
    <x v="0"/>
    <s v="Prime Sports NFL 2025"/>
    <s v="Billing Request- 00101266"/>
    <x v="3"/>
    <d v="2025-09-22T00:00:00"/>
    <d v="2025-12-06T00:00:00"/>
    <x v="2"/>
    <s v="a6JXt1606595"/>
    <x v="2"/>
    <s v="Sep; Oct"/>
    <s v="Incorrect legal terms delayed PTS."/>
    <n v="75"/>
    <x v="0"/>
    <x v="14"/>
    <x v="3"/>
    <x v="0"/>
  </r>
  <r>
    <x v="0"/>
    <s v="DirecTV NASCAR Campaign 2026"/>
    <s v="Billing Request- 00101267"/>
    <x v="5"/>
    <d v="2026-02-09T00:00:00"/>
    <d v="2026-05-06T00:00:00"/>
    <x v="0"/>
    <s v="a6JXt5481292"/>
    <x v="4"/>
    <s v="Jul"/>
    <s v="Incorrect legal terms delayed PTS."/>
    <n v="86"/>
    <x v="0"/>
    <x v="1"/>
    <x v="0"/>
    <x v="1"/>
  </r>
  <r>
    <x v="0"/>
    <s v="WNBA Incremental Scatter 2025"/>
    <s v="Billing Request- 00101268"/>
    <x v="9"/>
    <d v="2025-05-22T00:00:00"/>
    <d v="2025-07-12T00:00:00"/>
    <x v="2"/>
    <s v="a6Jat4263058"/>
    <x v="5"/>
    <s v="Jul"/>
    <s v="Missing supporting documentation from vendor."/>
    <n v="51"/>
    <x v="1"/>
    <x v="4"/>
    <x v="2"/>
    <x v="0"/>
  </r>
  <r>
    <x v="1"/>
    <s v="Global Consumer Products 2026"/>
    <s v="Billing Request- 00101269"/>
    <x v="4"/>
    <d v="2026-02-08T00:00:00"/>
    <d v="2026-04-04T00:00:00"/>
    <x v="2"/>
    <s v="a6Jat3741253"/>
    <x v="3"/>
    <s v="Jul; Aug"/>
    <s v="Incorrect legal terms delayed PTS."/>
    <n v="55"/>
    <x v="1"/>
    <x v="1"/>
    <x v="3"/>
    <x v="1"/>
  </r>
  <r>
    <x v="0"/>
    <s v="DirecTV NASCAR Campaign 2026"/>
    <s v="Billing Request- 00101271"/>
    <x v="2"/>
    <d v="2026-03-26T00:00:00"/>
    <d v="2026-05-04T00:00:00"/>
    <x v="0"/>
    <s v="a6JXt9724962"/>
    <x v="1"/>
    <s v="Aug"/>
    <s v="Manual billing entry issue."/>
    <n v="39"/>
    <x v="1"/>
    <x v="2"/>
    <x v="0"/>
    <x v="1"/>
  </r>
  <r>
    <x v="0"/>
    <s v="DirecTV NASCAR Campaign 2026"/>
    <s v="Billing Request- 00101272"/>
    <x v="0"/>
    <d v="2026-04-22T00:00:00"/>
    <d v="2026-05-07T00:00:00"/>
    <x v="1"/>
    <s v="a6JHn1860445"/>
    <x v="3"/>
    <s v="Sep"/>
    <s v="Incorrect legal terms delayed PTS."/>
    <n v="15"/>
    <x v="3"/>
    <x v="10"/>
    <x v="0"/>
    <x v="1"/>
  </r>
  <r>
    <x v="3"/>
    <s v="Amazon NBA Live Sports 2026"/>
    <s v="Billing Request- 00101273"/>
    <x v="6"/>
    <d v="2026-02-27T00:00:00"/>
    <d v="2026-05-08T00:00:00"/>
    <x v="1"/>
    <s v="a6JXt9486648"/>
    <x v="0"/>
    <s v="Jan; Feb"/>
    <s v="Missing supporting documentation from vendor."/>
    <n v="70"/>
    <x v="0"/>
    <x v="1"/>
    <x v="2"/>
    <x v="1"/>
  </r>
  <r>
    <x v="0"/>
    <s v="NBA Playoffs Campaign 2025"/>
    <s v="Billing Request- 00101274"/>
    <x v="6"/>
    <d v="2025-06-03T00:00:00"/>
    <d v="2025-06-14T00:00:00"/>
    <x v="1"/>
    <s v="a6JXt2112674"/>
    <x v="6"/>
    <s v="Mar; Apr"/>
    <s v="Missing supporting documentation from vendor."/>
    <n v="11"/>
    <x v="4"/>
    <x v="9"/>
    <x v="2"/>
    <x v="0"/>
  </r>
  <r>
    <x v="0"/>
    <s v="NWSL Halftime Sponsorship 2026"/>
    <s v="Billing Request- 00101275"/>
    <x v="8"/>
    <d v="2026-02-09T00:00:00"/>
    <d v="2026-04-04T00:00:00"/>
    <x v="2"/>
    <s v="a6JHn4954093"/>
    <x v="0"/>
    <s v="Jan; Feb"/>
    <s v="Manual billing entry issue."/>
    <n v="54"/>
    <x v="1"/>
    <x v="1"/>
    <x v="1"/>
    <x v="1"/>
  </r>
  <r>
    <x v="0"/>
    <s v="NBA Playoffs Campaign 2025"/>
    <s v="Billing Request- 00101276"/>
    <x v="1"/>
    <d v="2025-05-01T00:00:00"/>
    <d v="2025-06-07T00:00:00"/>
    <x v="2"/>
    <s v="a6JXt7322454"/>
    <x v="6"/>
    <s v="Mar"/>
    <s v="Incorrect legal terms delayed PTS."/>
    <n v="37"/>
    <x v="1"/>
    <x v="4"/>
    <x v="2"/>
    <x v="0"/>
  </r>
  <r>
    <x v="0"/>
    <s v="Streaming Bundle Initiative 2026"/>
    <s v="Billing Request- 00101277"/>
    <x v="4"/>
    <d v="2026-01-03T00:00:00"/>
    <d v="2026-01-23T00:00:00"/>
    <x v="2"/>
    <s v="a6JXt3548252"/>
    <x v="6"/>
    <s v="Jul; Aug"/>
    <s v="Agency submitted updated invoice mapping."/>
    <n v="20"/>
    <x v="3"/>
    <x v="7"/>
    <x v="3"/>
    <x v="1"/>
  </r>
  <r>
    <x v="0"/>
    <s v="Global Consumer Products 2025"/>
    <s v="Billing Request- 00101280"/>
    <x v="3"/>
    <d v="2025-09-27T00:00:00"/>
    <d v="2025-10-07T00:00:00"/>
    <x v="2"/>
    <s v="a6JHn3640633"/>
    <x v="6"/>
    <s v="Jul; Aug"/>
    <s v="Manual billing entry issue."/>
    <n v="10"/>
    <x v="4"/>
    <x v="14"/>
    <x v="3"/>
    <x v="0"/>
  </r>
  <r>
    <x v="0"/>
    <s v="DirecTV NASCAR Campaign 2025"/>
    <s v="Billing Request- 00101281"/>
    <x v="3"/>
    <d v="2025-01-17T00:00:00"/>
    <d v="2025-03-09T00:00:00"/>
    <x v="2"/>
    <s v="a6JHn7018858"/>
    <x v="3"/>
    <s v="Oct"/>
    <s v="Missing supporting documentation from vendor."/>
    <n v="51"/>
    <x v="1"/>
    <x v="0"/>
    <x v="0"/>
    <x v="0"/>
  </r>
  <r>
    <x v="0"/>
    <s v="DirecTV NASCAR Campaign 2025"/>
    <s v="Billing Request- 00101282"/>
    <x v="4"/>
    <d v="2025-05-01T00:00:00"/>
    <d v="2025-08-11T00:00:00"/>
    <x v="2"/>
    <s v="a6Jat3604144"/>
    <x v="6"/>
    <s v="Feb"/>
    <s v="Incorrect legal terms delayed PTS."/>
    <n v="102"/>
    <x v="0"/>
    <x v="4"/>
    <x v="0"/>
    <x v="0"/>
  </r>
  <r>
    <x v="0"/>
    <s v="Amazon NBA Live Sports 2026"/>
    <s v="Billing Request- 00101284"/>
    <x v="6"/>
    <d v="2026-03-19T00:00:00"/>
    <d v="2026-05-04T00:00:00"/>
    <x v="2"/>
    <s v="a6JHn4212645"/>
    <x v="6"/>
    <s v="Feb"/>
    <s v="Client requested retroactive billing adjustments."/>
    <n v="46"/>
    <x v="1"/>
    <x v="2"/>
    <x v="2"/>
    <x v="1"/>
  </r>
  <r>
    <x v="0"/>
    <s v="Amazon NBA Live Sports 2026"/>
    <s v="Billing Request- 00101285"/>
    <x v="8"/>
    <d v="2026-03-06T00:00:00"/>
    <d v="2026-04-25T00:00:00"/>
    <x v="1"/>
    <s v="a6JXt6428764"/>
    <x v="4"/>
    <s v="Nov"/>
    <s v="Missing supporting documentation from vendor."/>
    <n v="50"/>
    <x v="1"/>
    <x v="2"/>
    <x v="2"/>
    <x v="1"/>
  </r>
  <r>
    <x v="3"/>
    <s v="WNBA Incremental Scatter 2025"/>
    <s v="Billing Request- 00101286"/>
    <x v="1"/>
    <d v="2025-10-18T00:00:00"/>
    <d v="2026-02-07T00:00:00"/>
    <x v="2"/>
    <s v="a6JHn7975983"/>
    <x v="0"/>
    <s v="Nov"/>
    <s v="Agency submitted updated invoice mapping."/>
    <n v="112"/>
    <x v="0"/>
    <x v="5"/>
    <x v="2"/>
    <x v="0"/>
  </r>
  <r>
    <x v="0"/>
    <s v="NASCAR P&amp;Q 2025"/>
    <s v="Billing Request- 00101288"/>
    <x v="7"/>
    <d v="2025-11-11T00:00:00"/>
    <d v="2025-12-29T00:00:00"/>
    <x v="0"/>
    <s v="a6JXt4384186"/>
    <x v="4"/>
    <s v="Nov"/>
    <s v=""/>
    <n v="48"/>
    <x v="1"/>
    <x v="15"/>
    <x v="0"/>
    <x v="0"/>
  </r>
  <r>
    <x v="0"/>
    <s v="NASCAR Apex 2025 2026"/>
    <s v="Billing Request- 00101290"/>
    <x v="9"/>
    <d v="2026-04-27T00:00:00"/>
    <d v="2026-05-03T00:00:00"/>
    <x v="2"/>
    <s v="a6Jat8961083"/>
    <x v="0"/>
    <s v="Aug"/>
    <s v="Invoice details mismatch with approved campaign."/>
    <n v="6"/>
    <x v="2"/>
    <x v="10"/>
    <x v="0"/>
    <x v="1"/>
  </r>
  <r>
    <x v="3"/>
    <s v="NASCAR Apex 2025 2026"/>
    <s v="Billing Request- 00101291"/>
    <x v="9"/>
    <d v="2026-02-27T00:00:00"/>
    <d v="2026-04-26T00:00:00"/>
    <x v="0"/>
    <s v="a6Jat5263793"/>
    <x v="3"/>
    <s v="Jan"/>
    <s v=""/>
    <n v="58"/>
    <x v="1"/>
    <x v="1"/>
    <x v="0"/>
    <x v="1"/>
  </r>
  <r>
    <x v="0"/>
    <s v="Global Consumer Products 2026"/>
    <s v="Billing Request- 00101294"/>
    <x v="1"/>
    <d v="2026-03-02T00:00:00"/>
    <d v="2026-05-06T00:00:00"/>
    <x v="0"/>
    <s v="a6Jat8205822"/>
    <x v="3"/>
    <s v="Aug"/>
    <s v="Finance validation process delay."/>
    <n v="65"/>
    <x v="0"/>
    <x v="2"/>
    <x v="3"/>
    <x v="1"/>
  </r>
  <r>
    <x v="1"/>
    <s v="Amazon NBA Live Sports 2025"/>
    <s v="Billing Request- 00101299"/>
    <x v="6"/>
    <d v="2025-12-20T00:00:00"/>
    <d v="2026-02-27T00:00:00"/>
    <x v="0"/>
    <s v="a6JHn1499778"/>
    <x v="1"/>
    <s v="Jan; Feb"/>
    <s v="Missing supporting documentation from vendor."/>
    <n v="69"/>
    <x v="0"/>
    <x v="11"/>
    <x v="2"/>
    <x v="0"/>
  </r>
  <r>
    <x v="3"/>
    <s v="NASCAR P&amp;Q 2026"/>
    <s v="Billing Request- 00101301"/>
    <x v="0"/>
    <d v="2026-04-10T00:00:00"/>
    <d v="2026-05-04T00:00:00"/>
    <x v="2"/>
    <s v="a6Jat1062440"/>
    <x v="3"/>
    <s v="Jan"/>
    <s v="Invoice details mismatch with approved campaign."/>
    <n v="24"/>
    <x v="3"/>
    <x v="10"/>
    <x v="0"/>
    <x v="1"/>
  </r>
  <r>
    <x v="3"/>
    <s v="TNF Sponsorship 2025"/>
    <s v="Billing Request- 00101302"/>
    <x v="3"/>
    <d v="2025-08-01T00:00:00"/>
    <d v="2025-11-05T00:00:00"/>
    <x v="2"/>
    <s v="a6Jat9732778"/>
    <x v="1"/>
    <s v="Apr"/>
    <s v="Agency submitted updated invoice mapping."/>
    <n v="96"/>
    <x v="0"/>
    <x v="8"/>
    <x v="4"/>
    <x v="0"/>
  </r>
  <r>
    <x v="0"/>
    <s v="NASCAR P&amp;Q 2025"/>
    <s v="Billing Request- 00101303"/>
    <x v="7"/>
    <d v="2025-10-11T00:00:00"/>
    <d v="2025-12-21T00:00:00"/>
    <x v="2"/>
    <s v="a6JXt6319500"/>
    <x v="3"/>
    <s v="Nov; Dec"/>
    <s v="Missing supporting documentation from vendor."/>
    <n v="71"/>
    <x v="0"/>
    <x v="5"/>
    <x v="0"/>
    <x v="0"/>
  </r>
  <r>
    <x v="0"/>
    <s v="NWSL Prime Video 2026"/>
    <s v="Billing Request- 00101305"/>
    <x v="6"/>
    <d v="2026-04-04T00:00:00"/>
    <d v="2026-04-14T00:00:00"/>
    <x v="2"/>
    <s v="a6Jat5784110"/>
    <x v="4"/>
    <s v="Mar"/>
    <s v="Agency submitted updated invoice mapping."/>
    <n v="10"/>
    <x v="4"/>
    <x v="10"/>
    <x v="1"/>
    <x v="1"/>
  </r>
  <r>
    <x v="1"/>
    <s v="Amazon TNF 2024 2026"/>
    <s v="Billing Request- 00101306"/>
    <x v="5"/>
    <d v="2026-01-26T00:00:00"/>
    <d v="2026-03-14T00:00:00"/>
    <x v="0"/>
    <s v="a6JHn3075794"/>
    <x v="5"/>
    <s v="Jul"/>
    <s v="Incorrect legal terms delayed PTS."/>
    <n v="47"/>
    <x v="1"/>
    <x v="7"/>
    <x v="4"/>
    <x v="1"/>
  </r>
  <r>
    <x v="0"/>
    <s v="NWSL Halftime Sponsorship 2026"/>
    <s v="Billing Request- 00101308"/>
    <x v="1"/>
    <d v="2026-01-11T00:00:00"/>
    <d v="2026-02-20T00:00:00"/>
    <x v="2"/>
    <s v="a6Jat3296660"/>
    <x v="6"/>
    <s v="Jan"/>
    <s v="Incorrect legal terms delayed PTS."/>
    <n v="40"/>
    <x v="1"/>
    <x v="7"/>
    <x v="1"/>
    <x v="1"/>
  </r>
  <r>
    <x v="0"/>
    <s v="NASCAR Apex 2025 2026"/>
    <s v="Billing Request- 00101309"/>
    <x v="1"/>
    <d v="2026-01-11T00:00:00"/>
    <d v="2026-03-13T00:00:00"/>
    <x v="2"/>
    <s v="a6JXt5153632"/>
    <x v="3"/>
    <s v="Jun"/>
    <s v="Agency submitted updated invoice mapping."/>
    <n v="61"/>
    <x v="0"/>
    <x v="7"/>
    <x v="0"/>
    <x v="1"/>
  </r>
  <r>
    <x v="0"/>
    <s v="Amazon TNF 2024 2025"/>
    <s v="Billing Request- 00101310"/>
    <x v="3"/>
    <d v="2025-10-19T00:00:00"/>
    <d v="2026-01-17T00:00:00"/>
    <x v="0"/>
    <s v="a6Jat3841550"/>
    <x v="4"/>
    <s v="Mar; Apr"/>
    <s v="Client requested retroactive billing adjustments."/>
    <n v="90"/>
    <x v="0"/>
    <x v="5"/>
    <x v="4"/>
    <x v="0"/>
  </r>
  <r>
    <x v="0"/>
    <s v="Amazon NBA Live Sports 2025"/>
    <s v="Billing Request- 00101311"/>
    <x v="7"/>
    <d v="2025-05-20T00:00:00"/>
    <d v="2025-08-02T00:00:00"/>
    <x v="2"/>
    <s v="a6Jat7516960"/>
    <x v="1"/>
    <s v="Sep; Oct"/>
    <s v="Late media plan changes from client."/>
    <n v="74"/>
    <x v="0"/>
    <x v="4"/>
    <x v="2"/>
    <x v="0"/>
  </r>
  <r>
    <x v="0"/>
    <s v="NWSL Prime Video 2025"/>
    <s v="Billing Request- 00101312"/>
    <x v="2"/>
    <d v="2025-07-27T00:00:00"/>
    <d v="2025-10-11T00:00:00"/>
    <x v="2"/>
    <s v="a6Jat8050191"/>
    <x v="2"/>
    <s v="Jul; Aug"/>
    <s v="Client requested retroactive billing adjustments."/>
    <n v="76"/>
    <x v="0"/>
    <x v="12"/>
    <x v="1"/>
    <x v="0"/>
  </r>
  <r>
    <x v="0"/>
    <s v="DirecTV NASCAR Campaign 2026"/>
    <s v="Billing Request- 00101313"/>
    <x v="7"/>
    <d v="2026-04-14T00:00:00"/>
    <d v="2026-05-08T00:00:00"/>
    <x v="2"/>
    <s v="a6JXt3012883"/>
    <x v="4"/>
    <s v="Feb"/>
    <s v="Manual billing entry issue."/>
    <n v="24"/>
    <x v="3"/>
    <x v="10"/>
    <x v="0"/>
    <x v="1"/>
  </r>
  <r>
    <x v="0"/>
    <s v="Prime Sports NFL 2026"/>
    <s v="Billing Request- 00101314"/>
    <x v="7"/>
    <d v="2026-01-12T00:00:00"/>
    <d v="2026-04-16T00:00:00"/>
    <x v="2"/>
    <s v="a6Jat1047272"/>
    <x v="2"/>
    <s v="Apr"/>
    <s v="Client requested retroactive billing adjustments."/>
    <n v="94"/>
    <x v="0"/>
    <x v="7"/>
    <x v="3"/>
    <x v="1"/>
  </r>
  <r>
    <x v="0"/>
    <s v="NWSL Halftime Sponsorship 2025"/>
    <s v="Billing Request- 00101315"/>
    <x v="6"/>
    <d v="2025-06-24T00:00:00"/>
    <d v="2025-07-21T00:00:00"/>
    <x v="0"/>
    <s v="a6Jat7186712"/>
    <x v="0"/>
    <s v="Jan; Feb"/>
    <s v=""/>
    <n v="27"/>
    <x v="3"/>
    <x v="9"/>
    <x v="1"/>
    <x v="0"/>
  </r>
  <r>
    <x v="0"/>
    <s v="NBA Playoffs Campaign 2025"/>
    <s v="Billing Request- 00101316"/>
    <x v="8"/>
    <d v="2025-08-16T00:00:00"/>
    <d v="2025-11-09T00:00:00"/>
    <x v="2"/>
    <s v="a6JXt5072979"/>
    <x v="0"/>
    <s v="Sep"/>
    <s v="Missing supporting documentation from vendor."/>
    <n v="85"/>
    <x v="0"/>
    <x v="8"/>
    <x v="2"/>
    <x v="0"/>
  </r>
  <r>
    <x v="4"/>
    <s v="NBA League Pass 2025"/>
    <s v="Billing Request- 00101319"/>
    <x v="8"/>
    <d v="2025-04-25T00:00:00"/>
    <d v="2025-06-22T00:00:00"/>
    <x v="1"/>
    <s v="a6JHn3692043"/>
    <x v="4"/>
    <s v="May; Jun"/>
    <s v="Agency submitted updated invoice mapping."/>
    <n v="58"/>
    <x v="1"/>
    <x v="3"/>
    <x v="2"/>
    <x v="0"/>
  </r>
  <r>
    <x v="0"/>
    <s v="NWSL Halftime Sponsorship 2026"/>
    <s v="Billing Request- 00101322"/>
    <x v="0"/>
    <d v="2026-02-16T00:00:00"/>
    <d v="2026-05-08T00:00:00"/>
    <x v="2"/>
    <s v="a6JXt8041836"/>
    <x v="3"/>
    <s v="Jan"/>
    <s v="Finance validation process delay."/>
    <n v="81"/>
    <x v="0"/>
    <x v="1"/>
    <x v="1"/>
    <x v="1"/>
  </r>
  <r>
    <x v="0"/>
    <s v="NBA League Pass 2025"/>
    <s v="Billing Request- 00101324"/>
    <x v="3"/>
    <d v="2025-11-16T00:00:00"/>
    <d v="2025-12-12T00:00:00"/>
    <x v="2"/>
    <s v="a6JHn5046113"/>
    <x v="3"/>
    <s v="Jul; Aug"/>
    <s v="Manual billing entry issue."/>
    <n v="26"/>
    <x v="3"/>
    <x v="15"/>
    <x v="2"/>
    <x v="0"/>
  </r>
  <r>
    <x v="0"/>
    <s v="Amazon TNF 2024 2025"/>
    <s v="Billing Request- 00101325"/>
    <x v="7"/>
    <d v="2025-10-15T00:00:00"/>
    <d v="2025-10-18T00:00:00"/>
    <x v="2"/>
    <s v="a6JHn1736129"/>
    <x v="0"/>
    <s v="Mar; Apr"/>
    <s v=""/>
    <n v="3"/>
    <x v="2"/>
    <x v="5"/>
    <x v="4"/>
    <x v="0"/>
  </r>
  <r>
    <x v="0"/>
    <s v="Streaming Bundle Initiative 2026"/>
    <s v="Billing Request- 00101326"/>
    <x v="6"/>
    <d v="2026-01-19T00:00:00"/>
    <d v="2026-02-02T00:00:00"/>
    <x v="2"/>
    <s v="a6Jat4665326"/>
    <x v="6"/>
    <s v="Feb"/>
    <s v="Late media plan changes from client."/>
    <n v="14"/>
    <x v="4"/>
    <x v="7"/>
    <x v="3"/>
    <x v="1"/>
  </r>
  <r>
    <x v="0"/>
    <s v="NWSL Prime Video 2026"/>
    <s v="Billing Request- 00101328"/>
    <x v="8"/>
    <d v="2026-03-03T00:00:00"/>
    <d v="2026-03-09T00:00:00"/>
    <x v="0"/>
    <s v="a6JXt1106646"/>
    <x v="1"/>
    <s v="Jul"/>
    <s v="Missing supporting documentation from vendor."/>
    <n v="6"/>
    <x v="2"/>
    <x v="2"/>
    <x v="1"/>
    <x v="1"/>
  </r>
  <r>
    <x v="2"/>
    <s v="Retail Media Expansion 2026"/>
    <s v="Billing Request- 00101329"/>
    <x v="6"/>
    <d v="2026-01-26T00:00:00"/>
    <d v="2026-02-07T00:00:00"/>
    <x v="2"/>
    <s v="a6JHn6854557"/>
    <x v="1"/>
    <s v="May; Jun"/>
    <s v=""/>
    <n v="12"/>
    <x v="4"/>
    <x v="7"/>
    <x v="3"/>
    <x v="1"/>
  </r>
  <r>
    <x v="0"/>
    <s v="Amazon TNF 2024 2025"/>
    <s v="Billing Request- 00101330"/>
    <x v="4"/>
    <d v="2025-01-14T00:00:00"/>
    <d v="2025-04-19T00:00:00"/>
    <x v="2"/>
    <s v="a6Jat4929552"/>
    <x v="2"/>
    <s v="Jun"/>
    <s v="Manual billing entry issue."/>
    <n v="95"/>
    <x v="0"/>
    <x v="0"/>
    <x v="4"/>
    <x v="0"/>
  </r>
  <r>
    <x v="0"/>
    <s v="NASCAR Apex 2025 2026"/>
    <s v="Billing Request- 00101331"/>
    <x v="4"/>
    <d v="2026-02-20T00:00:00"/>
    <d v="2026-03-09T00:00:00"/>
    <x v="2"/>
    <s v="a6JXt3256787"/>
    <x v="6"/>
    <s v="Jul"/>
    <s v="Invoice details mismatch with approved campaign."/>
    <n v="17"/>
    <x v="3"/>
    <x v="1"/>
    <x v="0"/>
    <x v="1"/>
  </r>
  <r>
    <x v="0"/>
    <s v="NWSL Halftime Sponsorship 2025"/>
    <s v="Billing Request- 00101332"/>
    <x v="9"/>
    <d v="2025-06-03T00:00:00"/>
    <d v="2025-09-18T00:00:00"/>
    <x v="0"/>
    <s v="a6Jat8947871"/>
    <x v="6"/>
    <s v="Jun"/>
    <s v="Invoice details mismatch with approved campaign."/>
    <n v="107"/>
    <x v="0"/>
    <x v="9"/>
    <x v="1"/>
    <x v="0"/>
  </r>
  <r>
    <x v="3"/>
    <s v="Global Consumer Products 2025"/>
    <s v="Billing Request- 00101334"/>
    <x v="0"/>
    <d v="2025-03-27T00:00:00"/>
    <d v="2025-05-01T00:00:00"/>
    <x v="2"/>
    <s v="a6JXt9939702"/>
    <x v="4"/>
    <s v="May; Jun"/>
    <s v="Missing supporting documentation from vendor."/>
    <n v="35"/>
    <x v="1"/>
    <x v="13"/>
    <x v="3"/>
    <x v="0"/>
  </r>
  <r>
    <x v="4"/>
    <s v="Confluence Academy 2025"/>
    <s v="Billing Request- 00101336"/>
    <x v="3"/>
    <d v="2025-02-16T00:00:00"/>
    <d v="2025-06-08T00:00:00"/>
    <x v="2"/>
    <s v="a6Jat4854361"/>
    <x v="1"/>
    <s v="Apr"/>
    <s v=""/>
    <n v="112"/>
    <x v="0"/>
    <x v="6"/>
    <x v="3"/>
    <x v="0"/>
  </r>
  <r>
    <x v="0"/>
    <s v="WNBA Incremental Scatter 2025"/>
    <s v="Billing Request- 00101337"/>
    <x v="7"/>
    <d v="2025-11-29T00:00:00"/>
    <d v="2026-02-12T00:00:00"/>
    <x v="2"/>
    <s v="a6Jat3121094"/>
    <x v="6"/>
    <s v="Sep; Oct"/>
    <s v=""/>
    <n v="75"/>
    <x v="0"/>
    <x v="15"/>
    <x v="2"/>
    <x v="0"/>
  </r>
  <r>
    <x v="0"/>
    <s v="TNF Sponsorship 2026"/>
    <s v="Billing Request- 00101338"/>
    <x v="3"/>
    <d v="2026-03-03T00:00:00"/>
    <d v="2026-05-05T00:00:00"/>
    <x v="2"/>
    <s v="a6JHn6571308"/>
    <x v="4"/>
    <s v="Jun"/>
    <s v="Client requested retroactive billing adjustments."/>
    <n v="63"/>
    <x v="0"/>
    <x v="2"/>
    <x v="4"/>
    <x v="1"/>
  </r>
  <r>
    <x v="0"/>
    <s v="WNBA Incremental Scatter 2025"/>
    <s v="Billing Request- 00101339"/>
    <x v="3"/>
    <d v="2025-04-16T00:00:00"/>
    <d v="2025-05-04T00:00:00"/>
    <x v="0"/>
    <s v="a6Jat8082038"/>
    <x v="6"/>
    <s v="Nov"/>
    <s v="Finance validation process delay."/>
    <n v="18"/>
    <x v="3"/>
    <x v="3"/>
    <x v="2"/>
    <x v="0"/>
  </r>
  <r>
    <x v="1"/>
    <s v="Amazon NBA Live Sports 2026"/>
    <s v="Billing Request- 00101341"/>
    <x v="4"/>
    <d v="2026-01-21T00:00:00"/>
    <d v="2026-02-01T00:00:00"/>
    <x v="2"/>
    <s v="a6JXt7233398"/>
    <x v="1"/>
    <s v="Jan"/>
    <s v="Agency submitted updated invoice mapping."/>
    <n v="11"/>
    <x v="4"/>
    <x v="7"/>
    <x v="2"/>
    <x v="1"/>
  </r>
  <r>
    <x v="0"/>
    <s v="TNF Sponsorship 2026"/>
    <s v="Billing Request- 00101342"/>
    <x v="0"/>
    <d v="2026-03-22T00:00:00"/>
    <d v="2026-05-04T00:00:00"/>
    <x v="2"/>
    <s v="a6Jat3482081"/>
    <x v="2"/>
    <s v="Nov; Dec"/>
    <s v="Finance validation process delay."/>
    <n v="43"/>
    <x v="1"/>
    <x v="2"/>
    <x v="4"/>
    <x v="1"/>
  </r>
  <r>
    <x v="0"/>
    <s v="Amazon TNF 2024 2025"/>
    <s v="Billing Request- 00101344"/>
    <x v="6"/>
    <d v="2025-08-28T00:00:00"/>
    <d v="2025-09-01T00:00:00"/>
    <x v="2"/>
    <s v="a6Jat7340038"/>
    <x v="2"/>
    <s v="Nov"/>
    <s v="Incorrect legal terms delayed PTS."/>
    <n v="4"/>
    <x v="2"/>
    <x v="8"/>
    <x v="4"/>
    <x v="0"/>
  </r>
  <r>
    <x v="0"/>
    <s v="Retail Media Expansion 2025"/>
    <s v="Billing Request- 00101345"/>
    <x v="5"/>
    <d v="2025-09-22T00:00:00"/>
    <d v="2025-10-28T00:00:00"/>
    <x v="2"/>
    <s v="a6Jat7928527"/>
    <x v="1"/>
    <s v="Sep"/>
    <s v=""/>
    <n v="36"/>
    <x v="1"/>
    <x v="14"/>
    <x v="3"/>
    <x v="0"/>
  </r>
  <r>
    <x v="0"/>
    <s v="NBA Playoffs Campaign 2025"/>
    <s v="Billing Request- 00101349"/>
    <x v="9"/>
    <d v="2025-08-31T00:00:00"/>
    <d v="2025-11-03T00:00:00"/>
    <x v="0"/>
    <s v="a6JXt2076525"/>
    <x v="3"/>
    <s v="Aug"/>
    <s v="Agency submitted updated invoice mapping."/>
    <n v="64"/>
    <x v="0"/>
    <x v="8"/>
    <x v="2"/>
    <x v="0"/>
  </r>
  <r>
    <x v="0"/>
    <s v="NWSL Prime Video 2025"/>
    <s v="Billing Request- 00101350"/>
    <x v="9"/>
    <d v="2025-03-14T00:00:00"/>
    <d v="2025-06-12T00:00:00"/>
    <x v="2"/>
    <s v="a6JXt6158936"/>
    <x v="3"/>
    <s v="Jun"/>
    <s v="Client requested retroactive billing adjustments."/>
    <n v="90"/>
    <x v="0"/>
    <x v="13"/>
    <x v="1"/>
    <x v="0"/>
  </r>
  <r>
    <x v="2"/>
    <s v="NWSL Prime Video 2025"/>
    <s v="Billing Request- 00101352"/>
    <x v="6"/>
    <d v="2025-01-21T00:00:00"/>
    <d v="2025-05-07T00:00:00"/>
    <x v="0"/>
    <s v="a6Jat6950477"/>
    <x v="1"/>
    <s v="Oct"/>
    <s v="Client requested retroactive billing adjustments."/>
    <n v="106"/>
    <x v="0"/>
    <x v="0"/>
    <x v="1"/>
    <x v="0"/>
  </r>
  <r>
    <x v="0"/>
    <s v="DirecTV NASCAR Campaign 2025"/>
    <s v="Billing Request- 00101354"/>
    <x v="7"/>
    <d v="2025-05-24T00:00:00"/>
    <d v="2025-09-12T00:00:00"/>
    <x v="0"/>
    <s v="a6JXt1377352"/>
    <x v="2"/>
    <s v="Apr"/>
    <s v="Invoice details mismatch with approved campaign."/>
    <n v="111"/>
    <x v="0"/>
    <x v="4"/>
    <x v="0"/>
    <x v="0"/>
  </r>
  <r>
    <x v="4"/>
    <s v="NWSL Halftime Sponsorship 2025"/>
    <s v="Billing Request- 00101357"/>
    <x v="0"/>
    <d v="2025-12-29T00:00:00"/>
    <d v="2026-01-14T00:00:00"/>
    <x v="0"/>
    <s v="a6Jat2586703"/>
    <x v="0"/>
    <s v="Sep; Oct"/>
    <s v="Finance validation process delay."/>
    <n v="16"/>
    <x v="3"/>
    <x v="11"/>
    <x v="1"/>
    <x v="0"/>
  </r>
  <r>
    <x v="0"/>
    <s v="NFL Prime Video 2025"/>
    <s v="Billing Request- 00101358"/>
    <x v="8"/>
    <d v="2025-03-05T00:00:00"/>
    <d v="2025-05-14T00:00:00"/>
    <x v="2"/>
    <s v="a6JXt4321723"/>
    <x v="4"/>
    <s v="May"/>
    <s v="Missing supporting documentation from vendor."/>
    <n v="70"/>
    <x v="0"/>
    <x v="13"/>
    <x v="3"/>
    <x v="0"/>
  </r>
  <r>
    <x v="0"/>
    <s v="NWSL Halftime Sponsorship 2025"/>
    <s v="Billing Request- 00101359"/>
    <x v="8"/>
    <d v="2025-04-26T00:00:00"/>
    <d v="2025-05-02T00:00:00"/>
    <x v="1"/>
    <s v="a6JXt9470588"/>
    <x v="1"/>
    <s v="Nov"/>
    <s v="Missing supporting documentation from vendor."/>
    <n v="6"/>
    <x v="2"/>
    <x v="3"/>
    <x v="1"/>
    <x v="0"/>
  </r>
  <r>
    <x v="0"/>
    <s v="Retail Media Expansion 2026"/>
    <s v="Billing Request- 00101362"/>
    <x v="4"/>
    <d v="2026-04-17T00:00:00"/>
    <d v="2026-05-09T00:00:00"/>
    <x v="2"/>
    <s v="a6JHn3246910"/>
    <x v="6"/>
    <s v="Oct"/>
    <s v="Incorrect legal terms delayed PTS."/>
    <n v="22"/>
    <x v="3"/>
    <x v="10"/>
    <x v="3"/>
    <x v="1"/>
  </r>
  <r>
    <x v="0"/>
    <s v="Global Consumer Products 2026"/>
    <s v="Billing Request- 00101363"/>
    <x v="4"/>
    <d v="2026-03-15T00:00:00"/>
    <d v="2026-03-29T00:00:00"/>
    <x v="2"/>
    <s v="a6JHn6753751"/>
    <x v="5"/>
    <s v="May"/>
    <s v="Missing supporting documentation from vendor."/>
    <n v="14"/>
    <x v="4"/>
    <x v="2"/>
    <x v="3"/>
    <x v="1"/>
  </r>
  <r>
    <x v="2"/>
    <s v="Streaming Bundle Initiative 2026"/>
    <s v="Billing Request- 00101365"/>
    <x v="6"/>
    <d v="2026-03-17T00:00:00"/>
    <d v="2026-04-03T00:00:00"/>
    <x v="2"/>
    <s v="a6JHn1356586"/>
    <x v="4"/>
    <s v="Jul; Aug"/>
    <s v="Missing supporting documentation from vendor."/>
    <n v="17"/>
    <x v="3"/>
    <x v="2"/>
    <x v="3"/>
    <x v="1"/>
  </r>
  <r>
    <x v="0"/>
    <s v="Amazon TNF 2024 2025"/>
    <s v="Billing Request- 00101366"/>
    <x v="7"/>
    <d v="2025-01-24T00:00:00"/>
    <d v="2025-04-01T00:00:00"/>
    <x v="2"/>
    <s v="a6Jat1707302"/>
    <x v="1"/>
    <s v="Feb"/>
    <s v=""/>
    <n v="67"/>
    <x v="0"/>
    <x v="0"/>
    <x v="4"/>
    <x v="0"/>
  </r>
  <r>
    <x v="4"/>
    <s v="Confluence Academy 2026"/>
    <s v="Billing Request- 00101367"/>
    <x v="8"/>
    <d v="2026-04-03T00:00:00"/>
    <d v="2026-05-06T00:00:00"/>
    <x v="0"/>
    <s v="a6JHn3583553"/>
    <x v="6"/>
    <s v="Nov"/>
    <s v="Manual billing entry issue."/>
    <n v="33"/>
    <x v="1"/>
    <x v="10"/>
    <x v="3"/>
    <x v="1"/>
  </r>
  <r>
    <x v="0"/>
    <s v="Retail Media Expansion 2025"/>
    <s v="Billing Request- 00101369"/>
    <x v="4"/>
    <d v="2025-09-06T00:00:00"/>
    <d v="2025-10-31T00:00:00"/>
    <x v="1"/>
    <s v="a6JHn5872117"/>
    <x v="6"/>
    <s v="Aug"/>
    <s v="Late media plan changes from client."/>
    <n v="55"/>
    <x v="1"/>
    <x v="14"/>
    <x v="3"/>
    <x v="0"/>
  </r>
  <r>
    <x v="4"/>
    <s v="Streaming Bundle Initiative 2026"/>
    <s v="Billing Request- 00101370"/>
    <x v="3"/>
    <d v="2026-01-02T00:00:00"/>
    <d v="2026-04-14T00:00:00"/>
    <x v="2"/>
    <s v="a6Jat9000834"/>
    <x v="2"/>
    <s v="Sep; Oct"/>
    <s v="Agency submitted updated invoice mapping."/>
    <n v="102"/>
    <x v="0"/>
    <x v="7"/>
    <x v="3"/>
    <x v="1"/>
  </r>
  <r>
    <x v="0"/>
    <s v="DirecTV NASCAR Campaign 2025"/>
    <s v="Billing Request- 00101371"/>
    <x v="8"/>
    <d v="2025-04-19T00:00:00"/>
    <d v="2025-05-19T00:00:00"/>
    <x v="2"/>
    <s v="a6JXt7217012"/>
    <x v="2"/>
    <s v="Jan"/>
    <s v="Client requested retroactive billing adjustments."/>
    <n v="30"/>
    <x v="3"/>
    <x v="3"/>
    <x v="0"/>
    <x v="0"/>
  </r>
  <r>
    <x v="0"/>
    <s v="TNF Sponsorship 2025"/>
    <s v="Billing Request- 00101372"/>
    <x v="2"/>
    <d v="2025-10-17T00:00:00"/>
    <d v="2025-12-31T00:00:00"/>
    <x v="2"/>
    <s v="a6Jat8601889"/>
    <x v="5"/>
    <s v="Jun"/>
    <s v="Missing supporting documentation from vendor."/>
    <n v="75"/>
    <x v="0"/>
    <x v="5"/>
    <x v="4"/>
    <x v="0"/>
  </r>
  <r>
    <x v="3"/>
    <s v="Streaming Bundle Initiative 2026"/>
    <s v="Billing Request- 00101373"/>
    <x v="1"/>
    <d v="2026-04-18T00:00:00"/>
    <d v="2026-05-05T00:00:00"/>
    <x v="0"/>
    <s v="a6JXt8653803"/>
    <x v="5"/>
    <s v="Oct"/>
    <s v="Agency submitted updated invoice mapping."/>
    <n v="17"/>
    <x v="3"/>
    <x v="10"/>
    <x v="3"/>
    <x v="1"/>
  </r>
  <r>
    <x v="0"/>
    <s v="NWSL Halftime Sponsorship 2025"/>
    <s v="Billing Request- 00101374"/>
    <x v="3"/>
    <d v="2025-07-07T00:00:00"/>
    <d v="2025-09-20T00:00:00"/>
    <x v="2"/>
    <s v="a6JHn1356907"/>
    <x v="3"/>
    <s v="Jul"/>
    <s v="Agency submitted updated invoice mapping."/>
    <n v="75"/>
    <x v="0"/>
    <x v="12"/>
    <x v="1"/>
    <x v="0"/>
  </r>
  <r>
    <x v="4"/>
    <s v="NBA League Pass 2026"/>
    <s v="Billing Request- 00101375"/>
    <x v="0"/>
    <d v="2026-01-28T00:00:00"/>
    <d v="2026-02-21T00:00:00"/>
    <x v="0"/>
    <s v="a6JHn7781554"/>
    <x v="5"/>
    <s v="Feb"/>
    <s v="Missing supporting documentation from vendor."/>
    <n v="24"/>
    <x v="3"/>
    <x v="7"/>
    <x v="2"/>
    <x v="1"/>
  </r>
  <r>
    <x v="0"/>
    <s v="NWSL Halftime Sponsorship 2025"/>
    <s v="Billing Request- 00101376"/>
    <x v="8"/>
    <d v="2025-01-12T00:00:00"/>
    <d v="2025-03-25T00:00:00"/>
    <x v="2"/>
    <s v="a6JHn1512046"/>
    <x v="4"/>
    <s v="Jul"/>
    <s v="Late media plan changes from client."/>
    <n v="72"/>
    <x v="0"/>
    <x v="0"/>
    <x v="1"/>
    <x v="0"/>
  </r>
  <r>
    <x v="0"/>
    <s v="Retail Media Expansion 2025"/>
    <s v="Billing Request- 00101377"/>
    <x v="3"/>
    <d v="2025-04-27T00:00:00"/>
    <d v="2025-07-03T00:00:00"/>
    <x v="0"/>
    <s v="a6JHn5092999"/>
    <x v="4"/>
    <s v="Nov; Dec"/>
    <s v="Client requested retroactive billing adjustments."/>
    <n v="67"/>
    <x v="0"/>
    <x v="3"/>
    <x v="3"/>
    <x v="0"/>
  </r>
  <r>
    <x v="3"/>
    <s v="NASCAR Apex 2025 2026"/>
    <s v="Billing Request- 00101378"/>
    <x v="6"/>
    <d v="2026-03-14T00:00:00"/>
    <d v="2026-05-09T00:00:00"/>
    <x v="2"/>
    <s v="a6Jat8283798"/>
    <x v="6"/>
    <s v="Nov; Dec"/>
    <s v="Agency submitted updated invoice mapping."/>
    <n v="56"/>
    <x v="1"/>
    <x v="2"/>
    <x v="0"/>
    <x v="1"/>
  </r>
  <r>
    <x v="0"/>
    <s v="Amazon NBA Live Sports 2025"/>
    <s v="Billing Request- 00101379"/>
    <x v="0"/>
    <d v="2025-07-03T00:00:00"/>
    <d v="2025-09-11T00:00:00"/>
    <x v="2"/>
    <s v="a6JXt7416175"/>
    <x v="0"/>
    <s v="Dec"/>
    <s v="Missing supporting documentation from vendor."/>
    <n v="70"/>
    <x v="0"/>
    <x v="12"/>
    <x v="2"/>
    <x v="0"/>
  </r>
  <r>
    <x v="4"/>
    <s v="Streaming Bundle Initiative 2025"/>
    <s v="Billing Request- 00101380"/>
    <x v="7"/>
    <d v="2025-04-21T00:00:00"/>
    <d v="2025-04-23T00:00:00"/>
    <x v="2"/>
    <s v="a6JXt3444734"/>
    <x v="1"/>
    <s v="Sep; Oct"/>
    <s v="Invoice details mismatch with approved campaign."/>
    <n v="2"/>
    <x v="2"/>
    <x v="3"/>
    <x v="3"/>
    <x v="0"/>
  </r>
  <r>
    <x v="0"/>
    <s v="NBA League Pass 2025"/>
    <s v="Billing Request- 00101381"/>
    <x v="3"/>
    <d v="2025-03-03T00:00:00"/>
    <d v="2025-04-05T00:00:00"/>
    <x v="2"/>
    <s v="a6JXt6213397"/>
    <x v="3"/>
    <s v="Feb"/>
    <s v="Client requested retroactive billing adjustments."/>
    <n v="33"/>
    <x v="1"/>
    <x v="13"/>
    <x v="2"/>
    <x v="0"/>
  </r>
  <r>
    <x v="0"/>
    <s v="WNBA Incremental Scatter 2026"/>
    <s v="Billing Request- 00101382"/>
    <x v="9"/>
    <d v="2026-02-12T00:00:00"/>
    <d v="2026-04-15T00:00:00"/>
    <x v="0"/>
    <s v="a6JHn7554404"/>
    <x v="6"/>
    <s v="Feb"/>
    <s v="Incorrect legal terms delayed PTS."/>
    <n v="62"/>
    <x v="0"/>
    <x v="1"/>
    <x v="2"/>
    <x v="1"/>
  </r>
  <r>
    <x v="0"/>
    <s v="Amazon TNF 2024 2026"/>
    <s v="Billing Request- 00101383"/>
    <x v="4"/>
    <d v="2026-04-10T00:00:00"/>
    <d v="2026-05-08T00:00:00"/>
    <x v="0"/>
    <s v="a6JHn1427572"/>
    <x v="6"/>
    <s v="Jan; Feb"/>
    <s v=""/>
    <n v="28"/>
    <x v="3"/>
    <x v="10"/>
    <x v="4"/>
    <x v="1"/>
  </r>
  <r>
    <x v="0"/>
    <s v="NWSL Prime Video 2026"/>
    <s v="Billing Request- 00101385"/>
    <x v="2"/>
    <d v="2026-02-20T00:00:00"/>
    <d v="2026-05-05T00:00:00"/>
    <x v="2"/>
    <s v="a6JHn4699556"/>
    <x v="3"/>
    <s v="Jan"/>
    <s v="Finance validation process delay."/>
    <n v="74"/>
    <x v="0"/>
    <x v="1"/>
    <x v="1"/>
    <x v="1"/>
  </r>
  <r>
    <x v="0"/>
    <s v="NWSL Halftime Sponsorship 2025"/>
    <s v="Billing Request- 00101386"/>
    <x v="9"/>
    <d v="2025-11-03T00:00:00"/>
    <d v="2025-12-10T00:00:00"/>
    <x v="1"/>
    <s v="a6Jat7764896"/>
    <x v="2"/>
    <s v="May"/>
    <s v="Agency submitted updated invoice mapping."/>
    <n v="37"/>
    <x v="1"/>
    <x v="15"/>
    <x v="1"/>
    <x v="0"/>
  </r>
  <r>
    <x v="0"/>
    <s v="Prime Sports NFL 2025"/>
    <s v="Billing Request- 00101387"/>
    <x v="5"/>
    <d v="2025-10-12T00:00:00"/>
    <d v="2026-01-23T00:00:00"/>
    <x v="0"/>
    <s v="a6JHn1800191"/>
    <x v="5"/>
    <s v="Mar"/>
    <s v="Late media plan changes from client."/>
    <n v="103"/>
    <x v="0"/>
    <x v="5"/>
    <x v="3"/>
    <x v="0"/>
  </r>
  <r>
    <x v="0"/>
    <s v="NASCAR Apex 2025 2025"/>
    <s v="Billing Request- 00101389"/>
    <x v="4"/>
    <d v="2025-03-29T00:00:00"/>
    <d v="2025-04-24T00:00:00"/>
    <x v="2"/>
    <s v="a6Jat8788907"/>
    <x v="4"/>
    <s v="Jun"/>
    <s v="Incorrect legal terms delayed PTS."/>
    <n v="26"/>
    <x v="3"/>
    <x v="13"/>
    <x v="0"/>
    <x v="0"/>
  </r>
  <r>
    <x v="0"/>
    <s v="NFL Prime Video 2025"/>
    <s v="Billing Request- 00101391"/>
    <x v="2"/>
    <d v="2025-06-26T00:00:00"/>
    <d v="2025-08-14T00:00:00"/>
    <x v="2"/>
    <s v="a6JXt5978272"/>
    <x v="3"/>
    <s v="Feb"/>
    <s v="Agency submitted updated invoice mapping."/>
    <n v="49"/>
    <x v="1"/>
    <x v="9"/>
    <x v="3"/>
    <x v="0"/>
  </r>
  <r>
    <x v="0"/>
    <s v="Amazon NBA Live Sports 2026"/>
    <s v="Billing Request- 00101392"/>
    <x v="2"/>
    <d v="2026-03-24T00:00:00"/>
    <d v="2026-03-31T00:00:00"/>
    <x v="2"/>
    <s v="a6Jat8233660"/>
    <x v="3"/>
    <s v="Feb"/>
    <s v="Manual billing entry issue."/>
    <n v="7"/>
    <x v="2"/>
    <x v="2"/>
    <x v="2"/>
    <x v="1"/>
  </r>
  <r>
    <x v="0"/>
    <s v="Prime Sports NFL 2025"/>
    <s v="Billing Request- 00101393"/>
    <x v="8"/>
    <d v="2025-12-16T00:00:00"/>
    <d v="2026-01-18T00:00:00"/>
    <x v="2"/>
    <s v="a6Jat8771291"/>
    <x v="2"/>
    <s v="Sep; Oct"/>
    <s v="Agency submitted updated invoice mapping."/>
    <n v="33"/>
    <x v="1"/>
    <x v="11"/>
    <x v="3"/>
    <x v="0"/>
  </r>
  <r>
    <x v="3"/>
    <s v="WNBA Incremental Scatter 2026"/>
    <s v="Billing Request- 00101394"/>
    <x v="5"/>
    <d v="2026-01-20T00:00:00"/>
    <d v="2026-01-22T00:00:00"/>
    <x v="0"/>
    <s v="a6JXt9996681"/>
    <x v="6"/>
    <s v="Jul"/>
    <s v="Late media plan changes from client."/>
    <n v="2"/>
    <x v="2"/>
    <x v="7"/>
    <x v="2"/>
    <x v="1"/>
  </r>
  <r>
    <x v="0"/>
    <s v="Global Consumer Products 2025"/>
    <s v="Billing Request- 00101395"/>
    <x v="7"/>
    <d v="2025-08-03T00:00:00"/>
    <d v="2025-08-25T00:00:00"/>
    <x v="2"/>
    <s v="a6JXt8347263"/>
    <x v="1"/>
    <s v="Mar; Apr"/>
    <s v="Manual billing entry issue."/>
    <n v="22"/>
    <x v="3"/>
    <x v="8"/>
    <x v="3"/>
    <x v="0"/>
  </r>
  <r>
    <x v="0"/>
    <s v="Retail Media Expansion 2026"/>
    <s v="Billing Request- 00101396"/>
    <x v="6"/>
    <d v="2026-03-04T00:00:00"/>
    <d v="2026-05-09T00:00:00"/>
    <x v="1"/>
    <s v="a6JHn1489172"/>
    <x v="4"/>
    <s v="May; Jun"/>
    <s v="Client requested retroactive billing adjustments."/>
    <n v="66"/>
    <x v="0"/>
    <x v="2"/>
    <x v="3"/>
    <x v="1"/>
  </r>
  <r>
    <x v="0"/>
    <s v="Streaming Bundle Initiative 2025"/>
    <s v="Billing Request- 00101397"/>
    <x v="8"/>
    <d v="2025-12-26T00:00:00"/>
    <d v="2026-03-12T00:00:00"/>
    <x v="1"/>
    <s v="a6Jat8609704"/>
    <x v="2"/>
    <s v="Feb"/>
    <s v="Missing supporting documentation from vendor."/>
    <n v="76"/>
    <x v="0"/>
    <x v="11"/>
    <x v="3"/>
    <x v="0"/>
  </r>
  <r>
    <x v="3"/>
    <s v="Retail Media Expansion 2026"/>
    <s v="Billing Request- 00101398"/>
    <x v="3"/>
    <d v="2026-05-08T00:00:00"/>
    <d v="2026-05-06T00:00:00"/>
    <x v="2"/>
    <s v="a6Jat7310193"/>
    <x v="4"/>
    <s v="Mar"/>
    <s v="Agency submitted updated invoice mapping."/>
    <n v="-2"/>
    <x v="2"/>
    <x v="16"/>
    <x v="3"/>
    <x v="1"/>
  </r>
  <r>
    <x v="0"/>
    <s v="NASCAR Apex 2025 2026"/>
    <s v="Billing Request- 00101400"/>
    <x v="1"/>
    <d v="2026-01-27T00:00:00"/>
    <d v="2026-04-25T00:00:00"/>
    <x v="0"/>
    <s v="a6JXt3922838"/>
    <x v="5"/>
    <s v="May"/>
    <s v="Invoice details mismatch with approved campaign."/>
    <n v="88"/>
    <x v="0"/>
    <x v="7"/>
    <x v="0"/>
    <x v="1"/>
  </r>
  <r>
    <x v="0"/>
    <s v="Confluence Academy 2025"/>
    <s v="Billing Request- 00101401"/>
    <x v="7"/>
    <d v="2025-08-22T00:00:00"/>
    <d v="2025-11-27T00:00:00"/>
    <x v="2"/>
    <s v="a6JXt5504975"/>
    <x v="0"/>
    <s v="Nov; Dec"/>
    <s v="Late media plan changes from client."/>
    <n v="97"/>
    <x v="0"/>
    <x v="8"/>
    <x v="3"/>
    <x v="0"/>
  </r>
  <r>
    <x v="4"/>
    <s v="WNBA Incremental Scatter 2026"/>
    <s v="Billing Request- 00101402"/>
    <x v="3"/>
    <d v="2026-01-05T00:00:00"/>
    <d v="2026-01-26T00:00:00"/>
    <x v="0"/>
    <s v="a6JXt4855388"/>
    <x v="0"/>
    <s v="Sep"/>
    <s v=""/>
    <n v="21"/>
    <x v="3"/>
    <x v="7"/>
    <x v="2"/>
    <x v="1"/>
  </r>
  <r>
    <x v="4"/>
    <s v="Global Consumer Products 2026"/>
    <s v="Billing Request- 00101403"/>
    <x v="1"/>
    <d v="2026-02-03T00:00:00"/>
    <d v="2026-03-14T00:00:00"/>
    <x v="2"/>
    <s v="a6JXt2107585"/>
    <x v="3"/>
    <s v="Dec"/>
    <s v="Finance validation process delay."/>
    <n v="39"/>
    <x v="1"/>
    <x v="1"/>
    <x v="3"/>
    <x v="1"/>
  </r>
  <r>
    <x v="0"/>
    <s v="Prime Sports NFL 2025"/>
    <s v="Billing Request- 00101404"/>
    <x v="8"/>
    <d v="2025-09-17T00:00:00"/>
    <d v="2025-11-15T00:00:00"/>
    <x v="1"/>
    <s v="a6Jat7738624"/>
    <x v="0"/>
    <s v="Jul; Aug"/>
    <s v="Manual billing entry issue."/>
    <n v="59"/>
    <x v="1"/>
    <x v="14"/>
    <x v="3"/>
    <x v="0"/>
  </r>
  <r>
    <x v="0"/>
    <s v="Prime Sports NFL 2025"/>
    <s v="Billing Request- 00101405"/>
    <x v="8"/>
    <d v="2025-12-03T00:00:00"/>
    <d v="2025-12-27T00:00:00"/>
    <x v="0"/>
    <s v="a6JXt2065035"/>
    <x v="0"/>
    <s v="Nov; Dec"/>
    <s v="Finance validation process delay."/>
    <n v="24"/>
    <x v="3"/>
    <x v="11"/>
    <x v="3"/>
    <x v="0"/>
  </r>
  <r>
    <x v="0"/>
    <s v="Streaming Bundle Initiative 2025"/>
    <s v="Billing Request- 00101406"/>
    <x v="6"/>
    <d v="2025-03-18T00:00:00"/>
    <d v="2025-07-06T00:00:00"/>
    <x v="0"/>
    <s v="a6Jat3172440"/>
    <x v="5"/>
    <s v="Jul"/>
    <s v="Finance validation process delay."/>
    <n v="110"/>
    <x v="0"/>
    <x v="13"/>
    <x v="3"/>
    <x v="0"/>
  </r>
  <r>
    <x v="0"/>
    <s v="Global Consumer Products 2026"/>
    <s v="Billing Request- 00101407"/>
    <x v="7"/>
    <d v="2026-01-10T00:00:00"/>
    <d v="2026-04-22T00:00:00"/>
    <x v="2"/>
    <s v="a6JXt4124541"/>
    <x v="3"/>
    <s v="Feb"/>
    <s v="Late media plan changes from client."/>
    <n v="102"/>
    <x v="0"/>
    <x v="7"/>
    <x v="3"/>
    <x v="1"/>
  </r>
  <r>
    <x v="0"/>
    <s v="NWSL Prime Video 2026"/>
    <s v="Billing Request- 00101408"/>
    <x v="5"/>
    <d v="2026-04-03T00:00:00"/>
    <d v="2026-05-06T00:00:00"/>
    <x v="2"/>
    <s v="a6Jat3094224"/>
    <x v="3"/>
    <s v="Nov; Dec"/>
    <s v="Agency submitted updated invoice mapping."/>
    <n v="33"/>
    <x v="1"/>
    <x v="10"/>
    <x v="1"/>
    <x v="1"/>
  </r>
  <r>
    <x v="0"/>
    <s v="NASCAR Apex 2025 2026"/>
    <s v="Billing Request- 00101409"/>
    <x v="7"/>
    <d v="2026-03-29T00:00:00"/>
    <d v="2026-05-07T00:00:00"/>
    <x v="2"/>
    <s v="a6JHn7611347"/>
    <x v="4"/>
    <s v="Dec"/>
    <s v="Late media plan changes from client."/>
    <n v="39"/>
    <x v="1"/>
    <x v="2"/>
    <x v="0"/>
    <x v="1"/>
  </r>
  <r>
    <x v="0"/>
    <s v="NASCAR P&amp;Q 2025"/>
    <s v="Billing Request- 00101411"/>
    <x v="6"/>
    <d v="2025-05-14T00:00:00"/>
    <d v="2025-05-25T00:00:00"/>
    <x v="2"/>
    <s v="a6JHn3984642"/>
    <x v="0"/>
    <s v="Jun"/>
    <s v="Agency submitted updated invoice mapping."/>
    <n v="11"/>
    <x v="4"/>
    <x v="4"/>
    <x v="0"/>
    <x v="0"/>
  </r>
  <r>
    <x v="0"/>
    <s v="NBA League Pass 2025"/>
    <s v="Billing Request- 00101412"/>
    <x v="7"/>
    <d v="2025-10-29T00:00:00"/>
    <d v="2025-11-27T00:00:00"/>
    <x v="0"/>
    <s v="a6JHn2714979"/>
    <x v="1"/>
    <s v="Sep; Oct"/>
    <s v="Incorrect legal terms delayed PTS."/>
    <n v="29"/>
    <x v="3"/>
    <x v="5"/>
    <x v="2"/>
    <x v="0"/>
  </r>
  <r>
    <x v="1"/>
    <s v="NASCAR P&amp;Q 2025"/>
    <s v="Billing Request- 00101413"/>
    <x v="3"/>
    <d v="2025-07-20T00:00:00"/>
    <d v="2025-09-06T00:00:00"/>
    <x v="2"/>
    <s v="a6JHn7480687"/>
    <x v="3"/>
    <s v="Jan"/>
    <s v="Invoice details mismatch with approved campaign."/>
    <n v="48"/>
    <x v="1"/>
    <x v="12"/>
    <x v="0"/>
    <x v="0"/>
  </r>
  <r>
    <x v="0"/>
    <s v="WNBA Incremental Scatter 2026"/>
    <s v="Billing Request- 00101414"/>
    <x v="0"/>
    <d v="2026-03-15T00:00:00"/>
    <d v="2026-05-07T00:00:00"/>
    <x v="0"/>
    <s v="a6Jat9595138"/>
    <x v="6"/>
    <s v="Apr"/>
    <s v="Finance validation process delay."/>
    <n v="53"/>
    <x v="1"/>
    <x v="2"/>
    <x v="2"/>
    <x v="1"/>
  </r>
  <r>
    <x v="0"/>
    <s v="NBA League Pass 2025"/>
    <s v="Billing Request- 00101415"/>
    <x v="6"/>
    <d v="2025-03-26T00:00:00"/>
    <d v="2025-04-02T00:00:00"/>
    <x v="2"/>
    <s v="a6Jat2443011"/>
    <x v="4"/>
    <s v="Jan; Feb"/>
    <s v="Late media plan changes from client."/>
    <n v="7"/>
    <x v="2"/>
    <x v="13"/>
    <x v="2"/>
    <x v="0"/>
  </r>
  <r>
    <x v="0"/>
    <s v="Amazon NBA Live Sports 2025"/>
    <s v="Billing Request- 00101417"/>
    <x v="5"/>
    <d v="2025-09-26T00:00:00"/>
    <d v="2025-10-09T00:00:00"/>
    <x v="2"/>
    <s v="a6Jat5458619"/>
    <x v="2"/>
    <s v="Apr"/>
    <s v="Late media plan changes from client."/>
    <n v="13"/>
    <x v="4"/>
    <x v="14"/>
    <x v="2"/>
    <x v="0"/>
  </r>
  <r>
    <x v="0"/>
    <s v="NASCAR P&amp;Q 2026"/>
    <s v="Billing Request- 00101418"/>
    <x v="8"/>
    <d v="2026-01-23T00:00:00"/>
    <d v="2026-01-28T00:00:00"/>
    <x v="2"/>
    <s v="a6Jat9786580"/>
    <x v="5"/>
    <s v="Feb"/>
    <s v="Agency submitted updated invoice mapping."/>
    <n v="5"/>
    <x v="2"/>
    <x v="7"/>
    <x v="0"/>
    <x v="1"/>
  </r>
  <r>
    <x v="0"/>
    <s v="NASCAR P&amp;Q 2026"/>
    <s v="Billing Request- 00101419"/>
    <x v="9"/>
    <d v="2026-01-02T00:00:00"/>
    <d v="2026-02-06T00:00:00"/>
    <x v="2"/>
    <s v="a6JXt6843777"/>
    <x v="4"/>
    <s v="May"/>
    <s v="Invoice details mismatch with approved campaign."/>
    <n v="35"/>
    <x v="1"/>
    <x v="7"/>
    <x v="0"/>
    <x v="1"/>
  </r>
  <r>
    <x v="3"/>
    <s v="TNF Sponsorship 2025"/>
    <s v="Billing Request- 00101420"/>
    <x v="3"/>
    <d v="2025-08-08T00:00:00"/>
    <d v="2025-10-01T00:00:00"/>
    <x v="2"/>
    <s v="a6JHn8546050"/>
    <x v="0"/>
    <s v="Sep"/>
    <s v="Late media plan changes from client."/>
    <n v="54"/>
    <x v="1"/>
    <x v="8"/>
    <x v="4"/>
    <x v="0"/>
  </r>
  <r>
    <x v="0"/>
    <s v="DirecTV NASCAR Campaign 2026"/>
    <s v="Billing Request- 00101421"/>
    <x v="3"/>
    <d v="2026-02-05T00:00:00"/>
    <d v="2026-04-10T00:00:00"/>
    <x v="0"/>
    <s v="a6JXt5691140"/>
    <x v="2"/>
    <s v="Nov"/>
    <s v="Missing supporting documentation from vendor."/>
    <n v="64"/>
    <x v="0"/>
    <x v="1"/>
    <x v="0"/>
    <x v="1"/>
  </r>
  <r>
    <x v="0"/>
    <s v="Global Consumer Products 2026"/>
    <s v="Billing Request- 00101422"/>
    <x v="1"/>
    <d v="2026-03-23T00:00:00"/>
    <d v="2026-05-04T00:00:00"/>
    <x v="2"/>
    <s v="a6JXt2990747"/>
    <x v="1"/>
    <s v="Mar; Apr"/>
    <s v="Invoice details mismatch with approved campaign."/>
    <n v="42"/>
    <x v="1"/>
    <x v="2"/>
    <x v="3"/>
    <x v="1"/>
  </r>
  <r>
    <x v="3"/>
    <s v="TNF Sponsorship 2026"/>
    <s v="Billing Request- 00101424"/>
    <x v="6"/>
    <d v="2026-02-03T00:00:00"/>
    <d v="2026-04-27T00:00:00"/>
    <x v="2"/>
    <s v="a6Jat6435425"/>
    <x v="0"/>
    <s v="Feb"/>
    <s v=""/>
    <n v="83"/>
    <x v="0"/>
    <x v="1"/>
    <x v="4"/>
    <x v="1"/>
  </r>
  <r>
    <x v="0"/>
    <s v="NWSL Halftime Sponsorship 2025"/>
    <s v="Billing Request- 00101426"/>
    <x v="9"/>
    <d v="2025-09-09T00:00:00"/>
    <d v="2025-09-28T00:00:00"/>
    <x v="0"/>
    <s v="a6JHn5910157"/>
    <x v="4"/>
    <s v="Jan"/>
    <s v="Agency submitted updated invoice mapping."/>
    <n v="19"/>
    <x v="3"/>
    <x v="14"/>
    <x v="1"/>
    <x v="0"/>
  </r>
  <r>
    <x v="0"/>
    <s v="NBA League Pass 2025"/>
    <s v="Billing Request- 00101427"/>
    <x v="7"/>
    <d v="2025-09-21T00:00:00"/>
    <d v="2025-12-25T00:00:00"/>
    <x v="1"/>
    <s v="a6Jat9821924"/>
    <x v="1"/>
    <s v="Jun"/>
    <s v=""/>
    <n v="95"/>
    <x v="0"/>
    <x v="14"/>
    <x v="2"/>
    <x v="0"/>
  </r>
  <r>
    <x v="4"/>
    <s v="NBA Playoffs Campaign 2026"/>
    <s v="Billing Request- 00101428"/>
    <x v="4"/>
    <d v="2026-01-28T00:00:00"/>
    <d v="2026-05-03T00:00:00"/>
    <x v="2"/>
    <s v="a6JXt3402708"/>
    <x v="2"/>
    <s v="Oct"/>
    <s v="Incorrect legal terms delayed PTS."/>
    <n v="95"/>
    <x v="0"/>
    <x v="7"/>
    <x v="2"/>
    <x v="1"/>
  </r>
  <r>
    <x v="0"/>
    <s v="Prime Sports NFL 2026"/>
    <s v="Billing Request- 00101430"/>
    <x v="8"/>
    <d v="2026-04-14T00:00:00"/>
    <d v="2026-05-04T00:00:00"/>
    <x v="2"/>
    <s v="a6JHn9054398"/>
    <x v="3"/>
    <s v="Sep"/>
    <s v="Invoice details mismatch with approved campaign."/>
    <n v="20"/>
    <x v="3"/>
    <x v="10"/>
    <x v="3"/>
    <x v="1"/>
  </r>
  <r>
    <x v="0"/>
    <s v="Amazon NBA Live Sports 2025"/>
    <s v="Billing Request- 00101431"/>
    <x v="5"/>
    <d v="2025-05-17T00:00:00"/>
    <d v="2025-07-18T00:00:00"/>
    <x v="2"/>
    <s v="a6Jat6459880"/>
    <x v="5"/>
    <s v="Mar"/>
    <s v=""/>
    <n v="62"/>
    <x v="0"/>
    <x v="4"/>
    <x v="2"/>
    <x v="0"/>
  </r>
  <r>
    <x v="0"/>
    <s v="Retail Media Expansion 2026"/>
    <s v="Billing Request- 00101432"/>
    <x v="8"/>
    <d v="2026-04-27T00:00:00"/>
    <d v="2026-05-04T00:00:00"/>
    <x v="2"/>
    <s v="a6JXt4047623"/>
    <x v="6"/>
    <s v="Jul; Aug"/>
    <s v="Agency submitted updated invoice mapping."/>
    <n v="7"/>
    <x v="2"/>
    <x v="10"/>
    <x v="3"/>
    <x v="1"/>
  </r>
  <r>
    <x v="0"/>
    <s v="NWSL Prime Video 2025"/>
    <s v="Billing Request- 00101436"/>
    <x v="4"/>
    <d v="2025-09-08T00:00:00"/>
    <d v="2025-12-10T00:00:00"/>
    <x v="0"/>
    <s v="a6JHn5146242"/>
    <x v="5"/>
    <s v="Nov"/>
    <s v="Late media plan changes from client."/>
    <n v="93"/>
    <x v="0"/>
    <x v="14"/>
    <x v="1"/>
    <x v="0"/>
  </r>
  <r>
    <x v="3"/>
    <s v="NFL Prime Video 2026"/>
    <s v="Billing Request- 00101437"/>
    <x v="4"/>
    <d v="2026-05-08T00:00:00"/>
    <d v="2026-05-04T00:00:00"/>
    <x v="2"/>
    <s v="a6JXt8361775"/>
    <x v="4"/>
    <s v="Jun"/>
    <s v="Finance validation process delay."/>
    <n v="-4"/>
    <x v="2"/>
    <x v="16"/>
    <x v="3"/>
    <x v="1"/>
  </r>
  <r>
    <x v="0"/>
    <s v="Retail Media Expansion 2025"/>
    <s v="Billing Request- 00101439"/>
    <x v="5"/>
    <d v="2025-10-13T00:00:00"/>
    <d v="2026-02-08T00:00:00"/>
    <x v="2"/>
    <s v="a6JXt2653502"/>
    <x v="1"/>
    <s v="Dec"/>
    <s v="Missing supporting documentation from vendor."/>
    <n v="118"/>
    <x v="0"/>
    <x v="5"/>
    <x v="3"/>
    <x v="0"/>
  </r>
  <r>
    <x v="0"/>
    <s v="NBA Playoffs Campaign 2025"/>
    <s v="Billing Request- 00101440"/>
    <x v="0"/>
    <d v="2025-01-28T00:00:00"/>
    <d v="2025-04-09T00:00:00"/>
    <x v="2"/>
    <s v="a6JXt9203143"/>
    <x v="1"/>
    <s v="May; Jun"/>
    <s v=""/>
    <n v="71"/>
    <x v="0"/>
    <x v="0"/>
    <x v="2"/>
    <x v="0"/>
  </r>
  <r>
    <x v="0"/>
    <s v="DirecTV NASCAR Campaign 2025"/>
    <s v="Billing Request- 00101441"/>
    <x v="3"/>
    <d v="2025-10-19T00:00:00"/>
    <d v="2025-12-15T00:00:00"/>
    <x v="0"/>
    <s v="a6JXt7244360"/>
    <x v="3"/>
    <s v="Jun"/>
    <s v="Manual billing entry issue."/>
    <n v="57"/>
    <x v="1"/>
    <x v="5"/>
    <x v="0"/>
    <x v="0"/>
  </r>
  <r>
    <x v="0"/>
    <s v="Amazon TNF 2024 2025"/>
    <s v="Billing Request- 00101442"/>
    <x v="9"/>
    <d v="2025-07-21T00:00:00"/>
    <d v="2025-11-17T00:00:00"/>
    <x v="2"/>
    <s v="a6JHn4964243"/>
    <x v="2"/>
    <s v="Mar"/>
    <s v="Invoice details mismatch with approved campaign."/>
    <n v="119"/>
    <x v="0"/>
    <x v="12"/>
    <x v="4"/>
    <x v="0"/>
  </r>
  <r>
    <x v="0"/>
    <s v="Amazon NBA Live Sports 2025"/>
    <s v="Billing Request- 00101444"/>
    <x v="4"/>
    <d v="2025-02-17T00:00:00"/>
    <d v="2025-03-28T00:00:00"/>
    <x v="0"/>
    <s v="a6JXt4235507"/>
    <x v="5"/>
    <s v="Jul"/>
    <s v="Client requested retroactive billing adjustments."/>
    <n v="39"/>
    <x v="1"/>
    <x v="6"/>
    <x v="2"/>
    <x v="0"/>
  </r>
  <r>
    <x v="0"/>
    <s v="Amazon NBA Live Sports 2025"/>
    <s v="Billing Request- 00101445"/>
    <x v="4"/>
    <d v="2025-08-29T00:00:00"/>
    <d v="2025-09-09T00:00:00"/>
    <x v="1"/>
    <s v="a6Jat7674303"/>
    <x v="2"/>
    <s v="May"/>
    <s v="Agency submitted updated invoice mapping."/>
    <n v="11"/>
    <x v="4"/>
    <x v="8"/>
    <x v="2"/>
    <x v="0"/>
  </r>
  <r>
    <x v="0"/>
    <s v="Retail Media Expansion 2026"/>
    <s v="Billing Request- 00101448"/>
    <x v="6"/>
    <d v="2026-03-05T00:00:00"/>
    <d v="2026-03-31T00:00:00"/>
    <x v="2"/>
    <s v="a6JHn7380100"/>
    <x v="4"/>
    <s v="Nov; Dec"/>
    <s v="Client requested retroactive billing adjustments."/>
    <n v="26"/>
    <x v="3"/>
    <x v="2"/>
    <x v="3"/>
    <x v="1"/>
  </r>
  <r>
    <x v="0"/>
    <s v="DirecTV NASCAR Campaign 2025"/>
    <s v="Billing Request- 00101449"/>
    <x v="1"/>
    <d v="2025-08-22T00:00:00"/>
    <d v="2025-11-14T00:00:00"/>
    <x v="0"/>
    <s v="a6JHn3955091"/>
    <x v="6"/>
    <s v="Oct"/>
    <s v="Client requested retroactive billing adjustments."/>
    <n v="84"/>
    <x v="0"/>
    <x v="8"/>
    <x v="0"/>
    <x v="0"/>
  </r>
  <r>
    <x v="4"/>
    <s v="NBA League Pass 2026"/>
    <s v="Billing Request- 00101450"/>
    <x v="5"/>
    <d v="2026-04-12T00:00:00"/>
    <d v="2026-05-05T00:00:00"/>
    <x v="2"/>
    <s v="a6JHn3258787"/>
    <x v="5"/>
    <s v="Oct"/>
    <s v="Missing supporting documentation from vendor."/>
    <n v="23"/>
    <x v="3"/>
    <x v="10"/>
    <x v="2"/>
    <x v="1"/>
  </r>
  <r>
    <x v="1"/>
    <s v="NFL Prime Video 2026"/>
    <s v="Billing Request- 00101452"/>
    <x v="9"/>
    <d v="2026-05-08T00:00:00"/>
    <d v="2026-05-09T00:00:00"/>
    <x v="2"/>
    <s v="a6JHn4200361"/>
    <x v="3"/>
    <s v="Nov; Dec"/>
    <s v="Invoice details mismatch with approved campaign."/>
    <n v="1"/>
    <x v="2"/>
    <x v="16"/>
    <x v="3"/>
    <x v="1"/>
  </r>
  <r>
    <x v="4"/>
    <s v="NBA Playoffs Campaign 2025"/>
    <s v="Billing Request- 00101453"/>
    <x v="4"/>
    <d v="2025-07-18T00:00:00"/>
    <d v="2025-08-27T00:00:00"/>
    <x v="2"/>
    <s v="a6Jat3620107"/>
    <x v="4"/>
    <s v="Jul; Aug"/>
    <s v="Client requested retroactive billing adjustments."/>
    <n v="40"/>
    <x v="1"/>
    <x v="12"/>
    <x v="2"/>
    <x v="0"/>
  </r>
  <r>
    <x v="0"/>
    <s v="Amazon NBA Live Sports 2025"/>
    <s v="Billing Request- 00101454"/>
    <x v="0"/>
    <d v="2025-07-05T00:00:00"/>
    <d v="2025-09-22T00:00:00"/>
    <x v="2"/>
    <s v="a6Jat3790920"/>
    <x v="5"/>
    <s v="Feb"/>
    <s v="Finance validation process delay."/>
    <n v="79"/>
    <x v="0"/>
    <x v="12"/>
    <x v="2"/>
    <x v="0"/>
  </r>
  <r>
    <x v="0"/>
    <s v="NWSL Halftime Sponsorship 2025"/>
    <s v="Billing Request- 00101455"/>
    <x v="1"/>
    <d v="2025-02-13T00:00:00"/>
    <d v="2025-04-10T00:00:00"/>
    <x v="2"/>
    <s v="a6JHn9909493"/>
    <x v="3"/>
    <s v="Nov"/>
    <s v="Late media plan changes from client."/>
    <n v="56"/>
    <x v="1"/>
    <x v="6"/>
    <x v="1"/>
    <x v="0"/>
  </r>
  <r>
    <x v="0"/>
    <s v="NFL Prime Video 2026"/>
    <s v="Billing Request- 00101456"/>
    <x v="4"/>
    <d v="2026-02-10T00:00:00"/>
    <d v="2026-05-04T00:00:00"/>
    <x v="0"/>
    <s v="a6Jat5189227"/>
    <x v="6"/>
    <s v="Jan"/>
    <s v="Invoice details mismatch with approved campaign."/>
    <n v="83"/>
    <x v="0"/>
    <x v="1"/>
    <x v="3"/>
    <x v="1"/>
  </r>
  <r>
    <x v="0"/>
    <s v="NWSL Prime Video 2026"/>
    <s v="Billing Request- 00101457"/>
    <x v="6"/>
    <d v="2026-04-14T00:00:00"/>
    <d v="2026-05-05T00:00:00"/>
    <x v="0"/>
    <s v="a6JXt2088545"/>
    <x v="0"/>
    <s v="Dec"/>
    <s v="Invoice details mismatch with approved campaign."/>
    <n v="21"/>
    <x v="3"/>
    <x v="10"/>
    <x v="1"/>
    <x v="1"/>
  </r>
  <r>
    <x v="0"/>
    <s v="Confluence Academy 2025"/>
    <s v="Billing Request- 00101459"/>
    <x v="3"/>
    <d v="2025-03-02T00:00:00"/>
    <d v="2025-06-13T00:00:00"/>
    <x v="2"/>
    <s v="a6JXt7921821"/>
    <x v="4"/>
    <s v="Apr"/>
    <s v="Finance validation process delay."/>
    <n v="103"/>
    <x v="0"/>
    <x v="13"/>
    <x v="3"/>
    <x v="0"/>
  </r>
  <r>
    <x v="0"/>
    <s v="Amazon NBA Live Sports 2025"/>
    <s v="Billing Request- 00101460"/>
    <x v="6"/>
    <d v="2025-02-16T00:00:00"/>
    <d v="2025-04-20T00:00:00"/>
    <x v="2"/>
    <s v="a6JXt2634576"/>
    <x v="0"/>
    <s v="Apr"/>
    <s v="Agency submitted updated invoice mapping."/>
    <n v="63"/>
    <x v="0"/>
    <x v="6"/>
    <x v="2"/>
    <x v="0"/>
  </r>
  <r>
    <x v="0"/>
    <s v="Prime Sports NFL 2025"/>
    <s v="Billing Request- 00101461"/>
    <x v="1"/>
    <d v="2025-02-25T00:00:00"/>
    <d v="2025-04-10T00:00:00"/>
    <x v="2"/>
    <s v="a6JHn8599460"/>
    <x v="4"/>
    <s v="Feb"/>
    <s v="Finance validation process delay."/>
    <n v="44"/>
    <x v="1"/>
    <x v="6"/>
    <x v="3"/>
    <x v="0"/>
  </r>
  <r>
    <x v="0"/>
    <s v="TNF Sponsorship 2025"/>
    <s v="Billing Request- 00101462"/>
    <x v="2"/>
    <d v="2025-06-20T00:00:00"/>
    <d v="2025-07-01T00:00:00"/>
    <x v="2"/>
    <s v="a6JHn9254946"/>
    <x v="4"/>
    <s v="Jan; Feb"/>
    <s v="Agency submitted updated invoice mapping."/>
    <n v="11"/>
    <x v="4"/>
    <x v="9"/>
    <x v="4"/>
    <x v="0"/>
  </r>
  <r>
    <x v="0"/>
    <s v="Confluence Academy 2025"/>
    <s v="Billing Request- 00101464"/>
    <x v="5"/>
    <d v="2025-04-15T00:00:00"/>
    <d v="2025-05-01T00:00:00"/>
    <x v="1"/>
    <s v="a6Jat7754169"/>
    <x v="1"/>
    <s v="May; Jun"/>
    <s v="Late media plan changes from client."/>
    <n v="16"/>
    <x v="3"/>
    <x v="3"/>
    <x v="3"/>
    <x v="0"/>
  </r>
  <r>
    <x v="0"/>
    <s v="TNF Sponsorship 2026"/>
    <s v="Billing Request- 00101465"/>
    <x v="4"/>
    <d v="2026-04-11T00:00:00"/>
    <d v="2026-05-08T00:00:00"/>
    <x v="2"/>
    <s v="a6Jat8969234"/>
    <x v="6"/>
    <s v="Feb"/>
    <s v="Late media plan changes from client."/>
    <n v="27"/>
    <x v="3"/>
    <x v="10"/>
    <x v="4"/>
    <x v="1"/>
  </r>
  <r>
    <x v="0"/>
    <s v="NASCAR Apex 2025 2025"/>
    <s v="Billing Request- 00101466"/>
    <x v="4"/>
    <d v="2025-08-06T00:00:00"/>
    <d v="2025-08-19T00:00:00"/>
    <x v="2"/>
    <s v="a6Jat2954202"/>
    <x v="0"/>
    <s v="Jul; Aug"/>
    <s v="Finance validation process delay."/>
    <n v="13"/>
    <x v="4"/>
    <x v="8"/>
    <x v="0"/>
    <x v="0"/>
  </r>
  <r>
    <x v="4"/>
    <s v="TNF Sponsorship 2025"/>
    <s v="Billing Request- 00101468"/>
    <x v="4"/>
    <d v="2025-12-08T00:00:00"/>
    <d v="2026-03-09T00:00:00"/>
    <x v="2"/>
    <s v="a6JXt9419411"/>
    <x v="1"/>
    <s v="Oct"/>
    <s v="Finance validation process delay."/>
    <n v="91"/>
    <x v="0"/>
    <x v="11"/>
    <x v="4"/>
    <x v="0"/>
  </r>
  <r>
    <x v="0"/>
    <s v="Streaming Bundle Initiative 2026"/>
    <s v="Billing Request- 00101469"/>
    <x v="0"/>
    <d v="2026-04-12T00:00:00"/>
    <d v="2026-05-05T00:00:00"/>
    <x v="0"/>
    <s v="a6Jat8772007"/>
    <x v="0"/>
    <s v="Apr"/>
    <s v="Missing supporting documentation from vendor."/>
    <n v="23"/>
    <x v="3"/>
    <x v="10"/>
    <x v="3"/>
    <x v="1"/>
  </r>
  <r>
    <x v="0"/>
    <s v="NASCAR P&amp;Q 2025"/>
    <s v="Billing Request- 00101470"/>
    <x v="7"/>
    <d v="2025-10-12T00:00:00"/>
    <d v="2026-01-16T00:00:00"/>
    <x v="2"/>
    <s v="a6Jat3490407"/>
    <x v="0"/>
    <s v="Oct"/>
    <s v="Client requested retroactive billing adjustments."/>
    <n v="96"/>
    <x v="0"/>
    <x v="5"/>
    <x v="0"/>
    <x v="0"/>
  </r>
  <r>
    <x v="4"/>
    <s v="NBA Playoffs Campaign 2025"/>
    <s v="Billing Request- 00101471"/>
    <x v="7"/>
    <d v="2025-10-20T00:00:00"/>
    <d v="2025-11-24T00:00:00"/>
    <x v="0"/>
    <s v="a6JHn4070487"/>
    <x v="2"/>
    <s v="Sep; Oct"/>
    <s v="Late media plan changes from client."/>
    <n v="35"/>
    <x v="1"/>
    <x v="5"/>
    <x v="2"/>
    <x v="0"/>
  </r>
  <r>
    <x v="0"/>
    <s v="NWSL Halftime Sponsorship 2025"/>
    <s v="Billing Request- 00101472"/>
    <x v="9"/>
    <d v="2025-02-28T00:00:00"/>
    <d v="2025-05-18T00:00:00"/>
    <x v="0"/>
    <s v="a6JHn3770635"/>
    <x v="1"/>
    <s v="May"/>
    <s v="Client requested retroactive billing adjustments."/>
    <n v="79"/>
    <x v="0"/>
    <x v="6"/>
    <x v="1"/>
    <x v="0"/>
  </r>
  <r>
    <x v="4"/>
    <s v="Confluence Academy 2025"/>
    <s v="Billing Request- 00101475"/>
    <x v="2"/>
    <d v="2025-05-29T00:00:00"/>
    <d v="2025-09-25T00:00:00"/>
    <x v="0"/>
    <s v="a6JXt7694136"/>
    <x v="3"/>
    <s v="Nov; Dec"/>
    <s v="Agency submitted updated invoice mapping."/>
    <n v="119"/>
    <x v="0"/>
    <x v="4"/>
    <x v="3"/>
    <x v="0"/>
  </r>
  <r>
    <x v="0"/>
    <s v="TNF Sponsorship 2025"/>
    <s v="Billing Request- 00101477"/>
    <x v="1"/>
    <d v="2025-02-01T00:00:00"/>
    <d v="2025-05-16T00:00:00"/>
    <x v="2"/>
    <s v="a6JHn8940241"/>
    <x v="1"/>
    <s v="Jun"/>
    <s v="Manual billing entry issue."/>
    <n v="104"/>
    <x v="0"/>
    <x v="6"/>
    <x v="4"/>
    <x v="0"/>
  </r>
  <r>
    <x v="0"/>
    <s v="Streaming Bundle Initiative 2025"/>
    <s v="Billing Request- 00101478"/>
    <x v="3"/>
    <d v="2025-02-13T00:00:00"/>
    <d v="2025-03-24T00:00:00"/>
    <x v="0"/>
    <s v="a6Jat3647964"/>
    <x v="0"/>
    <s v="Sep"/>
    <s v="Agency submitted updated invoice mapping."/>
    <n v="39"/>
    <x v="1"/>
    <x v="6"/>
    <x v="3"/>
    <x v="0"/>
  </r>
  <r>
    <x v="0"/>
    <s v="Retail Media Expansion 2025"/>
    <s v="Billing Request- 00101479"/>
    <x v="4"/>
    <d v="2025-08-05T00:00:00"/>
    <d v="2025-10-16T00:00:00"/>
    <x v="0"/>
    <s v="a6JXt9005008"/>
    <x v="3"/>
    <s v="Feb"/>
    <s v="Invoice details mismatch with approved campaign."/>
    <n v="72"/>
    <x v="0"/>
    <x v="8"/>
    <x v="3"/>
    <x v="0"/>
  </r>
  <r>
    <x v="0"/>
    <s v="NWSL Prime Video 2025"/>
    <s v="Billing Request- 00101481"/>
    <x v="5"/>
    <d v="2025-06-20T00:00:00"/>
    <d v="2025-09-21T00:00:00"/>
    <x v="1"/>
    <s v="a6JXt7679985"/>
    <x v="3"/>
    <s v="Feb"/>
    <s v="Missing supporting documentation from vendor."/>
    <n v="93"/>
    <x v="0"/>
    <x v="9"/>
    <x v="1"/>
    <x v="0"/>
  </r>
  <r>
    <x v="0"/>
    <s v="Streaming Bundle Initiative 2025"/>
    <s v="Billing Request- 00101482"/>
    <x v="4"/>
    <d v="2025-05-25T00:00:00"/>
    <d v="2025-09-09T00:00:00"/>
    <x v="2"/>
    <s v="a6JHn8202597"/>
    <x v="3"/>
    <s v="May; Jun"/>
    <s v=""/>
    <n v="107"/>
    <x v="0"/>
    <x v="4"/>
    <x v="3"/>
    <x v="0"/>
  </r>
  <r>
    <x v="0"/>
    <s v="NFL Prime Video 2025"/>
    <s v="Billing Request- 00101483"/>
    <x v="6"/>
    <d v="2025-02-03T00:00:00"/>
    <d v="2025-04-01T00:00:00"/>
    <x v="2"/>
    <s v="a6Jat3681120"/>
    <x v="5"/>
    <s v="Aug"/>
    <s v="Missing supporting documentation from vendor."/>
    <n v="57"/>
    <x v="1"/>
    <x v="6"/>
    <x v="3"/>
    <x v="0"/>
  </r>
  <r>
    <x v="3"/>
    <s v="NBA League Pass 2025"/>
    <s v="Billing Request- 00101488"/>
    <x v="5"/>
    <d v="2025-12-25T00:00:00"/>
    <d v="2025-12-28T00:00:00"/>
    <x v="2"/>
    <s v="a6JHn9314653"/>
    <x v="3"/>
    <s v="Apr"/>
    <s v="Incorrect legal terms delayed PTS."/>
    <n v="3"/>
    <x v="2"/>
    <x v="11"/>
    <x v="2"/>
    <x v="0"/>
  </r>
  <r>
    <x v="0"/>
    <s v="NBA League Pass 2025"/>
    <s v="Billing Request- 00101489"/>
    <x v="1"/>
    <d v="2025-11-29T00:00:00"/>
    <d v="2025-12-04T00:00:00"/>
    <x v="0"/>
    <s v="a6JHn7745527"/>
    <x v="0"/>
    <s v="Jul; Aug"/>
    <s v="Incorrect legal terms delayed PTS."/>
    <n v="5"/>
    <x v="2"/>
    <x v="15"/>
    <x v="2"/>
    <x v="0"/>
  </r>
  <r>
    <x v="0"/>
    <s v="DirecTV NASCAR Campaign 2026"/>
    <s v="Billing Request- 00101490"/>
    <x v="3"/>
    <d v="2026-02-02T00:00:00"/>
    <d v="2026-05-03T00:00:00"/>
    <x v="0"/>
    <s v="a6JXt1701806"/>
    <x v="5"/>
    <s v="Jan"/>
    <s v="Missing supporting documentation from vendor."/>
    <n v="90"/>
    <x v="0"/>
    <x v="1"/>
    <x v="0"/>
    <x v="1"/>
  </r>
  <r>
    <x v="0"/>
    <s v="TNF Sponsorship 2025"/>
    <s v="Billing Request- 00101491"/>
    <x v="7"/>
    <d v="2025-10-10T00:00:00"/>
    <d v="2025-10-29T00:00:00"/>
    <x v="2"/>
    <s v="a6JXt2754666"/>
    <x v="1"/>
    <s v="Nov"/>
    <s v="Agency submitted updated invoice mapping."/>
    <n v="19"/>
    <x v="3"/>
    <x v="5"/>
    <x v="4"/>
    <x v="0"/>
  </r>
  <r>
    <x v="0"/>
    <s v="NWSL Halftime Sponsorship 2026"/>
    <s v="Billing Request- 00101492"/>
    <x v="2"/>
    <d v="2026-04-07T00:00:00"/>
    <d v="2026-05-05T00:00:00"/>
    <x v="2"/>
    <s v="a6JXt8387790"/>
    <x v="5"/>
    <s v="Jan; Feb"/>
    <s v="Late media plan changes from client."/>
    <n v="28"/>
    <x v="3"/>
    <x v="10"/>
    <x v="1"/>
    <x v="1"/>
  </r>
  <r>
    <x v="0"/>
    <s v="DirecTV NASCAR Campaign 2025"/>
    <s v="Billing Request- 00101493"/>
    <x v="1"/>
    <d v="2025-02-16T00:00:00"/>
    <d v="2025-03-30T00:00:00"/>
    <x v="2"/>
    <s v="a6JXt1827125"/>
    <x v="6"/>
    <s v="May"/>
    <s v="Agency submitted updated invoice mapping."/>
    <n v="42"/>
    <x v="1"/>
    <x v="6"/>
    <x v="0"/>
    <x v="0"/>
  </r>
  <r>
    <x v="0"/>
    <s v="WNBA Incremental Scatter 2025"/>
    <s v="Billing Request- 00101496"/>
    <x v="9"/>
    <d v="2025-12-30T00:00:00"/>
    <d v="2026-03-23T00:00:00"/>
    <x v="2"/>
    <s v="a6JHn1936359"/>
    <x v="0"/>
    <s v="Jan"/>
    <s v="Client requested retroactive billing adjustments."/>
    <n v="83"/>
    <x v="0"/>
    <x v="11"/>
    <x v="2"/>
    <x v="0"/>
  </r>
  <r>
    <x v="0"/>
    <s v="Streaming Bundle Initiative 2026"/>
    <s v="Billing Request- 00101498"/>
    <x v="2"/>
    <d v="2026-03-12T00:00:00"/>
    <d v="2026-05-04T00:00:00"/>
    <x v="2"/>
    <s v="a6JHn8311577"/>
    <x v="4"/>
    <s v="Jan"/>
    <s v="Late media plan changes from client."/>
    <n v="53"/>
    <x v="1"/>
    <x v="2"/>
    <x v="3"/>
    <x v="1"/>
  </r>
  <r>
    <x v="0"/>
    <s v="NWSL Prime Video 2025"/>
    <s v="Billing Request- 00101499"/>
    <x v="6"/>
    <d v="2025-07-06T00:00:00"/>
    <d v="2025-09-07T00:00:00"/>
    <x v="2"/>
    <s v="a6JHn6176130"/>
    <x v="4"/>
    <s v="Jul"/>
    <s v=""/>
    <n v="63"/>
    <x v="0"/>
    <x v="12"/>
    <x v="1"/>
    <x v="0"/>
  </r>
  <r>
    <x v="4"/>
    <s v="NBA Playoffs Campaign 2026"/>
    <s v="Billing Request- 00101500"/>
    <x v="5"/>
    <d v="2026-01-08T00:00:00"/>
    <d v="2026-03-04T00:00:00"/>
    <x v="2"/>
    <s v="a6JHn7396488"/>
    <x v="1"/>
    <s v="Jun"/>
    <s v="Missing supporting documentation from vendor."/>
    <n v="55"/>
    <x v="1"/>
    <x v="7"/>
    <x v="2"/>
    <x v="1"/>
  </r>
  <r>
    <x v="0"/>
    <s v="Prime Sports NFL 2025"/>
    <s v="Billing Request- 00101501"/>
    <x v="4"/>
    <d v="2025-05-29T00:00:00"/>
    <d v="2025-06-05T00:00:00"/>
    <x v="2"/>
    <s v="a6JHn4840340"/>
    <x v="6"/>
    <s v="Mar; Apr"/>
    <s v="Agency submitted updated invoice mapping."/>
    <n v="7"/>
    <x v="2"/>
    <x v="4"/>
    <x v="3"/>
    <x v="0"/>
  </r>
  <r>
    <x v="0"/>
    <s v="NBA League Pass 2026"/>
    <s v="Billing Request- 00101502"/>
    <x v="8"/>
    <d v="2026-01-31T00:00:00"/>
    <d v="2026-02-23T00:00:00"/>
    <x v="0"/>
    <s v="a6JHn8183701"/>
    <x v="2"/>
    <s v="Jul; Aug"/>
    <s v="Late media plan changes from client."/>
    <n v="23"/>
    <x v="3"/>
    <x v="7"/>
    <x v="2"/>
    <x v="1"/>
  </r>
  <r>
    <x v="0"/>
    <s v="Prime Sports NFL 2025"/>
    <s v="Billing Request- 00101503"/>
    <x v="1"/>
    <d v="2025-06-11T00:00:00"/>
    <d v="2025-08-29T00:00:00"/>
    <x v="2"/>
    <s v="a6JHn2676290"/>
    <x v="3"/>
    <s v="Sep; Oct"/>
    <s v="Late media plan changes from client."/>
    <n v="79"/>
    <x v="0"/>
    <x v="9"/>
    <x v="3"/>
    <x v="0"/>
  </r>
  <r>
    <x v="0"/>
    <s v="NWSL Halftime Sponsorship 2025"/>
    <s v="Billing Request- 00101504"/>
    <x v="1"/>
    <d v="2025-09-22T00:00:00"/>
    <d v="2025-12-13T00:00:00"/>
    <x v="0"/>
    <s v="a6JXt1251893"/>
    <x v="0"/>
    <s v="Sep; Oct"/>
    <s v="Missing supporting documentation from vendor."/>
    <n v="82"/>
    <x v="0"/>
    <x v="14"/>
    <x v="1"/>
    <x v="0"/>
  </r>
  <r>
    <x v="3"/>
    <s v="NBA Playoffs Campaign 2025"/>
    <s v="Billing Request- 00101505"/>
    <x v="8"/>
    <d v="2025-09-11T00:00:00"/>
    <d v="2025-11-22T00:00:00"/>
    <x v="2"/>
    <s v="a6JXt7012365"/>
    <x v="1"/>
    <s v="Jan"/>
    <s v="Late media plan changes from client."/>
    <n v="72"/>
    <x v="0"/>
    <x v="14"/>
    <x v="2"/>
    <x v="0"/>
  </r>
  <r>
    <x v="0"/>
    <s v="NASCAR P&amp;Q 2025"/>
    <s v="Billing Request- 00101506"/>
    <x v="5"/>
    <d v="2025-07-29T00:00:00"/>
    <d v="2025-11-08T00:00:00"/>
    <x v="2"/>
    <s v="a6Jat2860722"/>
    <x v="6"/>
    <s v="Jul"/>
    <s v=""/>
    <n v="102"/>
    <x v="0"/>
    <x v="12"/>
    <x v="0"/>
    <x v="0"/>
  </r>
  <r>
    <x v="0"/>
    <s v="DirecTV NASCAR Campaign 2026"/>
    <s v="Billing Request- 00101508"/>
    <x v="3"/>
    <d v="2026-02-13T00:00:00"/>
    <d v="2026-04-02T00:00:00"/>
    <x v="2"/>
    <s v="a6JXt4901721"/>
    <x v="3"/>
    <s v="Sep"/>
    <s v="Invoice details mismatch with approved campaign."/>
    <n v="48"/>
    <x v="1"/>
    <x v="1"/>
    <x v="0"/>
    <x v="1"/>
  </r>
  <r>
    <x v="0"/>
    <s v="Prime Sports NFL 2026"/>
    <s v="Billing Request- 00101509"/>
    <x v="6"/>
    <d v="2026-03-10T00:00:00"/>
    <d v="2026-03-17T00:00:00"/>
    <x v="0"/>
    <s v="a6JHn8838718"/>
    <x v="2"/>
    <s v="May"/>
    <s v="Manual billing entry issue."/>
    <n v="7"/>
    <x v="2"/>
    <x v="2"/>
    <x v="3"/>
    <x v="1"/>
  </r>
  <r>
    <x v="0"/>
    <s v="NBA Playoffs Campaign 2026"/>
    <s v="Billing Request- 00101510"/>
    <x v="3"/>
    <d v="2026-01-20T00:00:00"/>
    <d v="2026-02-04T00:00:00"/>
    <x v="0"/>
    <s v="a6JHn5789324"/>
    <x v="5"/>
    <s v="Jul; Aug"/>
    <s v="Incorrect legal terms delayed PTS."/>
    <n v="15"/>
    <x v="3"/>
    <x v="7"/>
    <x v="2"/>
    <x v="1"/>
  </r>
  <r>
    <x v="0"/>
    <s v="NBA Playoffs Campaign 2025"/>
    <s v="Billing Request- 00101511"/>
    <x v="8"/>
    <d v="2025-07-23T00:00:00"/>
    <d v="2025-10-29T00:00:00"/>
    <x v="0"/>
    <s v="a6JXt3791018"/>
    <x v="4"/>
    <s v="Jan"/>
    <s v="Manual billing entry issue."/>
    <n v="98"/>
    <x v="0"/>
    <x v="12"/>
    <x v="2"/>
    <x v="0"/>
  </r>
  <r>
    <x v="0"/>
    <s v="Prime Sports NFL 2026"/>
    <s v="Billing Request- 00101512"/>
    <x v="1"/>
    <d v="2026-04-08T00:00:00"/>
    <d v="2026-05-08T00:00:00"/>
    <x v="2"/>
    <s v="a6JXt2019689"/>
    <x v="5"/>
    <s v="Jan; Feb"/>
    <s v="Manual billing entry issue."/>
    <n v="30"/>
    <x v="3"/>
    <x v="10"/>
    <x v="3"/>
    <x v="1"/>
  </r>
  <r>
    <x v="0"/>
    <s v="WNBA Incremental Scatter 2026"/>
    <s v="Billing Request- 00101513"/>
    <x v="3"/>
    <d v="2026-03-07T00:00:00"/>
    <d v="2026-04-19T00:00:00"/>
    <x v="1"/>
    <s v="a6Jat6452590"/>
    <x v="5"/>
    <s v="May"/>
    <s v="Late media plan changes from client."/>
    <n v="43"/>
    <x v="1"/>
    <x v="2"/>
    <x v="2"/>
    <x v="1"/>
  </r>
  <r>
    <x v="0"/>
    <s v="NBA League Pass 2025"/>
    <s v="Billing Request- 00101514"/>
    <x v="3"/>
    <d v="2025-04-28T00:00:00"/>
    <d v="2025-06-10T00:00:00"/>
    <x v="0"/>
    <s v="a6JXt2742095"/>
    <x v="6"/>
    <s v="Jan; Feb"/>
    <s v="Finance validation process delay."/>
    <n v="43"/>
    <x v="1"/>
    <x v="3"/>
    <x v="2"/>
    <x v="0"/>
  </r>
  <r>
    <x v="0"/>
    <s v="Prime Sports NFL 2025"/>
    <s v="Billing Request- 00101515"/>
    <x v="6"/>
    <d v="2025-05-27T00:00:00"/>
    <d v="2025-08-01T00:00:00"/>
    <x v="2"/>
    <s v="a6JHn5268011"/>
    <x v="3"/>
    <s v="Sep"/>
    <s v="Missing supporting documentation from vendor."/>
    <n v="66"/>
    <x v="0"/>
    <x v="4"/>
    <x v="3"/>
    <x v="0"/>
  </r>
  <r>
    <x v="1"/>
    <s v="Streaming Bundle Initiative 2025"/>
    <s v="Billing Request- 00101518"/>
    <x v="2"/>
    <d v="2025-11-15T00:00:00"/>
    <d v="2026-01-27T00:00:00"/>
    <x v="2"/>
    <s v="a6Jat2022082"/>
    <x v="3"/>
    <s v="Jul; Aug"/>
    <s v="Agency submitted updated invoice mapping."/>
    <n v="73"/>
    <x v="0"/>
    <x v="15"/>
    <x v="3"/>
    <x v="0"/>
  </r>
  <r>
    <x v="0"/>
    <s v="NWSL Halftime Sponsorship 2026"/>
    <s v="Billing Request- 00101519"/>
    <x v="2"/>
    <d v="2026-01-27T00:00:00"/>
    <d v="2026-03-04T00:00:00"/>
    <x v="2"/>
    <s v="a6Jat7397798"/>
    <x v="4"/>
    <s v="Sep"/>
    <s v="Agency submitted updated invoice mapping."/>
    <n v="36"/>
    <x v="1"/>
    <x v="7"/>
    <x v="1"/>
    <x v="1"/>
  </r>
  <r>
    <x v="0"/>
    <s v="NBA Playoffs Campaign 2026"/>
    <s v="Billing Request- 00101520"/>
    <x v="3"/>
    <d v="2026-02-27T00:00:00"/>
    <d v="2026-05-06T00:00:00"/>
    <x v="0"/>
    <s v="a6Jat2891289"/>
    <x v="0"/>
    <s v="Jan"/>
    <s v="Missing supporting documentation from vendor."/>
    <n v="68"/>
    <x v="0"/>
    <x v="1"/>
    <x v="2"/>
    <x v="1"/>
  </r>
  <r>
    <x v="0"/>
    <s v="NBA Playoffs Campaign 2026"/>
    <s v="Billing Request- 00101521"/>
    <x v="5"/>
    <d v="2026-02-10T00:00:00"/>
    <d v="2026-05-05T00:00:00"/>
    <x v="2"/>
    <s v="a6Jat4558298"/>
    <x v="4"/>
    <s v="Apr"/>
    <s v="Client requested retroactive billing adjustments."/>
    <n v="84"/>
    <x v="0"/>
    <x v="1"/>
    <x v="2"/>
    <x v="1"/>
  </r>
  <r>
    <x v="3"/>
    <s v="NBA Playoffs Campaign 2026"/>
    <s v="Billing Request- 00101522"/>
    <x v="9"/>
    <d v="2026-01-04T00:00:00"/>
    <d v="2026-01-28T00:00:00"/>
    <x v="2"/>
    <s v="a6JXt9758068"/>
    <x v="0"/>
    <s v="Mar; Apr"/>
    <s v="Missing supporting documentation from vendor."/>
    <n v="24"/>
    <x v="3"/>
    <x v="7"/>
    <x v="2"/>
    <x v="1"/>
  </r>
  <r>
    <x v="2"/>
    <s v="NBA League Pass 2026"/>
    <s v="Billing Request- 00101524"/>
    <x v="0"/>
    <d v="2026-03-15T00:00:00"/>
    <d v="2026-03-23T00:00:00"/>
    <x v="0"/>
    <s v="a6JXt2426942"/>
    <x v="5"/>
    <s v="Feb"/>
    <s v="Finance validation process delay."/>
    <n v="8"/>
    <x v="4"/>
    <x v="2"/>
    <x v="2"/>
    <x v="1"/>
  </r>
  <r>
    <x v="0"/>
    <s v="NWSL Halftime Sponsorship 2025"/>
    <s v="Billing Request- 00101526"/>
    <x v="0"/>
    <d v="2025-01-09T00:00:00"/>
    <d v="2025-03-09T00:00:00"/>
    <x v="0"/>
    <s v="a6JHn6526817"/>
    <x v="0"/>
    <s v="May; Jun"/>
    <s v="Incorrect legal terms delayed PTS."/>
    <n v="59"/>
    <x v="1"/>
    <x v="0"/>
    <x v="1"/>
    <x v="0"/>
  </r>
  <r>
    <x v="1"/>
    <s v="NWSL Prime Video 2025"/>
    <s v="Billing Request- 00101527"/>
    <x v="1"/>
    <d v="2025-12-19T00:00:00"/>
    <d v="2025-12-25T00:00:00"/>
    <x v="0"/>
    <s v="a6JHn5507577"/>
    <x v="6"/>
    <s v="Jan"/>
    <s v="Missing supporting documentation from vendor."/>
    <n v="6"/>
    <x v="2"/>
    <x v="11"/>
    <x v="1"/>
    <x v="0"/>
  </r>
  <r>
    <x v="1"/>
    <s v="NFL Prime Video 2026"/>
    <s v="Billing Request- 00101528"/>
    <x v="1"/>
    <d v="2026-03-18T00:00:00"/>
    <d v="2026-05-09T00:00:00"/>
    <x v="2"/>
    <s v="a6JHn6434660"/>
    <x v="0"/>
    <s v="Sep"/>
    <s v="Finance validation process delay."/>
    <n v="52"/>
    <x v="1"/>
    <x v="2"/>
    <x v="3"/>
    <x v="1"/>
  </r>
  <r>
    <x v="0"/>
    <s v="Streaming Bundle Initiative 2025"/>
    <s v="Billing Request- 00101530"/>
    <x v="7"/>
    <d v="2025-10-18T00:00:00"/>
    <d v="2025-12-30T00:00:00"/>
    <x v="2"/>
    <s v="a6Jat9857606"/>
    <x v="5"/>
    <s v="Mar; Apr"/>
    <s v=""/>
    <n v="73"/>
    <x v="0"/>
    <x v="5"/>
    <x v="3"/>
    <x v="0"/>
  </r>
  <r>
    <x v="0"/>
    <s v="Prime Sports NFL 2025"/>
    <s v="Billing Request- 00101531"/>
    <x v="0"/>
    <d v="2025-11-22T00:00:00"/>
    <d v="2026-02-03T00:00:00"/>
    <x v="0"/>
    <s v="a6JXt9141900"/>
    <x v="6"/>
    <s v="Dec"/>
    <s v="Client requested retroactive billing adjustments."/>
    <n v="73"/>
    <x v="0"/>
    <x v="15"/>
    <x v="3"/>
    <x v="0"/>
  </r>
  <r>
    <x v="0"/>
    <s v="NBA League Pass 2025"/>
    <s v="Billing Request- 00101532"/>
    <x v="4"/>
    <d v="2025-10-30T00:00:00"/>
    <d v="2025-12-24T00:00:00"/>
    <x v="2"/>
    <s v="a6JHn7325925"/>
    <x v="2"/>
    <s v="Aug"/>
    <s v="Agency submitted updated invoice mapping."/>
    <n v="55"/>
    <x v="1"/>
    <x v="5"/>
    <x v="2"/>
    <x v="0"/>
  </r>
  <r>
    <x v="2"/>
    <s v="Global Consumer Products 2025"/>
    <s v="Billing Request- 00101534"/>
    <x v="6"/>
    <d v="2025-01-03T00:00:00"/>
    <d v="2025-04-11T00:00:00"/>
    <x v="1"/>
    <s v="a6JHn7060046"/>
    <x v="5"/>
    <s v="Nov"/>
    <s v="Incorrect legal terms delayed PTS."/>
    <n v="98"/>
    <x v="0"/>
    <x v="0"/>
    <x v="3"/>
    <x v="0"/>
  </r>
  <r>
    <x v="0"/>
    <s v="NFL Prime Video 2025"/>
    <s v="Billing Request- 00101535"/>
    <x v="1"/>
    <d v="2025-08-22T00:00:00"/>
    <d v="2025-09-29T00:00:00"/>
    <x v="2"/>
    <s v="a6Jat2252054"/>
    <x v="5"/>
    <s v="Nov; Dec"/>
    <s v="Agency submitted updated invoice mapping."/>
    <n v="38"/>
    <x v="1"/>
    <x v="8"/>
    <x v="3"/>
    <x v="0"/>
  </r>
  <r>
    <x v="0"/>
    <s v="TNF Sponsorship 2025"/>
    <s v="Billing Request- 00101537"/>
    <x v="3"/>
    <d v="2025-02-08T00:00:00"/>
    <d v="2025-04-07T00:00:00"/>
    <x v="2"/>
    <s v="a6Jat2765563"/>
    <x v="3"/>
    <s v="Oct"/>
    <s v="Invoice details mismatch with approved campaign."/>
    <n v="58"/>
    <x v="1"/>
    <x v="6"/>
    <x v="4"/>
    <x v="0"/>
  </r>
  <r>
    <x v="0"/>
    <s v="NWSL Halftime Sponsorship 2025"/>
    <s v="Billing Request- 00101538"/>
    <x v="8"/>
    <d v="2025-01-24T00:00:00"/>
    <d v="2025-03-06T00:00:00"/>
    <x v="2"/>
    <s v="a6Jat7160071"/>
    <x v="1"/>
    <s v="Jan"/>
    <s v="Client requested retroactive billing adjustments."/>
    <n v="41"/>
    <x v="1"/>
    <x v="0"/>
    <x v="1"/>
    <x v="0"/>
  </r>
  <r>
    <x v="2"/>
    <s v="NWSL Halftime Sponsorship 2026"/>
    <s v="Billing Request- 00101539"/>
    <x v="4"/>
    <d v="2026-01-13T00:00:00"/>
    <d v="2026-01-22T00:00:00"/>
    <x v="0"/>
    <s v="a6JHn5615562"/>
    <x v="0"/>
    <s v="Jun"/>
    <s v="Manual billing entry issue."/>
    <n v="9"/>
    <x v="4"/>
    <x v="7"/>
    <x v="1"/>
    <x v="1"/>
  </r>
  <r>
    <x v="3"/>
    <s v="NBA Playoffs Campaign 2026"/>
    <s v="Billing Request- 00101540"/>
    <x v="4"/>
    <d v="2026-03-13T00:00:00"/>
    <d v="2026-05-06T00:00:00"/>
    <x v="2"/>
    <s v="a6JXt5697596"/>
    <x v="6"/>
    <s v="Mar"/>
    <s v="Finance validation process delay."/>
    <n v="54"/>
    <x v="1"/>
    <x v="2"/>
    <x v="2"/>
    <x v="1"/>
  </r>
  <r>
    <x v="0"/>
    <s v="NBA League Pass 2025"/>
    <s v="Billing Request- 00101541"/>
    <x v="1"/>
    <d v="2025-09-22T00:00:00"/>
    <d v="2025-10-16T00:00:00"/>
    <x v="2"/>
    <s v="a6Jat8041150"/>
    <x v="0"/>
    <s v="Nov; Dec"/>
    <s v="Invoice details mismatch with approved campaign."/>
    <n v="24"/>
    <x v="3"/>
    <x v="14"/>
    <x v="2"/>
    <x v="0"/>
  </r>
  <r>
    <x v="0"/>
    <s v="Amazon TNF 2024 2025"/>
    <s v="Billing Request- 00101543"/>
    <x v="6"/>
    <d v="2025-08-26T00:00:00"/>
    <d v="2025-12-18T00:00:00"/>
    <x v="2"/>
    <s v="a6JXt1731815"/>
    <x v="4"/>
    <s v="May; Jun"/>
    <s v="Client requested retroactive billing adjustments."/>
    <n v="114"/>
    <x v="0"/>
    <x v="8"/>
    <x v="4"/>
    <x v="0"/>
  </r>
  <r>
    <x v="0"/>
    <s v="Amazon TNF 2024 2026"/>
    <s v="Billing Request- 00101544"/>
    <x v="4"/>
    <d v="2026-02-04T00:00:00"/>
    <d v="2026-03-02T00:00:00"/>
    <x v="0"/>
    <s v="a6JXt6266537"/>
    <x v="6"/>
    <s v="Jul; Aug"/>
    <s v="Late media plan changes from client."/>
    <n v="26"/>
    <x v="3"/>
    <x v="1"/>
    <x v="4"/>
    <x v="1"/>
  </r>
  <r>
    <x v="0"/>
    <s v="Global Consumer Products 2026"/>
    <s v="Billing Request- 00101545"/>
    <x v="5"/>
    <d v="2026-01-23T00:00:00"/>
    <d v="2026-05-05T00:00:00"/>
    <x v="2"/>
    <s v="a6JHn4808484"/>
    <x v="1"/>
    <s v="Sep; Oct"/>
    <s v="Finance validation process delay."/>
    <n v="102"/>
    <x v="0"/>
    <x v="7"/>
    <x v="3"/>
    <x v="1"/>
  </r>
  <r>
    <x v="0"/>
    <s v="Amazon NBA Live Sports 2025"/>
    <s v="Billing Request- 00101546"/>
    <x v="1"/>
    <d v="2025-10-12T00:00:00"/>
    <d v="2025-12-25T00:00:00"/>
    <x v="2"/>
    <s v="a6JHn8922493"/>
    <x v="0"/>
    <s v="Mar"/>
    <s v=""/>
    <n v="74"/>
    <x v="0"/>
    <x v="5"/>
    <x v="2"/>
    <x v="0"/>
  </r>
  <r>
    <x v="0"/>
    <s v="Confluence Academy 2026"/>
    <s v="Billing Request- 00101547"/>
    <x v="2"/>
    <d v="2026-05-02T00:00:00"/>
    <d v="2026-05-07T00:00:00"/>
    <x v="0"/>
    <s v="a6Jat1595954"/>
    <x v="3"/>
    <s v="Feb"/>
    <s v="Agency submitted updated invoice mapping."/>
    <n v="5"/>
    <x v="2"/>
    <x v="16"/>
    <x v="3"/>
    <x v="1"/>
  </r>
  <r>
    <x v="0"/>
    <s v="Streaming Bundle Initiative 2025"/>
    <s v="Billing Request- 00101548"/>
    <x v="7"/>
    <d v="2025-10-15T00:00:00"/>
    <d v="2026-01-08T00:00:00"/>
    <x v="2"/>
    <s v="a6JHn5978973"/>
    <x v="1"/>
    <s v="Dec"/>
    <s v="Finance validation process delay."/>
    <n v="85"/>
    <x v="0"/>
    <x v="5"/>
    <x v="3"/>
    <x v="0"/>
  </r>
  <r>
    <x v="0"/>
    <s v="WNBA Incremental Scatter 2026"/>
    <s v="Billing Request- 00101551"/>
    <x v="4"/>
    <d v="2026-03-18T00:00:00"/>
    <d v="2026-05-09T00:00:00"/>
    <x v="2"/>
    <s v="a6JHn5642259"/>
    <x v="0"/>
    <s v="Dec"/>
    <s v="Finance validation process delay."/>
    <n v="52"/>
    <x v="1"/>
    <x v="2"/>
    <x v="2"/>
    <x v="1"/>
  </r>
  <r>
    <x v="0"/>
    <s v="NASCAR Apex 2025 2025"/>
    <s v="Billing Request- 00101552"/>
    <x v="0"/>
    <d v="2025-06-30T00:00:00"/>
    <d v="2025-07-11T00:00:00"/>
    <x v="2"/>
    <s v="a6JXt1163295"/>
    <x v="6"/>
    <s v="Nov; Dec"/>
    <s v="Invoice details mismatch with approved campaign."/>
    <n v="11"/>
    <x v="4"/>
    <x v="9"/>
    <x v="0"/>
    <x v="0"/>
  </r>
  <r>
    <x v="0"/>
    <s v="Prime Sports NFL 2026"/>
    <s v="Billing Request- 00101553"/>
    <x v="7"/>
    <d v="2026-03-25T00:00:00"/>
    <d v="2026-04-08T00:00:00"/>
    <x v="2"/>
    <s v="a6Jat2706522"/>
    <x v="6"/>
    <s v="Mar"/>
    <s v="Incorrect legal terms delayed PTS."/>
    <n v="14"/>
    <x v="4"/>
    <x v="2"/>
    <x v="3"/>
    <x v="1"/>
  </r>
  <r>
    <x v="0"/>
    <s v="Amazon TNF 2024 2025"/>
    <s v="Billing Request- 00101554"/>
    <x v="9"/>
    <d v="2025-09-17T00:00:00"/>
    <d v="2025-11-06T00:00:00"/>
    <x v="0"/>
    <s v="a6JXt8468968"/>
    <x v="6"/>
    <s v="Jun"/>
    <s v="Agency submitted updated invoice mapping."/>
    <n v="50"/>
    <x v="1"/>
    <x v="14"/>
    <x v="4"/>
    <x v="0"/>
  </r>
  <r>
    <x v="3"/>
    <s v="Global Consumer Products 2025"/>
    <s v="Billing Request- 00101555"/>
    <x v="5"/>
    <d v="2025-07-27T00:00:00"/>
    <d v="2025-10-27T00:00:00"/>
    <x v="2"/>
    <s v="a6JHn2395156"/>
    <x v="6"/>
    <s v="Mar"/>
    <s v="Agency submitted updated invoice mapping."/>
    <n v="92"/>
    <x v="0"/>
    <x v="12"/>
    <x v="3"/>
    <x v="0"/>
  </r>
  <r>
    <x v="0"/>
    <s v="DirecTV NASCAR Campaign 2025"/>
    <s v="Billing Request- 00101557"/>
    <x v="4"/>
    <d v="2025-04-04T00:00:00"/>
    <d v="2025-07-30T00:00:00"/>
    <x v="2"/>
    <s v="a6JHn6700634"/>
    <x v="0"/>
    <s v="Oct"/>
    <s v="Client requested retroactive billing adjustments."/>
    <n v="117"/>
    <x v="0"/>
    <x v="3"/>
    <x v="0"/>
    <x v="0"/>
  </r>
  <r>
    <x v="0"/>
    <s v="NBA Playoffs Campaign 2026"/>
    <s v="Billing Request- 00101558"/>
    <x v="4"/>
    <d v="2026-05-07T00:00:00"/>
    <d v="2026-05-06T00:00:00"/>
    <x v="2"/>
    <s v="a6JHn7143103"/>
    <x v="4"/>
    <s v="Mar"/>
    <s v="Client requested retroactive billing adjustments."/>
    <n v="-1"/>
    <x v="2"/>
    <x v="16"/>
    <x v="2"/>
    <x v="1"/>
  </r>
  <r>
    <x v="0"/>
    <s v="Amazon NBA Live Sports 2025"/>
    <s v="Billing Request- 00101560"/>
    <x v="1"/>
    <d v="2025-01-17T00:00:00"/>
    <d v="2025-05-10T00:00:00"/>
    <x v="2"/>
    <s v="a6JHn2080611"/>
    <x v="5"/>
    <s v="Oct"/>
    <s v="Incorrect legal terms delayed PTS."/>
    <n v="113"/>
    <x v="0"/>
    <x v="0"/>
    <x v="2"/>
    <x v="0"/>
  </r>
  <r>
    <x v="1"/>
    <s v="Retail Media Expansion 2026"/>
    <s v="Billing Request- 00101561"/>
    <x v="0"/>
    <d v="2026-03-28T00:00:00"/>
    <d v="2026-05-05T00:00:00"/>
    <x v="2"/>
    <s v="a6Jat7271320"/>
    <x v="3"/>
    <s v="May"/>
    <s v="Client requested retroactive billing adjustments."/>
    <n v="38"/>
    <x v="1"/>
    <x v="2"/>
    <x v="3"/>
    <x v="1"/>
  </r>
  <r>
    <x v="1"/>
    <s v="Prime Sports NFL 2025"/>
    <s v="Billing Request- 00101562"/>
    <x v="4"/>
    <d v="2025-02-06T00:00:00"/>
    <d v="2025-02-11T00:00:00"/>
    <x v="2"/>
    <s v="a6JXt1218912"/>
    <x v="0"/>
    <s v="Mar; Apr"/>
    <s v=""/>
    <n v="5"/>
    <x v="2"/>
    <x v="6"/>
    <x v="3"/>
    <x v="0"/>
  </r>
  <r>
    <x v="0"/>
    <s v="NASCAR Apex 2025 2025"/>
    <s v="Billing Request- 00101564"/>
    <x v="4"/>
    <d v="2025-10-19T00:00:00"/>
    <d v="2026-02-05T00:00:00"/>
    <x v="1"/>
    <s v="a6JHn4775348"/>
    <x v="6"/>
    <s v="Jan; Feb"/>
    <s v="Finance validation process delay."/>
    <n v="109"/>
    <x v="0"/>
    <x v="5"/>
    <x v="0"/>
    <x v="0"/>
  </r>
  <r>
    <x v="0"/>
    <s v="NASCAR P&amp;Q 2025"/>
    <s v="Billing Request- 00101565"/>
    <x v="8"/>
    <d v="2025-03-22T00:00:00"/>
    <d v="2025-05-04T00:00:00"/>
    <x v="0"/>
    <s v="a6Jat2222698"/>
    <x v="4"/>
    <s v="Jan; Feb"/>
    <s v="Invoice details mismatch with approved campaign."/>
    <n v="43"/>
    <x v="1"/>
    <x v="13"/>
    <x v="0"/>
    <x v="0"/>
  </r>
  <r>
    <x v="0"/>
    <s v="Amazon TNF 2024 2026"/>
    <s v="Billing Request- 00101567"/>
    <x v="9"/>
    <d v="2026-03-20T00:00:00"/>
    <d v="2026-05-02T00:00:00"/>
    <x v="0"/>
    <s v="a6JXt1668300"/>
    <x v="1"/>
    <s v="Feb"/>
    <s v="Invoice details mismatch with approved campaign."/>
    <n v="43"/>
    <x v="1"/>
    <x v="2"/>
    <x v="4"/>
    <x v="1"/>
  </r>
  <r>
    <x v="0"/>
    <s v="WNBA Incremental Scatter 2025"/>
    <s v="Billing Request- 00101570"/>
    <x v="5"/>
    <d v="2025-10-17T00:00:00"/>
    <d v="2026-02-05T00:00:00"/>
    <x v="0"/>
    <s v="a6JHn6229204"/>
    <x v="0"/>
    <s v="Feb"/>
    <s v="Manual billing entry issue."/>
    <n v="111"/>
    <x v="0"/>
    <x v="5"/>
    <x v="2"/>
    <x v="0"/>
  </r>
  <r>
    <x v="3"/>
    <s v="WNBA Incremental Scatter 2026"/>
    <s v="Billing Request- 00101571"/>
    <x v="3"/>
    <d v="2026-03-03T00:00:00"/>
    <d v="2026-04-26T00:00:00"/>
    <x v="2"/>
    <s v="a6JHn6934489"/>
    <x v="4"/>
    <s v="Mar"/>
    <s v="Late media plan changes from client."/>
    <n v="54"/>
    <x v="1"/>
    <x v="2"/>
    <x v="2"/>
    <x v="1"/>
  </r>
  <r>
    <x v="0"/>
    <s v="NFL Prime Video 2025"/>
    <s v="Billing Request- 00101572"/>
    <x v="5"/>
    <d v="2025-08-26T00:00:00"/>
    <d v="2025-12-18T00:00:00"/>
    <x v="2"/>
    <s v="a6Jat6775594"/>
    <x v="4"/>
    <s v="Nov; Dec"/>
    <s v="Client requested retroactive billing adjustments."/>
    <n v="114"/>
    <x v="0"/>
    <x v="8"/>
    <x v="3"/>
    <x v="0"/>
  </r>
  <r>
    <x v="0"/>
    <s v="TNF Sponsorship 2025"/>
    <s v="Billing Request- 00101574"/>
    <x v="9"/>
    <d v="2025-09-08T00:00:00"/>
    <d v="2025-12-10T00:00:00"/>
    <x v="2"/>
    <s v="a6Jat9441169"/>
    <x v="4"/>
    <s v="Nov; Dec"/>
    <s v="Invoice details mismatch with approved campaign."/>
    <n v="93"/>
    <x v="0"/>
    <x v="14"/>
    <x v="4"/>
    <x v="0"/>
  </r>
  <r>
    <x v="0"/>
    <s v="Global Consumer Products 2025"/>
    <s v="Billing Request- 00101575"/>
    <x v="1"/>
    <d v="2025-10-09T00:00:00"/>
    <d v="2025-10-20T00:00:00"/>
    <x v="2"/>
    <s v="a6JHn3809837"/>
    <x v="0"/>
    <s v="Nov; Dec"/>
    <s v=""/>
    <n v="11"/>
    <x v="4"/>
    <x v="5"/>
    <x v="3"/>
    <x v="0"/>
  </r>
  <r>
    <x v="0"/>
    <s v="NBA League Pass 2025"/>
    <s v="Billing Request- 00101577"/>
    <x v="3"/>
    <d v="2025-10-25T00:00:00"/>
    <d v="2025-12-26T00:00:00"/>
    <x v="0"/>
    <s v="a6Jat2610184"/>
    <x v="4"/>
    <s v="Jun"/>
    <s v="Finance validation process delay."/>
    <n v="62"/>
    <x v="0"/>
    <x v="5"/>
    <x v="2"/>
    <x v="0"/>
  </r>
  <r>
    <x v="0"/>
    <s v="NFL Prime Video 2025"/>
    <s v="Billing Request- 00101580"/>
    <x v="7"/>
    <d v="2025-12-30T00:00:00"/>
    <d v="2026-01-25T00:00:00"/>
    <x v="0"/>
    <s v="a6Jat1605920"/>
    <x v="6"/>
    <s v="Sep"/>
    <s v="Agency submitted updated invoice mapping."/>
    <n v="26"/>
    <x v="3"/>
    <x v="11"/>
    <x v="3"/>
    <x v="0"/>
  </r>
  <r>
    <x v="0"/>
    <s v="Prime Sports NFL 2026"/>
    <s v="Billing Request- 00101582"/>
    <x v="7"/>
    <d v="2026-02-03T00:00:00"/>
    <d v="2026-04-09T00:00:00"/>
    <x v="2"/>
    <s v="a6JHn7641644"/>
    <x v="6"/>
    <s v="Feb"/>
    <s v="Invoice details mismatch with approved campaign."/>
    <n v="65"/>
    <x v="0"/>
    <x v="1"/>
    <x v="3"/>
    <x v="1"/>
  </r>
  <r>
    <x v="0"/>
    <s v="NWSL Prime Video 2025"/>
    <s v="Billing Request- 00101583"/>
    <x v="0"/>
    <d v="2025-11-01T00:00:00"/>
    <d v="2025-12-01T00:00:00"/>
    <x v="2"/>
    <s v="a6JXt2609837"/>
    <x v="5"/>
    <s v="Aug"/>
    <s v="Agency submitted updated invoice mapping."/>
    <n v="30"/>
    <x v="3"/>
    <x v="15"/>
    <x v="1"/>
    <x v="0"/>
  </r>
  <r>
    <x v="0"/>
    <s v="WNBA Incremental Scatter 2026"/>
    <s v="Billing Request- 00101584"/>
    <x v="8"/>
    <d v="2026-01-06T00:00:00"/>
    <d v="2026-03-31T00:00:00"/>
    <x v="0"/>
    <s v="a6JXt2241975"/>
    <x v="3"/>
    <s v="Jan; Feb"/>
    <s v="Client requested retroactive billing adjustments."/>
    <n v="84"/>
    <x v="0"/>
    <x v="7"/>
    <x v="2"/>
    <x v="1"/>
  </r>
  <r>
    <x v="0"/>
    <s v="Retail Media Expansion 2026"/>
    <s v="Billing Request- 00101585"/>
    <x v="3"/>
    <d v="2026-02-10T00:00:00"/>
    <d v="2026-04-26T00:00:00"/>
    <x v="0"/>
    <s v="a6JHn5159767"/>
    <x v="1"/>
    <s v="Sep"/>
    <s v="Incorrect legal terms delayed PTS."/>
    <n v="75"/>
    <x v="0"/>
    <x v="1"/>
    <x v="3"/>
    <x v="1"/>
  </r>
  <r>
    <x v="4"/>
    <s v="WNBA Incremental Scatter 2025"/>
    <s v="Billing Request- 00101586"/>
    <x v="8"/>
    <d v="2025-07-20T00:00:00"/>
    <d v="2025-08-10T00:00:00"/>
    <x v="2"/>
    <s v="a6Jat8043067"/>
    <x v="6"/>
    <s v="Sep; Oct"/>
    <s v="Client requested retroactive billing adjustments."/>
    <n v="21"/>
    <x v="3"/>
    <x v="12"/>
    <x v="2"/>
    <x v="0"/>
  </r>
  <r>
    <x v="4"/>
    <s v="NASCAR Apex 2025 2025"/>
    <s v="Billing Request- 00101587"/>
    <x v="9"/>
    <d v="2025-10-13T00:00:00"/>
    <d v="2026-02-04T00:00:00"/>
    <x v="0"/>
    <s v="a6JHn1680808"/>
    <x v="4"/>
    <s v="Jan; Feb"/>
    <s v="Agency submitted updated invoice mapping."/>
    <n v="114"/>
    <x v="0"/>
    <x v="5"/>
    <x v="0"/>
    <x v="0"/>
  </r>
  <r>
    <x v="0"/>
    <s v="DirecTV NASCAR Campaign 2026"/>
    <s v="Billing Request- 00101589"/>
    <x v="6"/>
    <d v="2026-04-11T00:00:00"/>
    <d v="2026-05-07T00:00:00"/>
    <x v="0"/>
    <s v="a6JXt7993284"/>
    <x v="6"/>
    <s v="Oct"/>
    <s v="Missing supporting documentation from vendor."/>
    <n v="26"/>
    <x v="3"/>
    <x v="10"/>
    <x v="0"/>
    <x v="1"/>
  </r>
  <r>
    <x v="0"/>
    <s v="DirecTV NASCAR Campaign 2026"/>
    <s v="Billing Request- 00101591"/>
    <x v="1"/>
    <d v="2026-02-05T00:00:00"/>
    <d v="2026-05-04T00:00:00"/>
    <x v="2"/>
    <s v="a6JXt3538486"/>
    <x v="2"/>
    <s v="Sep; Oct"/>
    <s v=""/>
    <n v="88"/>
    <x v="0"/>
    <x v="1"/>
    <x v="0"/>
    <x v="1"/>
  </r>
  <r>
    <x v="0"/>
    <s v="NWSL Halftime Sponsorship 2025"/>
    <s v="Billing Request- 00101592"/>
    <x v="2"/>
    <d v="2025-01-21T00:00:00"/>
    <d v="2025-03-31T00:00:00"/>
    <x v="1"/>
    <s v="a6Jat5028244"/>
    <x v="1"/>
    <s v="Mar"/>
    <s v="Missing supporting documentation from vendor."/>
    <n v="69"/>
    <x v="0"/>
    <x v="0"/>
    <x v="1"/>
    <x v="0"/>
  </r>
  <r>
    <x v="2"/>
    <s v="NASCAR P&amp;Q 2025"/>
    <s v="Billing Request- 00101594"/>
    <x v="1"/>
    <d v="2025-04-26T00:00:00"/>
    <d v="2025-05-28T00:00:00"/>
    <x v="2"/>
    <s v="a6JXt5041390"/>
    <x v="6"/>
    <s v="Dec"/>
    <s v=""/>
    <n v="32"/>
    <x v="1"/>
    <x v="3"/>
    <x v="0"/>
    <x v="0"/>
  </r>
  <r>
    <x v="3"/>
    <s v="NASCAR Apex 2025 2025"/>
    <s v="Billing Request- 00101595"/>
    <x v="8"/>
    <d v="2025-01-15T00:00:00"/>
    <d v="2025-03-04T00:00:00"/>
    <x v="0"/>
    <s v="a6JHn5505739"/>
    <x v="3"/>
    <s v="May; Jun"/>
    <s v="Missing supporting documentation from vendor."/>
    <n v="48"/>
    <x v="1"/>
    <x v="0"/>
    <x v="0"/>
    <x v="0"/>
  </r>
  <r>
    <x v="0"/>
    <s v="NASCAR P&amp;Q 2025"/>
    <s v="Billing Request- 00101596"/>
    <x v="2"/>
    <d v="2025-05-18T00:00:00"/>
    <d v="2025-08-19T00:00:00"/>
    <x v="2"/>
    <s v="a6JHn8922002"/>
    <x v="0"/>
    <s v="Jan; Feb"/>
    <s v=""/>
    <n v="93"/>
    <x v="0"/>
    <x v="4"/>
    <x v="0"/>
    <x v="0"/>
  </r>
  <r>
    <x v="0"/>
    <s v="NBA League Pass 2025"/>
    <s v="Billing Request- 00101597"/>
    <x v="4"/>
    <d v="2025-02-02T00:00:00"/>
    <d v="2025-03-30T00:00:00"/>
    <x v="2"/>
    <s v="a6JHn7206548"/>
    <x v="5"/>
    <s v="Jan"/>
    <s v="Invoice details mismatch with approved campaign."/>
    <n v="56"/>
    <x v="1"/>
    <x v="6"/>
    <x v="2"/>
    <x v="0"/>
  </r>
  <r>
    <x v="0"/>
    <s v="NASCAR P&amp;Q 2026"/>
    <s v="Billing Request- 00101598"/>
    <x v="0"/>
    <d v="2026-03-20T00:00:00"/>
    <d v="2026-05-09T00:00:00"/>
    <x v="2"/>
    <s v="a6JHn7227966"/>
    <x v="0"/>
    <s v="Jan; Feb"/>
    <s v="Late media plan changes from client."/>
    <n v="50"/>
    <x v="1"/>
    <x v="2"/>
    <x v="0"/>
    <x v="1"/>
  </r>
  <r>
    <x v="0"/>
    <s v="WNBA Incremental Scatter 2026"/>
    <s v="Billing Request- 00101599"/>
    <x v="6"/>
    <d v="2026-02-16T00:00:00"/>
    <d v="2026-03-03T00:00:00"/>
    <x v="1"/>
    <s v="a6Jat5019776"/>
    <x v="1"/>
    <s v="Apr"/>
    <s v="Late media plan changes from client."/>
    <n v="15"/>
    <x v="3"/>
    <x v="1"/>
    <x v="2"/>
    <x v="1"/>
  </r>
  <r>
    <x v="0"/>
    <s v="NASCAR P&amp;Q 2026"/>
    <s v="Billing Request- 00101601"/>
    <x v="7"/>
    <d v="2026-03-19T00:00:00"/>
    <d v="2026-05-07T00:00:00"/>
    <x v="2"/>
    <s v="a6JXt7923105"/>
    <x v="2"/>
    <s v="May; Jun"/>
    <s v="Manual billing entry issue."/>
    <n v="49"/>
    <x v="1"/>
    <x v="2"/>
    <x v="0"/>
    <x v="1"/>
  </r>
  <r>
    <x v="0"/>
    <s v="NWSL Prime Video 2026"/>
    <s v="Billing Request- 00101604"/>
    <x v="4"/>
    <d v="2026-03-13T00:00:00"/>
    <d v="2026-05-08T00:00:00"/>
    <x v="0"/>
    <s v="a6JXt9355981"/>
    <x v="6"/>
    <s v="Jul; Aug"/>
    <s v="Manual billing entry issue."/>
    <n v="56"/>
    <x v="1"/>
    <x v="2"/>
    <x v="1"/>
    <x v="1"/>
  </r>
  <r>
    <x v="4"/>
    <s v="Prime Sports NFL 2025"/>
    <s v="Billing Request- 00101605"/>
    <x v="8"/>
    <d v="2025-03-25T00:00:00"/>
    <d v="2025-07-15T00:00:00"/>
    <x v="0"/>
    <s v="a6Jat4734010"/>
    <x v="0"/>
    <s v="May; Jun"/>
    <s v="Agency submitted updated invoice mapping."/>
    <n v="112"/>
    <x v="0"/>
    <x v="13"/>
    <x v="3"/>
    <x v="0"/>
  </r>
  <r>
    <x v="0"/>
    <s v="NASCAR Apex 2025 2025"/>
    <s v="Billing Request- 00101606"/>
    <x v="4"/>
    <d v="2025-07-24T00:00:00"/>
    <d v="2025-10-20T00:00:00"/>
    <x v="2"/>
    <s v="a6Jat5675094"/>
    <x v="2"/>
    <s v="Feb"/>
    <s v="Invoice details mismatch with approved campaign."/>
    <n v="88"/>
    <x v="0"/>
    <x v="12"/>
    <x v="0"/>
    <x v="0"/>
  </r>
  <r>
    <x v="2"/>
    <s v="Amazon TNF 2024 2026"/>
    <s v="Billing Request- 00101607"/>
    <x v="4"/>
    <d v="2026-04-23T00:00:00"/>
    <d v="2026-05-05T00:00:00"/>
    <x v="2"/>
    <s v="a6JXt9709790"/>
    <x v="6"/>
    <s v="Jan"/>
    <s v="Agency submitted updated invoice mapping."/>
    <n v="12"/>
    <x v="4"/>
    <x v="10"/>
    <x v="4"/>
    <x v="1"/>
  </r>
  <r>
    <x v="0"/>
    <s v="WNBA Incremental Scatter 2025"/>
    <s v="Billing Request- 00101608"/>
    <x v="1"/>
    <d v="2025-12-16T00:00:00"/>
    <d v="2026-01-08T00:00:00"/>
    <x v="2"/>
    <s v="a6JXt4269335"/>
    <x v="0"/>
    <s v="Jan"/>
    <s v="Late media plan changes from client."/>
    <n v="23"/>
    <x v="3"/>
    <x v="11"/>
    <x v="2"/>
    <x v="0"/>
  </r>
  <r>
    <x v="0"/>
    <s v="DirecTV NASCAR Campaign 2026"/>
    <s v="Billing Request- 00101611"/>
    <x v="7"/>
    <d v="2026-03-30T00:00:00"/>
    <d v="2026-04-16T00:00:00"/>
    <x v="0"/>
    <s v="a6JXt4577047"/>
    <x v="4"/>
    <s v="Jun"/>
    <s v="Agency submitted updated invoice mapping."/>
    <n v="17"/>
    <x v="3"/>
    <x v="2"/>
    <x v="0"/>
    <x v="1"/>
  </r>
  <r>
    <x v="3"/>
    <s v="Retail Media Expansion 2025"/>
    <s v="Billing Request- 00101612"/>
    <x v="2"/>
    <d v="2025-08-15T00:00:00"/>
    <d v="2025-09-14T00:00:00"/>
    <x v="2"/>
    <s v="a6Jat1023893"/>
    <x v="3"/>
    <s v="Jul; Aug"/>
    <s v="Manual billing entry issue."/>
    <n v="30"/>
    <x v="3"/>
    <x v="8"/>
    <x v="3"/>
    <x v="0"/>
  </r>
  <r>
    <x v="0"/>
    <s v="Amazon NBA Live Sports 2026"/>
    <s v="Billing Request- 00101613"/>
    <x v="9"/>
    <d v="2026-02-27T00:00:00"/>
    <d v="2026-03-16T00:00:00"/>
    <x v="2"/>
    <s v="a6Jat8877614"/>
    <x v="6"/>
    <s v="Feb"/>
    <s v=""/>
    <n v="17"/>
    <x v="3"/>
    <x v="1"/>
    <x v="2"/>
    <x v="1"/>
  </r>
  <r>
    <x v="0"/>
    <s v="Amazon NBA Live Sports 2026"/>
    <s v="Billing Request- 00101614"/>
    <x v="5"/>
    <d v="2026-01-12T00:00:00"/>
    <d v="2026-03-19T00:00:00"/>
    <x v="0"/>
    <s v="a6Jat9483674"/>
    <x v="1"/>
    <s v="Jul"/>
    <s v="Missing supporting documentation from vendor."/>
    <n v="66"/>
    <x v="0"/>
    <x v="7"/>
    <x v="2"/>
    <x v="1"/>
  </r>
  <r>
    <x v="0"/>
    <s v="NWSL Prime Video 2025"/>
    <s v="Billing Request- 00101616"/>
    <x v="7"/>
    <d v="2025-09-10T00:00:00"/>
    <d v="2025-12-05T00:00:00"/>
    <x v="2"/>
    <s v="a6JHn9027501"/>
    <x v="3"/>
    <s v="May; Jun"/>
    <s v="Late media plan changes from client."/>
    <n v="86"/>
    <x v="0"/>
    <x v="14"/>
    <x v="1"/>
    <x v="0"/>
  </r>
  <r>
    <x v="0"/>
    <s v="Retail Media Expansion 2026"/>
    <s v="Billing Request- 00101618"/>
    <x v="5"/>
    <d v="2026-03-30T00:00:00"/>
    <d v="2026-05-04T00:00:00"/>
    <x v="0"/>
    <s v="a6JXt4089229"/>
    <x v="2"/>
    <s v="Dec"/>
    <s v="Missing supporting documentation from vendor."/>
    <n v="35"/>
    <x v="1"/>
    <x v="2"/>
    <x v="3"/>
    <x v="1"/>
  </r>
  <r>
    <x v="0"/>
    <s v="TNF Sponsorship 2026"/>
    <s v="Billing Request- 00101620"/>
    <x v="7"/>
    <d v="2026-01-30T00:00:00"/>
    <d v="2026-04-09T00:00:00"/>
    <x v="0"/>
    <s v="a6JHn2753913"/>
    <x v="6"/>
    <s v="Jul; Aug"/>
    <s v="Invoice details mismatch with approved campaign."/>
    <n v="69"/>
    <x v="0"/>
    <x v="7"/>
    <x v="4"/>
    <x v="1"/>
  </r>
  <r>
    <x v="0"/>
    <s v="NWSL Halftime Sponsorship 2025"/>
    <s v="Billing Request- 00101622"/>
    <x v="9"/>
    <d v="2025-05-27T00:00:00"/>
    <d v="2025-08-20T00:00:00"/>
    <x v="0"/>
    <s v="a6JXt7129975"/>
    <x v="6"/>
    <s v="Nov"/>
    <s v="Late media plan changes from client."/>
    <n v="85"/>
    <x v="0"/>
    <x v="4"/>
    <x v="1"/>
    <x v="0"/>
  </r>
  <r>
    <x v="0"/>
    <s v="NASCAR Apex 2025 2026"/>
    <s v="Billing Request- 00101623"/>
    <x v="6"/>
    <d v="2026-01-12T00:00:00"/>
    <d v="2026-02-28T00:00:00"/>
    <x v="0"/>
    <s v="a6JXt2128985"/>
    <x v="6"/>
    <s v="Mar; Apr"/>
    <s v="Late media plan changes from client."/>
    <n v="47"/>
    <x v="1"/>
    <x v="7"/>
    <x v="0"/>
    <x v="1"/>
  </r>
  <r>
    <x v="4"/>
    <s v="NWSL Prime Video 2025"/>
    <s v="Billing Request- 00101625"/>
    <x v="4"/>
    <d v="2025-08-19T00:00:00"/>
    <d v="2025-10-29T00:00:00"/>
    <x v="2"/>
    <s v="a6Jat3299952"/>
    <x v="3"/>
    <s v="Jun"/>
    <s v="Missing supporting documentation from vendor."/>
    <n v="71"/>
    <x v="0"/>
    <x v="8"/>
    <x v="1"/>
    <x v="0"/>
  </r>
  <r>
    <x v="0"/>
    <s v="Streaming Bundle Initiative 2026"/>
    <s v="Billing Request- 00101626"/>
    <x v="2"/>
    <d v="2026-01-04T00:00:00"/>
    <d v="2026-01-14T00:00:00"/>
    <x v="0"/>
    <s v="a6Jat3511065"/>
    <x v="6"/>
    <s v="Jul"/>
    <s v="Manual billing entry issue."/>
    <n v="10"/>
    <x v="4"/>
    <x v="7"/>
    <x v="3"/>
    <x v="1"/>
  </r>
  <r>
    <x v="0"/>
    <s v="NWSL Prime Video 2026"/>
    <s v="Billing Request- 00101627"/>
    <x v="0"/>
    <d v="2026-04-21T00:00:00"/>
    <d v="2026-05-05T00:00:00"/>
    <x v="0"/>
    <s v="a6JHn1609611"/>
    <x v="5"/>
    <s v="Jul; Aug"/>
    <s v="Manual billing entry issue."/>
    <n v="14"/>
    <x v="4"/>
    <x v="10"/>
    <x v="1"/>
    <x v="1"/>
  </r>
  <r>
    <x v="0"/>
    <s v="Streaming Bundle Initiative 2025"/>
    <s v="Billing Request- 00101629"/>
    <x v="0"/>
    <d v="2025-06-23T00:00:00"/>
    <d v="2025-09-21T00:00:00"/>
    <x v="2"/>
    <s v="a6Jat4489742"/>
    <x v="2"/>
    <s v="Oct"/>
    <s v="Manual billing entry issue."/>
    <n v="90"/>
    <x v="0"/>
    <x v="9"/>
    <x v="3"/>
    <x v="0"/>
  </r>
  <r>
    <x v="0"/>
    <s v="NFL Prime Video 2025"/>
    <s v="Billing Request- 00101632"/>
    <x v="2"/>
    <d v="2025-12-31T00:00:00"/>
    <d v="2026-01-07T00:00:00"/>
    <x v="2"/>
    <s v="a6JHn6136686"/>
    <x v="5"/>
    <s v="Mar; Apr"/>
    <s v="Finance validation process delay."/>
    <n v="7"/>
    <x v="2"/>
    <x v="11"/>
    <x v="3"/>
    <x v="0"/>
  </r>
  <r>
    <x v="2"/>
    <s v="Streaming Bundle Initiative 2025"/>
    <s v="Billing Request- 00101633"/>
    <x v="7"/>
    <d v="2025-10-21T00:00:00"/>
    <d v="2025-12-18T00:00:00"/>
    <x v="0"/>
    <s v="a6Jat8042900"/>
    <x v="0"/>
    <s v="Dec"/>
    <s v="Missing supporting documentation from vendor."/>
    <n v="58"/>
    <x v="1"/>
    <x v="5"/>
    <x v="3"/>
    <x v="0"/>
  </r>
  <r>
    <x v="0"/>
    <s v="NASCAR P&amp;Q 2025"/>
    <s v="Billing Request- 00101634"/>
    <x v="8"/>
    <d v="2025-01-18T00:00:00"/>
    <d v="2025-02-20T00:00:00"/>
    <x v="2"/>
    <s v="a6JHn4700899"/>
    <x v="4"/>
    <s v="Feb"/>
    <s v="Missing supporting documentation from vendor."/>
    <n v="33"/>
    <x v="1"/>
    <x v="0"/>
    <x v="0"/>
    <x v="0"/>
  </r>
  <r>
    <x v="0"/>
    <s v="NWSL Prime Video 2026"/>
    <s v="Billing Request- 00101635"/>
    <x v="5"/>
    <d v="2026-04-20T00:00:00"/>
    <d v="2026-05-08T00:00:00"/>
    <x v="0"/>
    <s v="a6JXt7007810"/>
    <x v="5"/>
    <s v="Jan; Feb"/>
    <s v="Manual billing entry issue."/>
    <n v="18"/>
    <x v="3"/>
    <x v="10"/>
    <x v="1"/>
    <x v="1"/>
  </r>
  <r>
    <x v="0"/>
    <s v="DirecTV NASCAR Campaign 2025"/>
    <s v="Billing Request- 00101636"/>
    <x v="1"/>
    <d v="2025-01-26T00:00:00"/>
    <d v="2025-04-25T00:00:00"/>
    <x v="2"/>
    <s v="a6JHn6868075"/>
    <x v="4"/>
    <s v="Sep; Oct"/>
    <s v="Agency submitted updated invoice mapping."/>
    <n v="89"/>
    <x v="0"/>
    <x v="0"/>
    <x v="0"/>
    <x v="0"/>
  </r>
  <r>
    <x v="0"/>
    <s v="NWSL Prime Video 2025"/>
    <s v="Billing Request- 00101637"/>
    <x v="3"/>
    <d v="2025-12-12T00:00:00"/>
    <d v="2026-01-08T00:00:00"/>
    <x v="2"/>
    <s v="a6JHn5865071"/>
    <x v="5"/>
    <s v="Nov; Dec"/>
    <s v="Invoice details mismatch with approved campaign."/>
    <n v="27"/>
    <x v="3"/>
    <x v="11"/>
    <x v="1"/>
    <x v="0"/>
  </r>
  <r>
    <x v="0"/>
    <s v="NASCAR Apex 2025 2025"/>
    <s v="Billing Request- 00101638"/>
    <x v="2"/>
    <d v="2025-06-28T00:00:00"/>
    <d v="2025-10-25T00:00:00"/>
    <x v="2"/>
    <s v="a6JHn5391020"/>
    <x v="2"/>
    <s v="Aug"/>
    <s v="Late media plan changes from client."/>
    <n v="119"/>
    <x v="0"/>
    <x v="9"/>
    <x v="0"/>
    <x v="0"/>
  </r>
  <r>
    <x v="0"/>
    <s v="DirecTV NASCAR Campaign 2025"/>
    <s v="Billing Request- 00101639"/>
    <x v="0"/>
    <d v="2025-02-07T00:00:00"/>
    <d v="2025-05-20T00:00:00"/>
    <x v="2"/>
    <s v="a6JXt5103508"/>
    <x v="4"/>
    <s v="Sep"/>
    <s v="Late media plan changes from client."/>
    <n v="102"/>
    <x v="0"/>
    <x v="6"/>
    <x v="0"/>
    <x v="0"/>
  </r>
  <r>
    <x v="3"/>
    <s v="Global Consumer Products 2025"/>
    <s v="Billing Request- 00101640"/>
    <x v="5"/>
    <d v="2025-05-26T00:00:00"/>
    <d v="2025-06-24T00:00:00"/>
    <x v="2"/>
    <s v="a6JXt3874563"/>
    <x v="4"/>
    <s v="Feb"/>
    <s v="Invoice details mismatch with approved campaign."/>
    <n v="29"/>
    <x v="3"/>
    <x v="4"/>
    <x v="3"/>
    <x v="0"/>
  </r>
  <r>
    <x v="1"/>
    <s v="NWSL Halftime Sponsorship 2025"/>
    <s v="Billing Request- 00101641"/>
    <x v="0"/>
    <d v="2025-03-07T00:00:00"/>
    <d v="2025-05-24T00:00:00"/>
    <x v="0"/>
    <s v="a6JXt9764165"/>
    <x v="1"/>
    <s v="Sep"/>
    <s v="Incorrect legal terms delayed PTS."/>
    <n v="78"/>
    <x v="0"/>
    <x v="13"/>
    <x v="1"/>
    <x v="0"/>
  </r>
  <r>
    <x v="0"/>
    <s v="DirecTV NASCAR Campaign 2026"/>
    <s v="Billing Request- 00101643"/>
    <x v="0"/>
    <d v="2026-03-31T00:00:00"/>
    <d v="2026-04-25T00:00:00"/>
    <x v="2"/>
    <s v="a6JHn8929208"/>
    <x v="4"/>
    <s v="May"/>
    <s v="Client requested retroactive billing adjustments."/>
    <n v="25"/>
    <x v="3"/>
    <x v="2"/>
    <x v="0"/>
    <x v="1"/>
  </r>
  <r>
    <x v="0"/>
    <s v="NWSL Halftime Sponsorship 2025"/>
    <s v="Billing Request- 00101646"/>
    <x v="1"/>
    <d v="2025-06-22T00:00:00"/>
    <d v="2025-09-11T00:00:00"/>
    <x v="2"/>
    <s v="a6Jat4664158"/>
    <x v="3"/>
    <s v="Dec"/>
    <s v=""/>
    <n v="81"/>
    <x v="0"/>
    <x v="9"/>
    <x v="1"/>
    <x v="0"/>
  </r>
  <r>
    <x v="0"/>
    <s v="Amazon NBA Live Sports 2025"/>
    <s v="Billing Request- 00101649"/>
    <x v="3"/>
    <d v="2025-01-10T00:00:00"/>
    <d v="2025-02-18T00:00:00"/>
    <x v="2"/>
    <s v="a6JXt7647888"/>
    <x v="1"/>
    <s v="Jan"/>
    <s v="Client requested retroactive billing adjustments."/>
    <n v="39"/>
    <x v="1"/>
    <x v="0"/>
    <x v="2"/>
    <x v="0"/>
  </r>
  <r>
    <x v="0"/>
    <s v="NBA League Pass 2025"/>
    <s v="Billing Request- 00101650"/>
    <x v="1"/>
    <d v="2025-11-30T00:00:00"/>
    <d v="2026-01-10T00:00:00"/>
    <x v="2"/>
    <s v="a6Jat3566756"/>
    <x v="2"/>
    <s v="Jul; Aug"/>
    <s v="Finance validation process delay."/>
    <n v="41"/>
    <x v="1"/>
    <x v="15"/>
    <x v="2"/>
    <x v="0"/>
  </r>
  <r>
    <x v="1"/>
    <s v="NASCAR P&amp;Q 2026"/>
    <s v="Billing Request- 00101651"/>
    <x v="5"/>
    <d v="2026-01-17T00:00:00"/>
    <d v="2026-03-18T00:00:00"/>
    <x v="2"/>
    <s v="a6JHn1980550"/>
    <x v="4"/>
    <s v="Nov; Dec"/>
    <s v="Invoice details mismatch with approved campaign."/>
    <n v="60"/>
    <x v="1"/>
    <x v="7"/>
    <x v="0"/>
    <x v="1"/>
  </r>
  <r>
    <x v="0"/>
    <s v="Global Consumer Products 2026"/>
    <s v="Billing Request- 00101652"/>
    <x v="5"/>
    <d v="2026-02-11T00:00:00"/>
    <d v="2026-03-04T00:00:00"/>
    <x v="2"/>
    <s v="a6JHn6650131"/>
    <x v="4"/>
    <s v="Jul"/>
    <s v="Agency submitted updated invoice mapping."/>
    <n v="21"/>
    <x v="3"/>
    <x v="1"/>
    <x v="3"/>
    <x v="1"/>
  </r>
  <r>
    <x v="0"/>
    <s v="WNBA Incremental Scatter 2025"/>
    <s v="Billing Request- 00101653"/>
    <x v="7"/>
    <d v="2025-03-20T00:00:00"/>
    <d v="2025-06-08T00:00:00"/>
    <x v="2"/>
    <s v="a6JHn2808703"/>
    <x v="4"/>
    <s v="Jan"/>
    <s v="Manual billing entry issue."/>
    <n v="80"/>
    <x v="0"/>
    <x v="13"/>
    <x v="2"/>
    <x v="0"/>
  </r>
  <r>
    <x v="0"/>
    <s v="Global Consumer Products 2026"/>
    <s v="Billing Request- 00101655"/>
    <x v="5"/>
    <d v="2026-02-06T00:00:00"/>
    <d v="2026-05-06T00:00:00"/>
    <x v="2"/>
    <s v="a6JXt1950689"/>
    <x v="3"/>
    <s v="Dec"/>
    <s v="Manual billing entry issue."/>
    <n v="89"/>
    <x v="0"/>
    <x v="1"/>
    <x v="3"/>
    <x v="1"/>
  </r>
  <r>
    <x v="3"/>
    <s v="DirecTV NASCAR Campaign 2025"/>
    <s v="Billing Request- 00101658"/>
    <x v="8"/>
    <d v="2025-07-31T00:00:00"/>
    <d v="2025-11-26T00:00:00"/>
    <x v="2"/>
    <s v="a6Jat8990770"/>
    <x v="3"/>
    <s v="Sep"/>
    <s v="Missing supporting documentation from vendor."/>
    <n v="118"/>
    <x v="0"/>
    <x v="12"/>
    <x v="0"/>
    <x v="0"/>
  </r>
  <r>
    <x v="3"/>
    <s v="DirecTV NASCAR Campaign 2026"/>
    <s v="Billing Request- 00101660"/>
    <x v="0"/>
    <d v="2026-05-01T00:00:00"/>
    <d v="2026-05-08T00:00:00"/>
    <x v="2"/>
    <s v="a6Jat6312637"/>
    <x v="6"/>
    <s v="Nov"/>
    <s v="Missing supporting documentation from vendor."/>
    <n v="7"/>
    <x v="2"/>
    <x v="16"/>
    <x v="0"/>
    <x v="1"/>
  </r>
  <r>
    <x v="0"/>
    <s v="DirecTV NASCAR Campaign 2025"/>
    <s v="Billing Request- 00101661"/>
    <x v="7"/>
    <d v="2025-10-01T00:00:00"/>
    <d v="2025-11-07T00:00:00"/>
    <x v="2"/>
    <s v="a6Jat9144797"/>
    <x v="2"/>
    <s v="Jul"/>
    <s v="Finance validation process delay."/>
    <n v="37"/>
    <x v="1"/>
    <x v="5"/>
    <x v="0"/>
    <x v="0"/>
  </r>
  <r>
    <x v="0"/>
    <s v="WNBA Incremental Scatter 2025"/>
    <s v="Billing Request- 00101662"/>
    <x v="3"/>
    <d v="2025-02-09T00:00:00"/>
    <d v="2025-05-22T00:00:00"/>
    <x v="2"/>
    <s v="a6Jat3000277"/>
    <x v="0"/>
    <s v="Sep; Oct"/>
    <s v="Client requested retroactive billing adjustments."/>
    <n v="102"/>
    <x v="0"/>
    <x v="6"/>
    <x v="2"/>
    <x v="0"/>
  </r>
  <r>
    <x v="2"/>
    <s v="Amazon NBA Live Sports 2025"/>
    <s v="Billing Request- 00101665"/>
    <x v="3"/>
    <d v="2025-03-30T00:00:00"/>
    <d v="2025-04-22T00:00:00"/>
    <x v="0"/>
    <s v="a6Jat4696222"/>
    <x v="0"/>
    <s v="Jun"/>
    <s v="Agency submitted updated invoice mapping."/>
    <n v="23"/>
    <x v="3"/>
    <x v="13"/>
    <x v="2"/>
    <x v="0"/>
  </r>
  <r>
    <x v="0"/>
    <s v="Retail Media Expansion 2026"/>
    <s v="Billing Request- 00101667"/>
    <x v="4"/>
    <d v="2026-01-01T00:00:00"/>
    <d v="2026-03-31T00:00:00"/>
    <x v="2"/>
    <s v="a6JHn8429263"/>
    <x v="3"/>
    <s v="Sep; Oct"/>
    <s v=""/>
    <n v="89"/>
    <x v="0"/>
    <x v="7"/>
    <x v="3"/>
    <x v="1"/>
  </r>
  <r>
    <x v="0"/>
    <s v="NASCAR P&amp;Q 2025"/>
    <s v="Billing Request- 00101668"/>
    <x v="6"/>
    <d v="2025-11-03T00:00:00"/>
    <d v="2026-01-17T00:00:00"/>
    <x v="2"/>
    <s v="a6Jat1173214"/>
    <x v="5"/>
    <s v="Jan; Feb"/>
    <s v=""/>
    <n v="75"/>
    <x v="0"/>
    <x v="15"/>
    <x v="0"/>
    <x v="0"/>
  </r>
  <r>
    <x v="4"/>
    <s v="NASCAR P&amp;Q 2025"/>
    <s v="Billing Request- 00101669"/>
    <x v="9"/>
    <d v="2025-02-06T00:00:00"/>
    <d v="2025-04-26T00:00:00"/>
    <x v="2"/>
    <s v="a6JHn4047737"/>
    <x v="0"/>
    <s v="Jul"/>
    <s v="Agency submitted updated invoice mapping."/>
    <n v="79"/>
    <x v="0"/>
    <x v="6"/>
    <x v="0"/>
    <x v="0"/>
  </r>
  <r>
    <x v="0"/>
    <s v="NASCAR P&amp;Q 2026"/>
    <s v="Billing Request- 00101670"/>
    <x v="5"/>
    <d v="2026-03-23T00:00:00"/>
    <d v="2026-05-08T00:00:00"/>
    <x v="2"/>
    <s v="a6JHn3860454"/>
    <x v="3"/>
    <s v="May"/>
    <s v="Client requested retroactive billing adjustments."/>
    <n v="46"/>
    <x v="1"/>
    <x v="2"/>
    <x v="0"/>
    <x v="1"/>
  </r>
  <r>
    <x v="0"/>
    <s v="Confluence Academy 2025"/>
    <s v="Billing Request- 00101671"/>
    <x v="0"/>
    <d v="2025-07-24T00:00:00"/>
    <d v="2025-09-07T00:00:00"/>
    <x v="2"/>
    <s v="a6Jat7188870"/>
    <x v="2"/>
    <s v="Jun"/>
    <s v="Agency submitted updated invoice mapping."/>
    <n v="45"/>
    <x v="1"/>
    <x v="12"/>
    <x v="3"/>
    <x v="0"/>
  </r>
  <r>
    <x v="0"/>
    <s v="NASCAR Apex 2025 2025"/>
    <s v="Billing Request- 00101672"/>
    <x v="0"/>
    <d v="2025-03-01T00:00:00"/>
    <d v="2025-03-11T00:00:00"/>
    <x v="2"/>
    <s v="a6JHn6298322"/>
    <x v="0"/>
    <s v="Aug"/>
    <s v="Missing supporting documentation from vendor."/>
    <n v="10"/>
    <x v="4"/>
    <x v="13"/>
    <x v="0"/>
    <x v="0"/>
  </r>
  <r>
    <x v="0"/>
    <s v="Confluence Academy 2025"/>
    <s v="Billing Request- 00101674"/>
    <x v="7"/>
    <d v="2025-05-13T00:00:00"/>
    <d v="2025-08-01T00:00:00"/>
    <x v="2"/>
    <s v="a6Jat4263701"/>
    <x v="2"/>
    <s v="Apr"/>
    <s v="Manual billing entry issue."/>
    <n v="80"/>
    <x v="0"/>
    <x v="4"/>
    <x v="3"/>
    <x v="0"/>
  </r>
  <r>
    <x v="0"/>
    <s v="DirecTV NASCAR Campaign 2025"/>
    <s v="Billing Request- 00101675"/>
    <x v="1"/>
    <d v="2025-01-21T00:00:00"/>
    <d v="2025-01-27T00:00:00"/>
    <x v="0"/>
    <s v="a6JXt3634592"/>
    <x v="1"/>
    <s v="Mar"/>
    <s v="Agency submitted updated invoice mapping."/>
    <n v="6"/>
    <x v="2"/>
    <x v="0"/>
    <x v="0"/>
    <x v="0"/>
  </r>
  <r>
    <x v="0"/>
    <s v="TNF Sponsorship 2026"/>
    <s v="Billing Request- 00101676"/>
    <x v="3"/>
    <d v="2026-01-25T00:00:00"/>
    <d v="2026-05-08T00:00:00"/>
    <x v="2"/>
    <s v="a6Jat7249336"/>
    <x v="4"/>
    <s v="Mar; Apr"/>
    <s v=""/>
    <n v="103"/>
    <x v="0"/>
    <x v="7"/>
    <x v="4"/>
    <x v="1"/>
  </r>
  <r>
    <x v="0"/>
    <s v="NASCAR P&amp;Q 2025"/>
    <s v="Billing Request- 00101677"/>
    <x v="2"/>
    <d v="2025-09-13T00:00:00"/>
    <d v="2025-11-04T00:00:00"/>
    <x v="2"/>
    <s v="a6JXt6481395"/>
    <x v="5"/>
    <s v="Nov; Dec"/>
    <s v="Client requested retroactive billing adjustments."/>
    <n v="52"/>
    <x v="1"/>
    <x v="14"/>
    <x v="0"/>
    <x v="0"/>
  </r>
  <r>
    <x v="0"/>
    <s v="WNBA Incremental Scatter 2025"/>
    <s v="Billing Request- 00101678"/>
    <x v="8"/>
    <d v="2025-06-06T00:00:00"/>
    <d v="2025-09-11T00:00:00"/>
    <x v="2"/>
    <s v="a6JXt9430150"/>
    <x v="0"/>
    <s v="Sep; Oct"/>
    <s v="Finance validation process delay."/>
    <n v="97"/>
    <x v="0"/>
    <x v="9"/>
    <x v="2"/>
    <x v="0"/>
  </r>
  <r>
    <x v="0"/>
    <s v="WNBA Incremental Scatter 2025"/>
    <s v="Billing Request- 00101680"/>
    <x v="5"/>
    <d v="2025-04-22T00:00:00"/>
    <d v="2025-05-30T00:00:00"/>
    <x v="0"/>
    <s v="a6JHn3429853"/>
    <x v="6"/>
    <s v="Jul"/>
    <s v="Agency submitted updated invoice mapping."/>
    <n v="38"/>
    <x v="1"/>
    <x v="3"/>
    <x v="2"/>
    <x v="0"/>
  </r>
  <r>
    <x v="0"/>
    <s v="NWSL Prime Video 2026"/>
    <s v="Billing Request- 00101682"/>
    <x v="0"/>
    <d v="2026-01-29T00:00:00"/>
    <d v="2026-02-10T00:00:00"/>
    <x v="0"/>
    <s v="a6JXt5658782"/>
    <x v="2"/>
    <s v="Sep; Oct"/>
    <s v="Incorrect legal terms delayed PTS."/>
    <n v="12"/>
    <x v="4"/>
    <x v="7"/>
    <x v="1"/>
    <x v="1"/>
  </r>
  <r>
    <x v="0"/>
    <s v="WNBA Incremental Scatter 2025"/>
    <s v="Billing Request- 00101683"/>
    <x v="9"/>
    <d v="2025-09-21T00:00:00"/>
    <d v="2025-12-20T00:00:00"/>
    <x v="2"/>
    <s v="a6Jat8247606"/>
    <x v="0"/>
    <s v="Jan"/>
    <s v="Agency submitted updated invoice mapping."/>
    <n v="90"/>
    <x v="0"/>
    <x v="14"/>
    <x v="2"/>
    <x v="0"/>
  </r>
  <r>
    <x v="0"/>
    <s v="NASCAR P&amp;Q 2025"/>
    <s v="Billing Request- 00101684"/>
    <x v="7"/>
    <d v="2025-02-01T00:00:00"/>
    <d v="2025-02-02T00:00:00"/>
    <x v="2"/>
    <s v="a6Jat7644275"/>
    <x v="1"/>
    <s v="Apr"/>
    <s v="Client requested retroactive billing adjustments."/>
    <n v="1"/>
    <x v="2"/>
    <x v="6"/>
    <x v="0"/>
    <x v="0"/>
  </r>
  <r>
    <x v="0"/>
    <s v="NBA League Pass 2025"/>
    <s v="Billing Request- 00101685"/>
    <x v="6"/>
    <d v="2025-01-24T00:00:00"/>
    <d v="2025-03-07T00:00:00"/>
    <x v="2"/>
    <s v="a6Jat1032061"/>
    <x v="5"/>
    <s v="Jun"/>
    <s v="Missing supporting documentation from vendor."/>
    <n v="42"/>
    <x v="1"/>
    <x v="0"/>
    <x v="2"/>
    <x v="0"/>
  </r>
  <r>
    <x v="0"/>
    <s v="Confluence Academy 2026"/>
    <s v="Billing Request- 00101686"/>
    <x v="5"/>
    <d v="2026-02-13T00:00:00"/>
    <d v="2026-05-09T00:00:00"/>
    <x v="2"/>
    <s v="a6JXt8251038"/>
    <x v="1"/>
    <s v="May; Jun"/>
    <s v="Missing supporting documentation from vendor."/>
    <n v="85"/>
    <x v="0"/>
    <x v="1"/>
    <x v="3"/>
    <x v="1"/>
  </r>
  <r>
    <x v="3"/>
    <s v="Retail Media Expansion 2026"/>
    <s v="Billing Request- 00101687"/>
    <x v="7"/>
    <d v="2026-02-28T00:00:00"/>
    <d v="2026-03-23T00:00:00"/>
    <x v="2"/>
    <s v="a6JHn4419979"/>
    <x v="1"/>
    <s v="Jul; Aug"/>
    <s v="Missing supporting documentation from vendor."/>
    <n v="23"/>
    <x v="3"/>
    <x v="1"/>
    <x v="3"/>
    <x v="1"/>
  </r>
  <r>
    <x v="0"/>
    <s v="DirecTV NASCAR Campaign 2026"/>
    <s v="Billing Request- 00101688"/>
    <x v="5"/>
    <d v="2026-01-22T00:00:00"/>
    <d v="2026-03-28T00:00:00"/>
    <x v="0"/>
    <s v="a6JXt7752669"/>
    <x v="0"/>
    <s v="May; Jun"/>
    <s v="Incorrect legal terms delayed PTS."/>
    <n v="65"/>
    <x v="0"/>
    <x v="7"/>
    <x v="0"/>
    <x v="1"/>
  </r>
  <r>
    <x v="0"/>
    <s v="NWSL Halftime Sponsorship 2025"/>
    <s v="Billing Request- 00101691"/>
    <x v="0"/>
    <d v="2025-09-04T00:00:00"/>
    <d v="2025-11-07T00:00:00"/>
    <x v="2"/>
    <s v="a6JXt7211496"/>
    <x v="4"/>
    <s v="Jan"/>
    <s v=""/>
    <n v="64"/>
    <x v="0"/>
    <x v="14"/>
    <x v="1"/>
    <x v="0"/>
  </r>
  <r>
    <x v="0"/>
    <s v="NASCAR P&amp;Q 2025"/>
    <s v="Billing Request- 00101692"/>
    <x v="9"/>
    <d v="2025-12-01T00:00:00"/>
    <d v="2026-03-16T00:00:00"/>
    <x v="0"/>
    <s v="a6JHn8459060"/>
    <x v="6"/>
    <s v="May; Jun"/>
    <s v=""/>
    <n v="105"/>
    <x v="0"/>
    <x v="11"/>
    <x v="0"/>
    <x v="0"/>
  </r>
  <r>
    <x v="0"/>
    <s v="NWSL Halftime Sponsorship 2025"/>
    <s v="Billing Request- 00101693"/>
    <x v="5"/>
    <d v="2025-06-30T00:00:00"/>
    <d v="2025-09-14T00:00:00"/>
    <x v="2"/>
    <s v="a6JXt9346305"/>
    <x v="2"/>
    <s v="Jan"/>
    <s v="Agency submitted updated invoice mapping."/>
    <n v="76"/>
    <x v="0"/>
    <x v="9"/>
    <x v="1"/>
    <x v="0"/>
  </r>
  <r>
    <x v="0"/>
    <s v="NWSL Prime Video 2025"/>
    <s v="Billing Request- 00101694"/>
    <x v="5"/>
    <d v="2025-07-12T00:00:00"/>
    <d v="2025-08-29T00:00:00"/>
    <x v="2"/>
    <s v="a6JHn2580427"/>
    <x v="3"/>
    <s v="May; Jun"/>
    <s v="Manual billing entry issue."/>
    <n v="48"/>
    <x v="1"/>
    <x v="12"/>
    <x v="1"/>
    <x v="0"/>
  </r>
  <r>
    <x v="0"/>
    <s v="Retail Media Expansion 2025"/>
    <s v="Billing Request- 00101695"/>
    <x v="4"/>
    <d v="2025-09-17T00:00:00"/>
    <d v="2025-12-02T00:00:00"/>
    <x v="2"/>
    <s v="a6JHn8300694"/>
    <x v="1"/>
    <s v="May; Jun"/>
    <s v="Late media plan changes from client."/>
    <n v="76"/>
    <x v="0"/>
    <x v="14"/>
    <x v="3"/>
    <x v="0"/>
  </r>
  <r>
    <x v="0"/>
    <s v="DirecTV NASCAR Campaign 2026"/>
    <s v="Billing Request- 00101696"/>
    <x v="0"/>
    <d v="2026-01-06T00:00:00"/>
    <d v="2026-03-04T00:00:00"/>
    <x v="0"/>
    <s v="a6JHn8097624"/>
    <x v="3"/>
    <s v="Mar"/>
    <s v="Finance validation process delay."/>
    <n v="57"/>
    <x v="1"/>
    <x v="7"/>
    <x v="0"/>
    <x v="1"/>
  </r>
  <r>
    <x v="0"/>
    <s v="Amazon TNF 2024 2025"/>
    <s v="Billing Request- 00101697"/>
    <x v="2"/>
    <d v="2025-07-22T00:00:00"/>
    <d v="2025-09-23T00:00:00"/>
    <x v="2"/>
    <s v="a6JHn9355565"/>
    <x v="5"/>
    <s v="Dec"/>
    <s v="Late media plan changes from client."/>
    <n v="63"/>
    <x v="0"/>
    <x v="12"/>
    <x v="4"/>
    <x v="0"/>
  </r>
  <r>
    <x v="0"/>
    <s v="NBA League Pass 2025"/>
    <s v="Billing Request- 00101698"/>
    <x v="3"/>
    <d v="2025-02-08T00:00:00"/>
    <d v="2025-04-15T00:00:00"/>
    <x v="2"/>
    <s v="a6JHn8689594"/>
    <x v="2"/>
    <s v="Nov"/>
    <s v="Manual billing entry issue."/>
    <n v="66"/>
    <x v="0"/>
    <x v="6"/>
    <x v="2"/>
    <x v="0"/>
  </r>
  <r>
    <x v="1"/>
    <s v="Confluence Academy 2025"/>
    <s v="Billing Request- 00101699"/>
    <x v="4"/>
    <d v="2025-10-25T00:00:00"/>
    <d v="2026-01-02T00:00:00"/>
    <x v="2"/>
    <s v="a6JXt9954070"/>
    <x v="3"/>
    <s v="Oct"/>
    <s v="Invoice details mismatch with approved campaign."/>
    <n v="69"/>
    <x v="0"/>
    <x v="5"/>
    <x v="3"/>
    <x v="0"/>
  </r>
  <r>
    <x v="0"/>
    <s v="NWSL Prime Video 2026"/>
    <s v="Billing Request- 00101701"/>
    <x v="2"/>
    <d v="2026-01-11T00:00:00"/>
    <d v="2026-03-03T00:00:00"/>
    <x v="0"/>
    <s v="a6Jat4005495"/>
    <x v="5"/>
    <s v="Sep"/>
    <s v="Invoice details mismatch with approved campaign."/>
    <n v="51"/>
    <x v="1"/>
    <x v="7"/>
    <x v="1"/>
    <x v="1"/>
  </r>
  <r>
    <x v="3"/>
    <s v="Retail Media Expansion 2025"/>
    <s v="Billing Request- 00101702"/>
    <x v="2"/>
    <d v="2025-04-24T00:00:00"/>
    <d v="2025-04-25T00:00:00"/>
    <x v="0"/>
    <s v="a6JHn9094463"/>
    <x v="2"/>
    <s v="Nov; Dec"/>
    <s v=""/>
    <n v="1"/>
    <x v="2"/>
    <x v="3"/>
    <x v="3"/>
    <x v="0"/>
  </r>
  <r>
    <x v="3"/>
    <s v="WNBA Incremental Scatter 2025"/>
    <s v="Billing Request- 00101705"/>
    <x v="1"/>
    <d v="2025-11-02T00:00:00"/>
    <d v="2025-12-18T00:00:00"/>
    <x v="1"/>
    <s v="a6JHn5912097"/>
    <x v="5"/>
    <s v="Sep"/>
    <s v="Manual billing entry issue."/>
    <n v="46"/>
    <x v="1"/>
    <x v="15"/>
    <x v="2"/>
    <x v="0"/>
  </r>
  <r>
    <x v="0"/>
    <s v="Confluence Academy 2026"/>
    <s v="Billing Request- 00101706"/>
    <x v="1"/>
    <d v="2026-03-17T00:00:00"/>
    <d v="2026-05-06T00:00:00"/>
    <x v="2"/>
    <s v="a6JXt1327250"/>
    <x v="5"/>
    <s v="Jul; Aug"/>
    <s v="Agency submitted updated invoice mapping."/>
    <n v="50"/>
    <x v="1"/>
    <x v="2"/>
    <x v="3"/>
    <x v="1"/>
  </r>
  <r>
    <x v="0"/>
    <s v="Amazon TNF 2024 2025"/>
    <s v="Billing Request- 00101707"/>
    <x v="1"/>
    <d v="2025-11-26T00:00:00"/>
    <d v="2026-03-09T00:00:00"/>
    <x v="0"/>
    <s v="a6JHn7247184"/>
    <x v="6"/>
    <s v="Aug"/>
    <s v="Late media plan changes from client."/>
    <n v="103"/>
    <x v="0"/>
    <x v="15"/>
    <x v="4"/>
    <x v="0"/>
  </r>
  <r>
    <x v="0"/>
    <s v="WNBA Incremental Scatter 2026"/>
    <s v="Billing Request- 00101708"/>
    <x v="3"/>
    <d v="2026-03-19T00:00:00"/>
    <d v="2026-04-21T00:00:00"/>
    <x v="2"/>
    <s v="a6JHn8078969"/>
    <x v="0"/>
    <s v="Dec"/>
    <s v="Agency submitted updated invoice mapping."/>
    <n v="33"/>
    <x v="1"/>
    <x v="2"/>
    <x v="2"/>
    <x v="1"/>
  </r>
  <r>
    <x v="0"/>
    <s v="NBA Playoffs Campaign 2025"/>
    <s v="Billing Request- 00101709"/>
    <x v="8"/>
    <d v="2025-01-20T00:00:00"/>
    <d v="2025-03-10T00:00:00"/>
    <x v="0"/>
    <s v="a6JXt8318019"/>
    <x v="4"/>
    <s v="Nov"/>
    <s v="Missing supporting documentation from vendor."/>
    <n v="49"/>
    <x v="1"/>
    <x v="0"/>
    <x v="2"/>
    <x v="0"/>
  </r>
  <r>
    <x v="0"/>
    <s v="Amazon TNF 2024 2026"/>
    <s v="Billing Request- 00101710"/>
    <x v="8"/>
    <d v="2026-02-17T00:00:00"/>
    <d v="2026-05-08T00:00:00"/>
    <x v="2"/>
    <s v="a6JXt5947520"/>
    <x v="1"/>
    <s v="Jan"/>
    <s v="Late media plan changes from client."/>
    <n v="80"/>
    <x v="0"/>
    <x v="1"/>
    <x v="4"/>
    <x v="1"/>
  </r>
  <r>
    <x v="0"/>
    <s v="NWSL Prime Video 2025"/>
    <s v="Billing Request- 00101711"/>
    <x v="0"/>
    <d v="2025-09-03T00:00:00"/>
    <d v="2025-12-28T00:00:00"/>
    <x v="0"/>
    <s v="a6JHn7247255"/>
    <x v="4"/>
    <s v="Mar; Apr"/>
    <s v="Invoice details mismatch with approved campaign."/>
    <n v="116"/>
    <x v="0"/>
    <x v="14"/>
    <x v="1"/>
    <x v="0"/>
  </r>
  <r>
    <x v="0"/>
    <s v="NASCAR P&amp;Q 2025"/>
    <s v="Billing Request- 00101715"/>
    <x v="5"/>
    <d v="2025-06-14T00:00:00"/>
    <d v="2025-08-24T00:00:00"/>
    <x v="0"/>
    <s v="a6Jat6809536"/>
    <x v="2"/>
    <s v="Nov"/>
    <s v="Incorrect legal terms delayed PTS."/>
    <n v="71"/>
    <x v="0"/>
    <x v="9"/>
    <x v="0"/>
    <x v="0"/>
  </r>
  <r>
    <x v="0"/>
    <s v="NWSL Prime Video 2025"/>
    <s v="Billing Request- 00101716"/>
    <x v="4"/>
    <d v="2025-09-15T00:00:00"/>
    <d v="2025-10-27T00:00:00"/>
    <x v="2"/>
    <s v="a6Jat6636947"/>
    <x v="5"/>
    <s v="Feb"/>
    <s v="Invoice details mismatch with approved campaign."/>
    <n v="42"/>
    <x v="1"/>
    <x v="14"/>
    <x v="1"/>
    <x v="0"/>
  </r>
  <r>
    <x v="0"/>
    <s v="NWSL Prime Video 2025"/>
    <s v="Billing Request- 00101717"/>
    <x v="6"/>
    <d v="2025-02-17T00:00:00"/>
    <d v="2025-03-23T00:00:00"/>
    <x v="2"/>
    <s v="a6JHn4604147"/>
    <x v="1"/>
    <s v="May"/>
    <s v="Late media plan changes from client."/>
    <n v="34"/>
    <x v="1"/>
    <x v="6"/>
    <x v="1"/>
    <x v="0"/>
  </r>
  <r>
    <x v="4"/>
    <s v="NASCAR P&amp;Q 2025"/>
    <s v="Billing Request- 00101718"/>
    <x v="0"/>
    <d v="2025-09-28T00:00:00"/>
    <d v="2025-12-31T00:00:00"/>
    <x v="0"/>
    <s v="a6Jat6979519"/>
    <x v="3"/>
    <s v="May; Jun"/>
    <s v="Manual billing entry issue."/>
    <n v="94"/>
    <x v="0"/>
    <x v="14"/>
    <x v="0"/>
    <x v="0"/>
  </r>
  <r>
    <x v="4"/>
    <s v="NBA Playoffs Campaign 2025"/>
    <s v="Billing Request- 00101720"/>
    <x v="9"/>
    <d v="2025-02-05T00:00:00"/>
    <d v="2025-05-05T00:00:00"/>
    <x v="2"/>
    <s v="a6JXt4057141"/>
    <x v="6"/>
    <s v="Sep; Oct"/>
    <s v="Finance validation process delay."/>
    <n v="89"/>
    <x v="0"/>
    <x v="6"/>
    <x v="2"/>
    <x v="0"/>
  </r>
  <r>
    <x v="0"/>
    <s v="Confluence Academy 2025"/>
    <s v="Billing Request- 00101721"/>
    <x v="7"/>
    <d v="2025-03-31T00:00:00"/>
    <d v="2025-07-13T00:00:00"/>
    <x v="2"/>
    <s v="a6JXt8972832"/>
    <x v="6"/>
    <s v="Oct"/>
    <s v=""/>
    <n v="104"/>
    <x v="0"/>
    <x v="13"/>
    <x v="3"/>
    <x v="0"/>
  </r>
  <r>
    <x v="0"/>
    <s v="TNF Sponsorship 2025"/>
    <s v="Billing Request- 00101722"/>
    <x v="6"/>
    <d v="2025-06-11T00:00:00"/>
    <d v="2025-09-07T00:00:00"/>
    <x v="2"/>
    <s v="a6JHn7855064"/>
    <x v="1"/>
    <s v="Jul"/>
    <s v="Invoice details mismatch with approved campaign."/>
    <n v="88"/>
    <x v="0"/>
    <x v="9"/>
    <x v="4"/>
    <x v="0"/>
  </r>
  <r>
    <x v="0"/>
    <s v="Confluence Academy 2025"/>
    <s v="Billing Request- 00101723"/>
    <x v="9"/>
    <d v="2025-09-05T00:00:00"/>
    <d v="2025-12-18T00:00:00"/>
    <x v="2"/>
    <s v="a6Jat6976722"/>
    <x v="2"/>
    <s v="Jul; Aug"/>
    <s v="Manual billing entry issue."/>
    <n v="104"/>
    <x v="0"/>
    <x v="14"/>
    <x v="3"/>
    <x v="0"/>
  </r>
  <r>
    <x v="3"/>
    <s v="Global Consumer Products 2025"/>
    <s v="Billing Request- 00101727"/>
    <x v="2"/>
    <d v="2025-07-29T00:00:00"/>
    <d v="2025-10-22T00:00:00"/>
    <x v="2"/>
    <s v="a6JHn7540806"/>
    <x v="2"/>
    <s v="Sep; Oct"/>
    <s v=""/>
    <n v="85"/>
    <x v="0"/>
    <x v="12"/>
    <x v="3"/>
    <x v="0"/>
  </r>
  <r>
    <x v="0"/>
    <s v="NWSL Halftime Sponsorship 2026"/>
    <s v="Billing Request- 00101731"/>
    <x v="1"/>
    <d v="2026-02-22T00:00:00"/>
    <d v="2026-04-18T00:00:00"/>
    <x v="2"/>
    <s v="a6JXt2758439"/>
    <x v="4"/>
    <s v="Jul"/>
    <s v="Client requested retroactive billing adjustments."/>
    <n v="55"/>
    <x v="1"/>
    <x v="1"/>
    <x v="1"/>
    <x v="1"/>
  </r>
  <r>
    <x v="4"/>
    <s v="Retail Media Expansion 2025"/>
    <s v="Billing Request- 00101733"/>
    <x v="6"/>
    <d v="2025-01-12T00:00:00"/>
    <d v="2025-04-17T00:00:00"/>
    <x v="2"/>
    <s v="a6JXt1788429"/>
    <x v="3"/>
    <s v="May"/>
    <s v=""/>
    <n v="95"/>
    <x v="0"/>
    <x v="0"/>
    <x v="3"/>
    <x v="0"/>
  </r>
  <r>
    <x v="0"/>
    <s v="NBA League Pass 2026"/>
    <s v="Billing Request- 00101734"/>
    <x v="3"/>
    <d v="2026-04-19T00:00:00"/>
    <d v="2026-05-08T00:00:00"/>
    <x v="0"/>
    <s v="a6JHn9465658"/>
    <x v="1"/>
    <s v="Jan"/>
    <s v="Finance validation process delay."/>
    <n v="19"/>
    <x v="3"/>
    <x v="10"/>
    <x v="2"/>
    <x v="1"/>
  </r>
  <r>
    <x v="0"/>
    <s v="NASCAR P&amp;Q 2026"/>
    <s v="Billing Request- 00101735"/>
    <x v="1"/>
    <d v="2026-01-04T00:00:00"/>
    <d v="2026-04-13T00:00:00"/>
    <x v="2"/>
    <s v="a6JXt3039067"/>
    <x v="5"/>
    <s v="Aug"/>
    <s v="Incorrect legal terms delayed PTS."/>
    <n v="99"/>
    <x v="0"/>
    <x v="7"/>
    <x v="0"/>
    <x v="1"/>
  </r>
  <r>
    <x v="4"/>
    <s v="DirecTV NASCAR Campaign 2025"/>
    <s v="Billing Request- 00101737"/>
    <x v="4"/>
    <d v="2025-12-20T00:00:00"/>
    <d v="2026-02-26T00:00:00"/>
    <x v="0"/>
    <s v="a6JXt3063881"/>
    <x v="3"/>
    <s v="Nov"/>
    <s v="Client requested retroactive billing adjustments."/>
    <n v="68"/>
    <x v="0"/>
    <x v="11"/>
    <x v="0"/>
    <x v="0"/>
  </r>
  <r>
    <x v="0"/>
    <s v="NWSL Halftime Sponsorship 2026"/>
    <s v="Billing Request- 00101738"/>
    <x v="8"/>
    <d v="2026-03-18T00:00:00"/>
    <d v="2026-04-15T00:00:00"/>
    <x v="0"/>
    <s v="a6JXt9907521"/>
    <x v="4"/>
    <s v="Jan; Feb"/>
    <s v="Missing supporting documentation from vendor."/>
    <n v="28"/>
    <x v="3"/>
    <x v="2"/>
    <x v="1"/>
    <x v="1"/>
  </r>
  <r>
    <x v="1"/>
    <s v="Global Consumer Products 2025"/>
    <s v="Billing Request- 00101740"/>
    <x v="6"/>
    <d v="2025-11-17T00:00:00"/>
    <d v="2025-12-30T00:00:00"/>
    <x v="1"/>
    <s v="a6JHn2515780"/>
    <x v="2"/>
    <s v="Oct"/>
    <s v="Finance validation process delay."/>
    <n v="43"/>
    <x v="1"/>
    <x v="15"/>
    <x v="3"/>
    <x v="0"/>
  </r>
  <r>
    <x v="4"/>
    <s v="NASCAR Apex 2025 2025"/>
    <s v="Billing Request- 00101741"/>
    <x v="6"/>
    <d v="2025-02-14T00:00:00"/>
    <d v="2025-05-09T00:00:00"/>
    <x v="2"/>
    <s v="a6JHn4119511"/>
    <x v="3"/>
    <s v="Apr"/>
    <s v="Incorrect legal terms delayed PTS."/>
    <n v="84"/>
    <x v="0"/>
    <x v="6"/>
    <x v="0"/>
    <x v="0"/>
  </r>
  <r>
    <x v="0"/>
    <s v="Confluence Academy 2025"/>
    <s v="Billing Request- 00101742"/>
    <x v="8"/>
    <d v="2025-05-07T00:00:00"/>
    <d v="2025-06-27T00:00:00"/>
    <x v="0"/>
    <s v="a6Jat8911074"/>
    <x v="4"/>
    <s v="May; Jun"/>
    <s v="Client requested retroactive billing adjustments."/>
    <n v="51"/>
    <x v="1"/>
    <x v="4"/>
    <x v="3"/>
    <x v="0"/>
  </r>
  <r>
    <x v="0"/>
    <s v="NWSL Prime Video 2026"/>
    <s v="Billing Request- 00101743"/>
    <x v="3"/>
    <d v="2026-04-18T00:00:00"/>
    <d v="2026-05-04T00:00:00"/>
    <x v="0"/>
    <s v="a6JHn3971063"/>
    <x v="6"/>
    <s v="Jan; Feb"/>
    <s v="Late media plan changes from client."/>
    <n v="16"/>
    <x v="3"/>
    <x v="10"/>
    <x v="1"/>
    <x v="1"/>
  </r>
  <r>
    <x v="4"/>
    <s v="NASCAR Apex 2025 2025"/>
    <s v="Billing Request- 00101745"/>
    <x v="4"/>
    <d v="2025-11-22T00:00:00"/>
    <d v="2026-03-20T00:00:00"/>
    <x v="2"/>
    <s v="a6JHn3087752"/>
    <x v="4"/>
    <s v="Nov; Dec"/>
    <s v=""/>
    <n v="118"/>
    <x v="0"/>
    <x v="15"/>
    <x v="0"/>
    <x v="0"/>
  </r>
  <r>
    <x v="0"/>
    <s v="NWSL Halftime Sponsorship 2025"/>
    <s v="Billing Request- 00101747"/>
    <x v="7"/>
    <d v="2025-12-13T00:00:00"/>
    <d v="2026-01-17T00:00:00"/>
    <x v="2"/>
    <s v="a6JXt6318184"/>
    <x v="6"/>
    <s v="Mar; Apr"/>
    <s v="Client requested retroactive billing adjustments."/>
    <n v="35"/>
    <x v="1"/>
    <x v="11"/>
    <x v="1"/>
    <x v="0"/>
  </r>
  <r>
    <x v="0"/>
    <s v="Confluence Academy 2025"/>
    <s v="Billing Request- 00101748"/>
    <x v="0"/>
    <d v="2025-07-25T00:00:00"/>
    <d v="2025-08-28T00:00:00"/>
    <x v="2"/>
    <s v="a6JXt5667750"/>
    <x v="5"/>
    <s v="May; Jun"/>
    <s v="Late media plan changes from client."/>
    <n v="34"/>
    <x v="1"/>
    <x v="12"/>
    <x v="3"/>
    <x v="0"/>
  </r>
  <r>
    <x v="0"/>
    <s v="NBA League Pass 2026"/>
    <s v="Billing Request- 00101749"/>
    <x v="1"/>
    <d v="2026-03-31T00:00:00"/>
    <d v="2026-04-15T00:00:00"/>
    <x v="0"/>
    <s v="a6Jat9236941"/>
    <x v="0"/>
    <s v="Sep"/>
    <s v="Manual billing entry issue."/>
    <n v="15"/>
    <x v="3"/>
    <x v="2"/>
    <x v="2"/>
    <x v="1"/>
  </r>
  <r>
    <x v="0"/>
    <s v="NWSL Halftime Sponsorship 2026"/>
    <s v="Billing Request- 00101751"/>
    <x v="3"/>
    <d v="2026-01-17T00:00:00"/>
    <d v="2026-03-23T00:00:00"/>
    <x v="2"/>
    <s v="a6JXt7025440"/>
    <x v="4"/>
    <s v="Aug"/>
    <s v="Manual billing entry issue."/>
    <n v="65"/>
    <x v="0"/>
    <x v="7"/>
    <x v="1"/>
    <x v="1"/>
  </r>
  <r>
    <x v="0"/>
    <s v="TNF Sponsorship 2025"/>
    <s v="Billing Request- 00101752"/>
    <x v="0"/>
    <d v="2025-09-01T00:00:00"/>
    <d v="2025-10-29T00:00:00"/>
    <x v="0"/>
    <s v="a6JXt1208983"/>
    <x v="6"/>
    <s v="Dec"/>
    <s v="Manual billing entry issue."/>
    <n v="58"/>
    <x v="1"/>
    <x v="14"/>
    <x v="4"/>
    <x v="0"/>
  </r>
  <r>
    <x v="0"/>
    <s v="NWSL Halftime Sponsorship 2025"/>
    <s v="Billing Request- 00101753"/>
    <x v="2"/>
    <d v="2025-11-23T00:00:00"/>
    <d v="2026-03-15T00:00:00"/>
    <x v="2"/>
    <s v="a6Jat6849893"/>
    <x v="1"/>
    <s v="Jun"/>
    <s v="Client requested retroactive billing adjustments."/>
    <n v="112"/>
    <x v="0"/>
    <x v="15"/>
    <x v="1"/>
    <x v="0"/>
  </r>
  <r>
    <x v="3"/>
    <s v="NBA Playoffs Campaign 2026"/>
    <s v="Billing Request- 00101754"/>
    <x v="8"/>
    <d v="2026-01-18T00:00:00"/>
    <d v="2026-04-12T00:00:00"/>
    <x v="2"/>
    <s v="a6JXt6974357"/>
    <x v="0"/>
    <s v="May"/>
    <s v="Client requested retroactive billing adjustments."/>
    <n v="84"/>
    <x v="0"/>
    <x v="7"/>
    <x v="2"/>
    <x v="1"/>
  </r>
  <r>
    <x v="0"/>
    <s v="Streaming Bundle Initiative 2026"/>
    <s v="Billing Request- 00101757"/>
    <x v="7"/>
    <d v="2026-04-30T00:00:00"/>
    <d v="2026-05-04T00:00:00"/>
    <x v="2"/>
    <s v="a6JHn7826210"/>
    <x v="4"/>
    <s v="Jun"/>
    <s v="Invoice details mismatch with approved campaign."/>
    <n v="4"/>
    <x v="2"/>
    <x v="10"/>
    <x v="3"/>
    <x v="1"/>
  </r>
  <r>
    <x v="0"/>
    <s v="NFL Prime Video 2025"/>
    <s v="Billing Request- 00101759"/>
    <x v="7"/>
    <d v="2025-11-15T00:00:00"/>
    <d v="2025-11-22T00:00:00"/>
    <x v="2"/>
    <s v="a6Jat7400214"/>
    <x v="6"/>
    <s v="Jul; Aug"/>
    <s v="Client requested retroactive billing adjustments."/>
    <n v="7"/>
    <x v="2"/>
    <x v="15"/>
    <x v="3"/>
    <x v="0"/>
  </r>
  <r>
    <x v="0"/>
    <s v="TNF Sponsorship 2026"/>
    <s v="Billing Request- 00101761"/>
    <x v="4"/>
    <d v="2026-04-17T00:00:00"/>
    <d v="2026-05-08T00:00:00"/>
    <x v="1"/>
    <s v="a6JXt1523067"/>
    <x v="3"/>
    <s v="May; Jun"/>
    <s v="Finance validation process delay."/>
    <n v="21"/>
    <x v="3"/>
    <x v="10"/>
    <x v="4"/>
    <x v="1"/>
  </r>
  <r>
    <x v="0"/>
    <s v="Prime Sports NFL 2025"/>
    <s v="Billing Request- 00101762"/>
    <x v="4"/>
    <d v="2025-01-16T00:00:00"/>
    <d v="2025-01-24T00:00:00"/>
    <x v="2"/>
    <s v="a6JXt1206766"/>
    <x v="1"/>
    <s v="May; Jun"/>
    <s v="Manual billing entry issue."/>
    <n v="8"/>
    <x v="4"/>
    <x v="0"/>
    <x v="3"/>
    <x v="0"/>
  </r>
  <r>
    <x v="0"/>
    <s v="Prime Sports NFL 2025"/>
    <s v="Billing Request- 00101763"/>
    <x v="0"/>
    <d v="2025-02-15T00:00:00"/>
    <d v="2025-03-12T00:00:00"/>
    <x v="2"/>
    <s v="a6Jat7386662"/>
    <x v="6"/>
    <s v="Sep; Oct"/>
    <s v="Finance validation process delay."/>
    <n v="25"/>
    <x v="3"/>
    <x v="6"/>
    <x v="3"/>
    <x v="0"/>
  </r>
  <r>
    <x v="0"/>
    <s v="WNBA Incremental Scatter 2026"/>
    <s v="Billing Request- 00101764"/>
    <x v="9"/>
    <d v="2026-04-10T00:00:00"/>
    <d v="2026-05-08T00:00:00"/>
    <x v="0"/>
    <s v="a6JHn5686341"/>
    <x v="1"/>
    <s v="Apr"/>
    <s v="Finance validation process delay."/>
    <n v="28"/>
    <x v="3"/>
    <x v="10"/>
    <x v="2"/>
    <x v="1"/>
  </r>
  <r>
    <x v="0"/>
    <s v="NBA League Pass 2026"/>
    <s v="Billing Request- 00101766"/>
    <x v="6"/>
    <d v="2026-03-17T00:00:00"/>
    <d v="2026-05-08T00:00:00"/>
    <x v="0"/>
    <s v="a6Jat3417105"/>
    <x v="4"/>
    <s v="Jul"/>
    <s v="Late media plan changes from client."/>
    <n v="52"/>
    <x v="1"/>
    <x v="2"/>
    <x v="2"/>
    <x v="1"/>
  </r>
  <r>
    <x v="0"/>
    <s v="TNF Sponsorship 2026"/>
    <s v="Billing Request- 00101767"/>
    <x v="9"/>
    <d v="2026-02-06T00:00:00"/>
    <d v="2026-05-04T00:00:00"/>
    <x v="0"/>
    <s v="a6JHn4024840"/>
    <x v="5"/>
    <s v="Jan"/>
    <s v="Manual billing entry issue."/>
    <n v="87"/>
    <x v="0"/>
    <x v="1"/>
    <x v="4"/>
    <x v="1"/>
  </r>
  <r>
    <x v="0"/>
    <s v="NASCAR Apex 2025 2025"/>
    <s v="Billing Request- 00101768"/>
    <x v="1"/>
    <d v="2025-08-04T00:00:00"/>
    <d v="2025-10-26T00:00:00"/>
    <x v="1"/>
    <s v="a6JHn7861466"/>
    <x v="2"/>
    <s v="May; Jun"/>
    <s v="Late media plan changes from client."/>
    <n v="83"/>
    <x v="0"/>
    <x v="8"/>
    <x v="0"/>
    <x v="0"/>
  </r>
  <r>
    <x v="2"/>
    <s v="NBA League Pass 2025"/>
    <s v="Billing Request- 00101769"/>
    <x v="1"/>
    <d v="2025-01-13T00:00:00"/>
    <d v="2025-04-10T00:00:00"/>
    <x v="0"/>
    <s v="a6JHn6884702"/>
    <x v="0"/>
    <s v="Feb"/>
    <s v="Agency submitted updated invoice mapping."/>
    <n v="87"/>
    <x v="0"/>
    <x v="0"/>
    <x v="2"/>
    <x v="0"/>
  </r>
  <r>
    <x v="0"/>
    <s v="NWSL Prime Video 2025"/>
    <s v="Billing Request- 00101771"/>
    <x v="5"/>
    <d v="2025-10-02T00:00:00"/>
    <d v="2026-01-24T00:00:00"/>
    <x v="2"/>
    <s v="a6JXt8068258"/>
    <x v="4"/>
    <s v="May; Jun"/>
    <s v="Missing supporting documentation from vendor."/>
    <n v="114"/>
    <x v="0"/>
    <x v="5"/>
    <x v="1"/>
    <x v="0"/>
  </r>
  <r>
    <x v="0"/>
    <s v="Global Consumer Products 2026"/>
    <s v="Billing Request- 00101772"/>
    <x v="8"/>
    <d v="2026-01-03T00:00:00"/>
    <d v="2026-03-09T00:00:00"/>
    <x v="2"/>
    <s v="a6JXt4870860"/>
    <x v="1"/>
    <s v="Nov; Dec"/>
    <s v="Incorrect legal terms delayed PTS."/>
    <n v="65"/>
    <x v="0"/>
    <x v="7"/>
    <x v="3"/>
    <x v="1"/>
  </r>
  <r>
    <x v="0"/>
    <s v="Prime Sports NFL 2026"/>
    <s v="Billing Request- 00101773"/>
    <x v="9"/>
    <d v="2026-01-29T00:00:00"/>
    <d v="2026-04-13T00:00:00"/>
    <x v="0"/>
    <s v="a6Jat2438713"/>
    <x v="3"/>
    <s v="Feb"/>
    <s v="Client requested retroactive billing adjustments."/>
    <n v="74"/>
    <x v="0"/>
    <x v="7"/>
    <x v="3"/>
    <x v="1"/>
  </r>
  <r>
    <x v="0"/>
    <s v="Amazon NBA Live Sports 2025"/>
    <s v="Billing Request- 00101774"/>
    <x v="6"/>
    <d v="2025-09-28T00:00:00"/>
    <d v="2026-01-26T00:00:00"/>
    <x v="0"/>
    <s v="a6Jat4311495"/>
    <x v="4"/>
    <s v="Sep"/>
    <s v=""/>
    <n v="120"/>
    <x v="0"/>
    <x v="14"/>
    <x v="2"/>
    <x v="0"/>
  </r>
  <r>
    <x v="0"/>
    <s v="NBA Playoffs Campaign 2026"/>
    <s v="Billing Request- 00101777"/>
    <x v="9"/>
    <d v="2026-01-01T00:00:00"/>
    <d v="2026-04-24T00:00:00"/>
    <x v="2"/>
    <s v="a6JXt9707327"/>
    <x v="4"/>
    <s v="Oct"/>
    <s v="Missing supporting documentation from vendor."/>
    <n v="113"/>
    <x v="0"/>
    <x v="7"/>
    <x v="2"/>
    <x v="1"/>
  </r>
  <r>
    <x v="0"/>
    <s v="Confluence Academy 2025"/>
    <s v="Billing Request- 00101778"/>
    <x v="1"/>
    <d v="2025-10-31T00:00:00"/>
    <d v="2025-11-15T00:00:00"/>
    <x v="2"/>
    <s v="a6JXt2509635"/>
    <x v="3"/>
    <s v="Apr"/>
    <s v="Missing supporting documentation from vendor."/>
    <n v="15"/>
    <x v="3"/>
    <x v="5"/>
    <x v="3"/>
    <x v="0"/>
  </r>
  <r>
    <x v="0"/>
    <s v="Prime Sports NFL 2026"/>
    <s v="Billing Request- 00101779"/>
    <x v="5"/>
    <d v="2026-01-06T00:00:00"/>
    <d v="2026-03-22T00:00:00"/>
    <x v="0"/>
    <s v="a6Jat4944272"/>
    <x v="2"/>
    <s v="Jul; Aug"/>
    <s v="Manual billing entry issue."/>
    <n v="75"/>
    <x v="0"/>
    <x v="7"/>
    <x v="3"/>
    <x v="1"/>
  </r>
  <r>
    <x v="0"/>
    <s v="Confluence Academy 2026"/>
    <s v="Billing Request- 00101780"/>
    <x v="2"/>
    <d v="2026-04-28T00:00:00"/>
    <d v="2026-05-04T00:00:00"/>
    <x v="2"/>
    <s v="a6JXt6651210"/>
    <x v="5"/>
    <s v="Mar"/>
    <s v=""/>
    <n v="6"/>
    <x v="2"/>
    <x v="10"/>
    <x v="3"/>
    <x v="1"/>
  </r>
  <r>
    <x v="0"/>
    <s v="WNBA Incremental Scatter 2025"/>
    <s v="Billing Request- 00101781"/>
    <x v="2"/>
    <d v="2025-05-13T00:00:00"/>
    <d v="2025-07-02T00:00:00"/>
    <x v="1"/>
    <s v="a6JXt9641104"/>
    <x v="2"/>
    <s v="Aug"/>
    <s v="Manual billing entry issue."/>
    <n v="50"/>
    <x v="1"/>
    <x v="4"/>
    <x v="2"/>
    <x v="0"/>
  </r>
  <r>
    <x v="0"/>
    <s v="Amazon NBA Live Sports 2025"/>
    <s v="Billing Request- 00101782"/>
    <x v="1"/>
    <d v="2025-02-19T00:00:00"/>
    <d v="2025-05-23T00:00:00"/>
    <x v="2"/>
    <s v="a6Jat6340871"/>
    <x v="2"/>
    <s v="Nov; Dec"/>
    <s v="Invoice details mismatch with approved campaign."/>
    <n v="93"/>
    <x v="0"/>
    <x v="6"/>
    <x v="2"/>
    <x v="0"/>
  </r>
  <r>
    <x v="0"/>
    <s v="NBA League Pass 2025"/>
    <s v="Billing Request- 00101783"/>
    <x v="4"/>
    <d v="2025-06-18T00:00:00"/>
    <d v="2025-08-22T00:00:00"/>
    <x v="2"/>
    <s v="a6JXt5358288"/>
    <x v="6"/>
    <s v="Dec"/>
    <s v="Manual billing entry issue."/>
    <n v="65"/>
    <x v="0"/>
    <x v="9"/>
    <x v="2"/>
    <x v="0"/>
  </r>
  <r>
    <x v="0"/>
    <s v="NWSL Prime Video 2025"/>
    <s v="Billing Request- 00101784"/>
    <x v="2"/>
    <d v="2025-05-03T00:00:00"/>
    <d v="2025-06-08T00:00:00"/>
    <x v="2"/>
    <s v="a6JXt5200727"/>
    <x v="5"/>
    <s v="Sep"/>
    <s v="Missing supporting documentation from vendor."/>
    <n v="36"/>
    <x v="1"/>
    <x v="4"/>
    <x v="1"/>
    <x v="0"/>
  </r>
  <r>
    <x v="0"/>
    <s v="Amazon TNF 2024 2025"/>
    <s v="Billing Request- 00101785"/>
    <x v="5"/>
    <d v="2025-03-17T00:00:00"/>
    <d v="2025-06-17T00:00:00"/>
    <x v="2"/>
    <s v="a6JXt1268971"/>
    <x v="2"/>
    <s v="Nov; Dec"/>
    <s v="Incorrect legal terms delayed PTS."/>
    <n v="92"/>
    <x v="0"/>
    <x v="13"/>
    <x v="4"/>
    <x v="0"/>
  </r>
  <r>
    <x v="0"/>
    <s v="NBA Playoffs Campaign 2025"/>
    <s v="Billing Request- 00101786"/>
    <x v="5"/>
    <d v="2025-03-19T00:00:00"/>
    <d v="2025-07-15T00:00:00"/>
    <x v="2"/>
    <s v="a6JHn1018934"/>
    <x v="0"/>
    <s v="May"/>
    <s v="Client requested retroactive billing adjustments."/>
    <n v="118"/>
    <x v="0"/>
    <x v="13"/>
    <x v="2"/>
    <x v="0"/>
  </r>
  <r>
    <x v="0"/>
    <s v="Prime Sports NFL 2025"/>
    <s v="Billing Request- 00101787"/>
    <x v="7"/>
    <d v="2025-09-14T00:00:00"/>
    <d v="2026-01-06T00:00:00"/>
    <x v="2"/>
    <s v="a6Jat8844505"/>
    <x v="1"/>
    <s v="Dec"/>
    <s v="Manual billing entry issue."/>
    <n v="114"/>
    <x v="0"/>
    <x v="14"/>
    <x v="3"/>
    <x v="0"/>
  </r>
  <r>
    <x v="1"/>
    <s v="NBA League Pass 2025"/>
    <s v="Billing Request- 00101788"/>
    <x v="5"/>
    <d v="2025-03-23T00:00:00"/>
    <d v="2025-07-21T00:00:00"/>
    <x v="2"/>
    <s v="a6JHn2462804"/>
    <x v="5"/>
    <s v="Apr"/>
    <s v=""/>
    <n v="120"/>
    <x v="0"/>
    <x v="13"/>
    <x v="2"/>
    <x v="0"/>
  </r>
  <r>
    <x v="0"/>
    <s v="Confluence Academy 2026"/>
    <s v="Billing Request- 00101789"/>
    <x v="6"/>
    <d v="2026-03-26T00:00:00"/>
    <d v="2026-04-09T00:00:00"/>
    <x v="1"/>
    <s v="a6JXt3964356"/>
    <x v="3"/>
    <s v="Jan"/>
    <s v="Late media plan changes from client."/>
    <n v="14"/>
    <x v="4"/>
    <x v="2"/>
    <x v="3"/>
    <x v="1"/>
  </r>
  <r>
    <x v="0"/>
    <s v="Amazon TNF 2024 2025"/>
    <s v="Billing Request- 00101790"/>
    <x v="9"/>
    <d v="2025-07-23T00:00:00"/>
    <d v="2025-08-07T00:00:00"/>
    <x v="2"/>
    <s v="a6Jat5437610"/>
    <x v="0"/>
    <s v="Jan"/>
    <s v="Client requested retroactive billing adjustments."/>
    <n v="15"/>
    <x v="3"/>
    <x v="12"/>
    <x v="4"/>
    <x v="0"/>
  </r>
  <r>
    <x v="0"/>
    <s v="DirecTV NASCAR Campaign 2025"/>
    <s v="Billing Request- 00101792"/>
    <x v="9"/>
    <d v="2025-03-06T00:00:00"/>
    <d v="2025-03-10T00:00:00"/>
    <x v="2"/>
    <s v="a6JXt8203855"/>
    <x v="1"/>
    <s v="Nov"/>
    <s v="Manual billing entry issue."/>
    <n v="4"/>
    <x v="2"/>
    <x v="13"/>
    <x v="0"/>
    <x v="0"/>
  </r>
  <r>
    <x v="1"/>
    <s v="NWSL Halftime Sponsorship 2026"/>
    <s v="Billing Request- 00101793"/>
    <x v="8"/>
    <d v="2026-03-08T00:00:00"/>
    <d v="2026-04-17T00:00:00"/>
    <x v="2"/>
    <s v="a6Jat3421397"/>
    <x v="0"/>
    <s v="Aug"/>
    <s v="Late media plan changes from client."/>
    <n v="40"/>
    <x v="1"/>
    <x v="2"/>
    <x v="1"/>
    <x v="1"/>
  </r>
  <r>
    <x v="0"/>
    <s v="Confluence Academy 2025"/>
    <s v="Billing Request- 00101794"/>
    <x v="2"/>
    <d v="2025-01-13T00:00:00"/>
    <d v="2025-01-27T00:00:00"/>
    <x v="2"/>
    <s v="a6JHn4438621"/>
    <x v="0"/>
    <s v="May"/>
    <s v="Late media plan changes from client."/>
    <n v="14"/>
    <x v="4"/>
    <x v="0"/>
    <x v="3"/>
    <x v="0"/>
  </r>
  <r>
    <x v="0"/>
    <s v="NWSL Halftime Sponsorship 2025"/>
    <s v="Billing Request- 00101796"/>
    <x v="6"/>
    <d v="2025-04-04T00:00:00"/>
    <d v="2025-05-25T00:00:00"/>
    <x v="0"/>
    <s v="a6JXt7499943"/>
    <x v="2"/>
    <s v="Jan; Feb"/>
    <s v="Agency submitted updated invoice mapping."/>
    <n v="51"/>
    <x v="1"/>
    <x v="3"/>
    <x v="1"/>
    <x v="0"/>
  </r>
  <r>
    <x v="3"/>
    <s v="Streaming Bundle Initiative 2026"/>
    <s v="Billing Request- 00101797"/>
    <x v="3"/>
    <d v="2026-03-12T00:00:00"/>
    <d v="2026-03-22T00:00:00"/>
    <x v="2"/>
    <s v="a6JXt8415493"/>
    <x v="1"/>
    <s v="Sep"/>
    <s v="Late media plan changes from client."/>
    <n v="10"/>
    <x v="4"/>
    <x v="2"/>
    <x v="3"/>
    <x v="1"/>
  </r>
  <r>
    <x v="0"/>
    <s v="WNBA Incremental Scatter 2025"/>
    <s v="Billing Request- 00101798"/>
    <x v="1"/>
    <d v="2025-02-11T00:00:00"/>
    <d v="2025-05-07T00:00:00"/>
    <x v="2"/>
    <s v="a6Jat7925315"/>
    <x v="1"/>
    <s v="Sep; Oct"/>
    <s v="Late media plan changes from client."/>
    <n v="85"/>
    <x v="0"/>
    <x v="6"/>
    <x v="2"/>
    <x v="0"/>
  </r>
  <r>
    <x v="0"/>
    <s v="NBA Playoffs Campaign 2025"/>
    <s v="Billing Request- 00101799"/>
    <x v="4"/>
    <d v="2025-09-05T00:00:00"/>
    <d v="2025-10-14T00:00:00"/>
    <x v="0"/>
    <s v="a6Jat6160663"/>
    <x v="3"/>
    <s v="Mar; Apr"/>
    <s v="Missing supporting documentation from vendor."/>
    <n v="39"/>
    <x v="1"/>
    <x v="14"/>
    <x v="2"/>
    <x v="0"/>
  </r>
  <r>
    <x v="4"/>
    <s v="TNF Sponsorship 2025"/>
    <s v="Billing Request- 00101800"/>
    <x v="5"/>
    <d v="2025-02-26T00:00:00"/>
    <d v="2025-03-18T00:00:00"/>
    <x v="2"/>
    <s v="a6JHn6977392"/>
    <x v="3"/>
    <s v="Sep"/>
    <s v="Agency submitted updated invoice mapping."/>
    <n v="20"/>
    <x v="3"/>
    <x v="6"/>
    <x v="4"/>
    <x v="0"/>
  </r>
  <r>
    <x v="0"/>
    <s v="NWSL Halftime Sponsorship 2025"/>
    <s v="Billing Request- 00101802"/>
    <x v="7"/>
    <d v="2025-09-29T00:00:00"/>
    <d v="2025-10-18T00:00:00"/>
    <x v="0"/>
    <s v="a6Jat6145958"/>
    <x v="3"/>
    <s v="Oct"/>
    <s v=""/>
    <n v="19"/>
    <x v="3"/>
    <x v="14"/>
    <x v="1"/>
    <x v="0"/>
  </r>
  <r>
    <x v="0"/>
    <s v="TNF Sponsorship 2026"/>
    <s v="Billing Request- 00101803"/>
    <x v="9"/>
    <d v="2026-05-09T00:00:00"/>
    <d v="2026-05-08T00:00:00"/>
    <x v="2"/>
    <s v="a6Jat7797319"/>
    <x v="3"/>
    <s v="Jan"/>
    <s v="Invoice details mismatch with approved campaign."/>
    <n v="-1"/>
    <x v="2"/>
    <x v="16"/>
    <x v="4"/>
    <x v="1"/>
  </r>
  <r>
    <x v="0"/>
    <s v="WNBA Incremental Scatter 2026"/>
    <s v="Billing Request- 00101804"/>
    <x v="2"/>
    <d v="2026-01-26T00:00:00"/>
    <d v="2026-02-01T00:00:00"/>
    <x v="0"/>
    <s v="a6JHn4289564"/>
    <x v="6"/>
    <s v="Jun"/>
    <s v="Manual billing entry issue."/>
    <n v="6"/>
    <x v="2"/>
    <x v="7"/>
    <x v="2"/>
    <x v="1"/>
  </r>
  <r>
    <x v="0"/>
    <s v="NWSL Halftime Sponsorship 2026"/>
    <s v="Billing Request- 00101805"/>
    <x v="4"/>
    <d v="2026-01-31T00:00:00"/>
    <d v="2026-05-02T00:00:00"/>
    <x v="0"/>
    <s v="a6JXt8111592"/>
    <x v="1"/>
    <s v="Aug"/>
    <s v="Finance validation process delay."/>
    <n v="91"/>
    <x v="0"/>
    <x v="7"/>
    <x v="1"/>
    <x v="1"/>
  </r>
  <r>
    <x v="0"/>
    <s v="TNF Sponsorship 2026"/>
    <s v="Billing Request- 00101807"/>
    <x v="1"/>
    <d v="2026-01-13T00:00:00"/>
    <d v="2026-01-24T00:00:00"/>
    <x v="2"/>
    <s v="a6JHn8966558"/>
    <x v="4"/>
    <s v="Apr"/>
    <s v="Finance validation process delay."/>
    <n v="11"/>
    <x v="4"/>
    <x v="7"/>
    <x v="4"/>
    <x v="1"/>
  </r>
  <r>
    <x v="0"/>
    <s v="NWSL Prime Video 2025"/>
    <s v="Billing Request- 00101808"/>
    <x v="5"/>
    <d v="2025-10-29T00:00:00"/>
    <d v="2026-02-12T00:00:00"/>
    <x v="0"/>
    <s v="a6JXt7508783"/>
    <x v="1"/>
    <s v="Dec"/>
    <s v="Client requested retroactive billing adjustments."/>
    <n v="106"/>
    <x v="0"/>
    <x v="5"/>
    <x v="1"/>
    <x v="0"/>
  </r>
  <r>
    <x v="4"/>
    <s v="Global Consumer Products 2025"/>
    <s v="Billing Request- 00101809"/>
    <x v="6"/>
    <d v="2025-05-13T00:00:00"/>
    <d v="2025-05-26T00:00:00"/>
    <x v="0"/>
    <s v="a6JXt6513945"/>
    <x v="6"/>
    <s v="Apr"/>
    <s v="Incorrect legal terms delayed PTS."/>
    <n v="13"/>
    <x v="4"/>
    <x v="4"/>
    <x v="3"/>
    <x v="0"/>
  </r>
  <r>
    <x v="0"/>
    <s v="Amazon NBA Live Sports 2025"/>
    <s v="Billing Request- 00101811"/>
    <x v="1"/>
    <d v="2025-01-02T00:00:00"/>
    <d v="2025-03-04T00:00:00"/>
    <x v="2"/>
    <s v="a6Jat8850869"/>
    <x v="0"/>
    <s v="Apr"/>
    <s v="Missing supporting documentation from vendor."/>
    <n v="61"/>
    <x v="0"/>
    <x v="0"/>
    <x v="2"/>
    <x v="0"/>
  </r>
  <r>
    <x v="0"/>
    <s v="WNBA Incremental Scatter 2025"/>
    <s v="Billing Request- 00101813"/>
    <x v="5"/>
    <d v="2025-09-06T00:00:00"/>
    <d v="2025-10-20T00:00:00"/>
    <x v="2"/>
    <s v="a6Jat1117006"/>
    <x v="1"/>
    <s v="Oct"/>
    <s v=""/>
    <n v="44"/>
    <x v="1"/>
    <x v="14"/>
    <x v="2"/>
    <x v="0"/>
  </r>
  <r>
    <x v="0"/>
    <s v="NWSL Halftime Sponsorship 2026"/>
    <s v="Billing Request- 00101815"/>
    <x v="9"/>
    <d v="2026-02-04T00:00:00"/>
    <d v="2026-03-04T00:00:00"/>
    <x v="0"/>
    <s v="a6JHn1638397"/>
    <x v="5"/>
    <s v="Jan; Feb"/>
    <s v=""/>
    <n v="28"/>
    <x v="3"/>
    <x v="1"/>
    <x v="1"/>
    <x v="1"/>
  </r>
  <r>
    <x v="0"/>
    <s v="NWSL Prime Video 2025"/>
    <s v="Billing Request- 00101816"/>
    <x v="1"/>
    <d v="2025-08-22T00:00:00"/>
    <d v="2025-09-25T00:00:00"/>
    <x v="0"/>
    <s v="a6JXt6981200"/>
    <x v="0"/>
    <s v="Apr"/>
    <s v="Manual billing entry issue."/>
    <n v="34"/>
    <x v="1"/>
    <x v="8"/>
    <x v="1"/>
    <x v="0"/>
  </r>
  <r>
    <x v="0"/>
    <s v="WNBA Incremental Scatter 2025"/>
    <s v="Billing Request- 00101817"/>
    <x v="5"/>
    <d v="2025-07-06T00:00:00"/>
    <d v="2025-10-04T00:00:00"/>
    <x v="0"/>
    <s v="a6JHn6002828"/>
    <x v="0"/>
    <s v="Mar"/>
    <s v="Client requested retroactive billing adjustments."/>
    <n v="90"/>
    <x v="0"/>
    <x v="12"/>
    <x v="2"/>
    <x v="0"/>
  </r>
  <r>
    <x v="0"/>
    <s v="NBA League Pass 2025"/>
    <s v="Billing Request- 00101818"/>
    <x v="2"/>
    <d v="2025-01-05T00:00:00"/>
    <d v="2025-02-02T00:00:00"/>
    <x v="1"/>
    <s v="a6JXt9769144"/>
    <x v="1"/>
    <s v="Jun"/>
    <s v="Late media plan changes from client."/>
    <n v="28"/>
    <x v="3"/>
    <x v="0"/>
    <x v="2"/>
    <x v="0"/>
  </r>
  <r>
    <x v="0"/>
    <s v="Retail Media Expansion 2026"/>
    <s v="Billing Request- 00101819"/>
    <x v="1"/>
    <d v="2026-01-29T00:00:00"/>
    <d v="2026-04-19T00:00:00"/>
    <x v="2"/>
    <s v="a6JHn9445469"/>
    <x v="4"/>
    <s v="Jan"/>
    <s v="Client requested retroactive billing adjustments."/>
    <n v="80"/>
    <x v="0"/>
    <x v="7"/>
    <x v="3"/>
    <x v="1"/>
  </r>
  <r>
    <x v="4"/>
    <s v="NWSL Halftime Sponsorship 2025"/>
    <s v="Billing Request- 00101820"/>
    <x v="5"/>
    <d v="2025-02-24T00:00:00"/>
    <d v="2025-05-30T00:00:00"/>
    <x v="2"/>
    <s v="a6Jat1786024"/>
    <x v="6"/>
    <s v="Dec"/>
    <s v="Incorrect legal terms delayed PTS."/>
    <n v="95"/>
    <x v="0"/>
    <x v="6"/>
    <x v="1"/>
    <x v="0"/>
  </r>
  <r>
    <x v="0"/>
    <s v="Streaming Bundle Initiative 2025"/>
    <s v="Billing Request- 00101821"/>
    <x v="0"/>
    <d v="2025-07-06T00:00:00"/>
    <d v="2025-10-12T00:00:00"/>
    <x v="2"/>
    <s v="a6Jat4877019"/>
    <x v="1"/>
    <s v="Nov"/>
    <s v="Manual billing entry issue."/>
    <n v="98"/>
    <x v="0"/>
    <x v="12"/>
    <x v="3"/>
    <x v="0"/>
  </r>
  <r>
    <x v="0"/>
    <s v="TNF Sponsorship 2025"/>
    <s v="Billing Request- 00101822"/>
    <x v="9"/>
    <d v="2025-02-16T00:00:00"/>
    <d v="2025-02-28T00:00:00"/>
    <x v="2"/>
    <s v="a6JHn9366276"/>
    <x v="3"/>
    <s v="May"/>
    <s v="Finance validation process delay."/>
    <n v="12"/>
    <x v="4"/>
    <x v="6"/>
    <x v="4"/>
    <x v="0"/>
  </r>
  <r>
    <x v="0"/>
    <s v="NWSL Halftime Sponsorship 2025"/>
    <s v="Billing Request- 00101823"/>
    <x v="1"/>
    <d v="2025-10-27T00:00:00"/>
    <d v="2026-02-05T00:00:00"/>
    <x v="2"/>
    <s v="a6JHn6384674"/>
    <x v="4"/>
    <s v="Nov; Dec"/>
    <s v="Incorrect legal terms delayed PTS."/>
    <n v="101"/>
    <x v="0"/>
    <x v="5"/>
    <x v="1"/>
    <x v="0"/>
  </r>
  <r>
    <x v="0"/>
    <s v="NBA Playoffs Campaign 2026"/>
    <s v="Billing Request- 00101824"/>
    <x v="1"/>
    <d v="2026-05-07T00:00:00"/>
    <d v="2026-05-09T00:00:00"/>
    <x v="0"/>
    <s v="a6JHn9500841"/>
    <x v="3"/>
    <s v="Dec"/>
    <s v="Late media plan changes from client."/>
    <n v="2"/>
    <x v="2"/>
    <x v="16"/>
    <x v="2"/>
    <x v="1"/>
  </r>
  <r>
    <x v="0"/>
    <s v="NWSL Prime Video 2026"/>
    <s v="Billing Request- 00101826"/>
    <x v="1"/>
    <d v="2026-04-05T00:00:00"/>
    <d v="2026-05-07T00:00:00"/>
    <x v="2"/>
    <s v="a6Jat8407861"/>
    <x v="6"/>
    <s v="May; Jun"/>
    <s v="Manual billing entry issue."/>
    <n v="32"/>
    <x v="1"/>
    <x v="10"/>
    <x v="1"/>
    <x v="1"/>
  </r>
  <r>
    <x v="0"/>
    <s v="Prime Sports NFL 2025"/>
    <s v="Billing Request- 00101828"/>
    <x v="5"/>
    <d v="2025-02-01T00:00:00"/>
    <d v="2025-03-01T00:00:00"/>
    <x v="1"/>
    <s v="a6JXt1267525"/>
    <x v="0"/>
    <s v="Oct"/>
    <s v="Incorrect legal terms delayed PTS."/>
    <n v="28"/>
    <x v="3"/>
    <x v="6"/>
    <x v="3"/>
    <x v="0"/>
  </r>
  <r>
    <x v="0"/>
    <s v="NWSL Halftime Sponsorship 2026"/>
    <s v="Billing Request- 00101829"/>
    <x v="2"/>
    <d v="2026-05-09T00:00:00"/>
    <d v="2026-05-07T00:00:00"/>
    <x v="2"/>
    <s v="a6Jat6575585"/>
    <x v="1"/>
    <s v="Jan; Feb"/>
    <s v=""/>
    <n v="-2"/>
    <x v="2"/>
    <x v="16"/>
    <x v="1"/>
    <x v="1"/>
  </r>
  <r>
    <x v="0"/>
    <s v="NWSL Halftime Sponsorship 2025"/>
    <s v="Billing Request- 00101830"/>
    <x v="9"/>
    <d v="2025-03-17T00:00:00"/>
    <d v="2025-07-10T00:00:00"/>
    <x v="0"/>
    <s v="a6Jat8527850"/>
    <x v="0"/>
    <s v="Sep"/>
    <s v="Agency submitted updated invoice mapping."/>
    <n v="115"/>
    <x v="0"/>
    <x v="13"/>
    <x v="1"/>
    <x v="0"/>
  </r>
  <r>
    <x v="0"/>
    <s v="DirecTV NASCAR Campaign 2025"/>
    <s v="Billing Request- 00101832"/>
    <x v="8"/>
    <d v="2025-12-21T00:00:00"/>
    <d v="2026-01-08T00:00:00"/>
    <x v="0"/>
    <s v="a6JHn9454872"/>
    <x v="5"/>
    <s v="Feb"/>
    <s v="Missing supporting documentation from vendor."/>
    <n v="18"/>
    <x v="3"/>
    <x v="11"/>
    <x v="0"/>
    <x v="0"/>
  </r>
  <r>
    <x v="3"/>
    <s v="DirecTV NASCAR Campaign 2026"/>
    <s v="Billing Request- 00101833"/>
    <x v="5"/>
    <d v="2026-01-08T00:00:00"/>
    <d v="2026-04-21T00:00:00"/>
    <x v="2"/>
    <s v="a6JHn4921774"/>
    <x v="6"/>
    <s v="Nov"/>
    <s v="Invoice details mismatch with approved campaign."/>
    <n v="103"/>
    <x v="0"/>
    <x v="7"/>
    <x v="0"/>
    <x v="1"/>
  </r>
  <r>
    <x v="0"/>
    <s v="NASCAR P&amp;Q 2026"/>
    <s v="Billing Request- 00101834"/>
    <x v="8"/>
    <d v="2026-03-08T00:00:00"/>
    <d v="2026-03-09T00:00:00"/>
    <x v="1"/>
    <s v="a6JXt3429177"/>
    <x v="4"/>
    <s v="Mar; Apr"/>
    <s v="Incorrect legal terms delayed PTS."/>
    <n v="1"/>
    <x v="2"/>
    <x v="2"/>
    <x v="0"/>
    <x v="1"/>
  </r>
  <r>
    <x v="0"/>
    <s v="NWSL Prime Video 2026"/>
    <s v="Billing Request- 00101835"/>
    <x v="9"/>
    <d v="2026-03-25T00:00:00"/>
    <d v="2026-05-06T00:00:00"/>
    <x v="2"/>
    <s v="a6JXt6396710"/>
    <x v="0"/>
    <s v="Feb"/>
    <s v="Finance validation process delay."/>
    <n v="42"/>
    <x v="1"/>
    <x v="2"/>
    <x v="1"/>
    <x v="1"/>
  </r>
  <r>
    <x v="0"/>
    <s v="NASCAR Apex 2025 2025"/>
    <s v="Billing Request- 00101836"/>
    <x v="7"/>
    <d v="2025-08-26T00:00:00"/>
    <d v="2025-10-29T00:00:00"/>
    <x v="2"/>
    <s v="a6Jat1463407"/>
    <x v="1"/>
    <s v="Sep; Oct"/>
    <s v="Late media plan changes from client."/>
    <n v="64"/>
    <x v="0"/>
    <x v="8"/>
    <x v="0"/>
    <x v="0"/>
  </r>
  <r>
    <x v="0"/>
    <s v="Amazon TNF 2024 2026"/>
    <s v="Billing Request- 00101838"/>
    <x v="9"/>
    <d v="2026-02-07T00:00:00"/>
    <d v="2026-04-10T00:00:00"/>
    <x v="0"/>
    <s v="a6JHn9222442"/>
    <x v="5"/>
    <s v="Apr"/>
    <s v="Finance validation process delay."/>
    <n v="62"/>
    <x v="0"/>
    <x v="1"/>
    <x v="4"/>
    <x v="1"/>
  </r>
  <r>
    <x v="2"/>
    <s v="NASCAR P&amp;Q 2025"/>
    <s v="Billing Request- 00101840"/>
    <x v="7"/>
    <d v="2025-04-30T00:00:00"/>
    <d v="2025-05-05T00:00:00"/>
    <x v="0"/>
    <s v="a6JXt1131929"/>
    <x v="5"/>
    <s v="Jun"/>
    <s v="Agency submitted updated invoice mapping."/>
    <n v="5"/>
    <x v="2"/>
    <x v="3"/>
    <x v="0"/>
    <x v="0"/>
  </r>
  <r>
    <x v="0"/>
    <s v="DirecTV NASCAR Campaign 2026"/>
    <s v="Billing Request- 00101843"/>
    <x v="7"/>
    <d v="2026-01-11T00:00:00"/>
    <d v="2026-05-05T00:00:00"/>
    <x v="2"/>
    <s v="a6JXt4326662"/>
    <x v="4"/>
    <s v="Mar; Apr"/>
    <s v="Finance validation process delay."/>
    <n v="114"/>
    <x v="0"/>
    <x v="7"/>
    <x v="0"/>
    <x v="1"/>
  </r>
  <r>
    <x v="0"/>
    <s v="WNBA Incremental Scatter 2026"/>
    <s v="Billing Request- 00101845"/>
    <x v="4"/>
    <d v="2026-01-02T00:00:00"/>
    <d v="2026-03-13T00:00:00"/>
    <x v="0"/>
    <s v="a6JHn5363914"/>
    <x v="4"/>
    <s v="Dec"/>
    <s v=""/>
    <n v="70"/>
    <x v="0"/>
    <x v="7"/>
    <x v="2"/>
    <x v="1"/>
  </r>
  <r>
    <x v="0"/>
    <s v="NBA Playoffs Campaign 2025"/>
    <s v="Billing Request- 00101846"/>
    <x v="3"/>
    <d v="2025-12-24T00:00:00"/>
    <d v="2026-03-12T00:00:00"/>
    <x v="0"/>
    <s v="a6JHn4022958"/>
    <x v="1"/>
    <s v="Mar"/>
    <s v="Agency submitted updated invoice mapping."/>
    <n v="78"/>
    <x v="0"/>
    <x v="11"/>
    <x v="2"/>
    <x v="0"/>
  </r>
  <r>
    <x v="0"/>
    <s v="NBA League Pass 2026"/>
    <s v="Billing Request- 00101847"/>
    <x v="4"/>
    <d v="2026-01-31T00:00:00"/>
    <d v="2026-05-06T00:00:00"/>
    <x v="2"/>
    <s v="a6JXt8201418"/>
    <x v="4"/>
    <s v="Mar; Apr"/>
    <s v="Missing supporting documentation from vendor."/>
    <n v="95"/>
    <x v="0"/>
    <x v="7"/>
    <x v="2"/>
    <x v="1"/>
  </r>
  <r>
    <x v="3"/>
    <s v="Amazon NBA Live Sports 2025"/>
    <s v="Billing Request- 00101848"/>
    <x v="7"/>
    <d v="2025-11-27T00:00:00"/>
    <d v="2026-01-09T00:00:00"/>
    <x v="2"/>
    <s v="a6JHn6970972"/>
    <x v="5"/>
    <s v="Jul; Aug"/>
    <s v="Late media plan changes from client."/>
    <n v="43"/>
    <x v="1"/>
    <x v="15"/>
    <x v="2"/>
    <x v="0"/>
  </r>
  <r>
    <x v="0"/>
    <s v="NASCAR P&amp;Q 2025"/>
    <s v="Billing Request- 00101849"/>
    <x v="2"/>
    <d v="2025-11-17T00:00:00"/>
    <d v="2026-02-01T00:00:00"/>
    <x v="2"/>
    <s v="a6JXt8295556"/>
    <x v="1"/>
    <s v="Jan"/>
    <s v="Missing supporting documentation from vendor."/>
    <n v="76"/>
    <x v="0"/>
    <x v="15"/>
    <x v="0"/>
    <x v="0"/>
  </r>
  <r>
    <x v="0"/>
    <s v="NWSL Halftime Sponsorship 2025"/>
    <s v="Billing Request- 00101850"/>
    <x v="0"/>
    <d v="2025-07-06T00:00:00"/>
    <d v="2025-10-11T00:00:00"/>
    <x v="2"/>
    <s v="a6JXt2732796"/>
    <x v="1"/>
    <s v="Jun"/>
    <s v="Client requested retroactive billing adjustments."/>
    <n v="97"/>
    <x v="0"/>
    <x v="12"/>
    <x v="1"/>
    <x v="0"/>
  </r>
  <r>
    <x v="1"/>
    <s v="NFL Prime Video 2026"/>
    <s v="Billing Request- 00101853"/>
    <x v="7"/>
    <d v="2026-03-26T00:00:00"/>
    <d v="2026-05-09T00:00:00"/>
    <x v="2"/>
    <s v="a6JXt1560195"/>
    <x v="1"/>
    <s v="Jan; Feb"/>
    <s v=""/>
    <n v="44"/>
    <x v="1"/>
    <x v="2"/>
    <x v="3"/>
    <x v="1"/>
  </r>
  <r>
    <x v="0"/>
    <s v="Retail Media Expansion 2026"/>
    <s v="Billing Request- 00101854"/>
    <x v="7"/>
    <d v="2026-03-14T00:00:00"/>
    <d v="2026-05-08T00:00:00"/>
    <x v="2"/>
    <s v="a6Jat5941615"/>
    <x v="0"/>
    <s v="Jun"/>
    <s v="Missing supporting documentation from vendor."/>
    <n v="55"/>
    <x v="1"/>
    <x v="2"/>
    <x v="3"/>
    <x v="1"/>
  </r>
  <r>
    <x v="0"/>
    <s v="Prime Sports NFL 2026"/>
    <s v="Billing Request- 00101857"/>
    <x v="1"/>
    <d v="2026-04-13T00:00:00"/>
    <d v="2026-05-09T00:00:00"/>
    <x v="2"/>
    <s v="a6JHn3685245"/>
    <x v="6"/>
    <s v="Jan; Feb"/>
    <s v="Agency submitted updated invoice mapping."/>
    <n v="26"/>
    <x v="3"/>
    <x v="10"/>
    <x v="3"/>
    <x v="1"/>
  </r>
  <r>
    <x v="3"/>
    <s v="NFL Prime Video 2025"/>
    <s v="Billing Request- 00101858"/>
    <x v="5"/>
    <d v="2025-05-18T00:00:00"/>
    <d v="2025-08-09T00:00:00"/>
    <x v="2"/>
    <s v="a6Jat3221959"/>
    <x v="0"/>
    <s v="May; Jun"/>
    <s v="Incorrect legal terms delayed PTS."/>
    <n v="83"/>
    <x v="0"/>
    <x v="4"/>
    <x v="3"/>
    <x v="0"/>
  </r>
  <r>
    <x v="0"/>
    <s v="NASCAR P&amp;Q 2025"/>
    <s v="Billing Request- 00101859"/>
    <x v="8"/>
    <d v="2025-02-21T00:00:00"/>
    <d v="2025-04-24T00:00:00"/>
    <x v="2"/>
    <s v="a6JHn5598122"/>
    <x v="3"/>
    <s v="May"/>
    <s v=""/>
    <n v="62"/>
    <x v="0"/>
    <x v="6"/>
    <x v="0"/>
    <x v="0"/>
  </r>
  <r>
    <x v="3"/>
    <s v="NWSL Halftime Sponsorship 2025"/>
    <s v="Billing Request- 00101860"/>
    <x v="1"/>
    <d v="2025-07-24T00:00:00"/>
    <d v="2025-08-26T00:00:00"/>
    <x v="2"/>
    <s v="a6Jat8142454"/>
    <x v="0"/>
    <s v="Aug"/>
    <s v="Client requested retroactive billing adjustments."/>
    <n v="33"/>
    <x v="1"/>
    <x v="12"/>
    <x v="1"/>
    <x v="0"/>
  </r>
  <r>
    <x v="0"/>
    <s v="NASCAR Apex 2025 2025"/>
    <s v="Billing Request- 00101862"/>
    <x v="1"/>
    <d v="2025-04-28T00:00:00"/>
    <d v="2025-08-17T00:00:00"/>
    <x v="2"/>
    <s v="a6Jat3341663"/>
    <x v="5"/>
    <s v="Apr"/>
    <s v="Late media plan changes from client."/>
    <n v="111"/>
    <x v="0"/>
    <x v="3"/>
    <x v="0"/>
    <x v="0"/>
  </r>
  <r>
    <x v="1"/>
    <s v="NBA Playoffs Campaign 2025"/>
    <s v="Billing Request- 00101864"/>
    <x v="6"/>
    <d v="2025-05-09T00:00:00"/>
    <d v="2025-08-28T00:00:00"/>
    <x v="2"/>
    <s v="a6Jat5267659"/>
    <x v="2"/>
    <s v="Nov; Dec"/>
    <s v="Incorrect legal terms delayed PTS."/>
    <n v="111"/>
    <x v="0"/>
    <x v="4"/>
    <x v="2"/>
    <x v="0"/>
  </r>
  <r>
    <x v="0"/>
    <s v="Streaming Bundle Initiative 2025"/>
    <s v="Billing Request- 00101865"/>
    <x v="0"/>
    <d v="2025-01-04T00:00:00"/>
    <d v="2025-02-12T00:00:00"/>
    <x v="2"/>
    <s v="a6JXt7412315"/>
    <x v="4"/>
    <s v="Jul"/>
    <s v="Manual billing entry issue."/>
    <n v="39"/>
    <x v="1"/>
    <x v="0"/>
    <x v="3"/>
    <x v="0"/>
  </r>
  <r>
    <x v="2"/>
    <s v="DirecTV NASCAR Campaign 2026"/>
    <s v="Billing Request- 00101866"/>
    <x v="9"/>
    <d v="2026-04-21T00:00:00"/>
    <d v="2026-05-09T00:00:00"/>
    <x v="2"/>
    <s v="a6JHn5862643"/>
    <x v="3"/>
    <s v="Feb"/>
    <s v=""/>
    <n v="18"/>
    <x v="3"/>
    <x v="10"/>
    <x v="0"/>
    <x v="1"/>
  </r>
  <r>
    <x v="0"/>
    <s v="DirecTV NASCAR Campaign 2025"/>
    <s v="Billing Request- 00101867"/>
    <x v="6"/>
    <d v="2025-09-15T00:00:00"/>
    <d v="2025-12-25T00:00:00"/>
    <x v="2"/>
    <s v="a6JXt3882262"/>
    <x v="2"/>
    <s v="Mar; Apr"/>
    <s v="Finance validation process delay."/>
    <n v="101"/>
    <x v="0"/>
    <x v="14"/>
    <x v="0"/>
    <x v="0"/>
  </r>
  <r>
    <x v="0"/>
    <s v="Streaming Bundle Initiative 2025"/>
    <s v="Billing Request- 00101869"/>
    <x v="4"/>
    <d v="2025-02-11T00:00:00"/>
    <d v="2025-05-23T00:00:00"/>
    <x v="2"/>
    <s v="a6Jat6878116"/>
    <x v="1"/>
    <s v="Apr"/>
    <s v=""/>
    <n v="101"/>
    <x v="0"/>
    <x v="6"/>
    <x v="3"/>
    <x v="0"/>
  </r>
  <r>
    <x v="0"/>
    <s v="NBA Playoffs Campaign 2026"/>
    <s v="Billing Request- 00101871"/>
    <x v="0"/>
    <d v="2026-01-04T00:00:00"/>
    <d v="2026-01-16T00:00:00"/>
    <x v="2"/>
    <s v="a6JHn3936064"/>
    <x v="6"/>
    <s v="Jan"/>
    <s v="Missing supporting documentation from vendor."/>
    <n v="12"/>
    <x v="4"/>
    <x v="7"/>
    <x v="2"/>
    <x v="1"/>
  </r>
  <r>
    <x v="0"/>
    <s v="NFL Prime Video 2025"/>
    <s v="Billing Request- 00101872"/>
    <x v="0"/>
    <d v="2025-12-22T00:00:00"/>
    <d v="2026-02-17T00:00:00"/>
    <x v="2"/>
    <s v="a6JHn1882740"/>
    <x v="3"/>
    <s v="Mar; Apr"/>
    <s v="Manual billing entry issue."/>
    <n v="57"/>
    <x v="1"/>
    <x v="11"/>
    <x v="3"/>
    <x v="0"/>
  </r>
  <r>
    <x v="0"/>
    <s v="NFL Prime Video 2026"/>
    <s v="Billing Request- 00101875"/>
    <x v="2"/>
    <d v="2026-01-12T00:00:00"/>
    <d v="2026-03-07T00:00:00"/>
    <x v="0"/>
    <s v="a6JHn7710454"/>
    <x v="0"/>
    <s v="Apr"/>
    <s v="Missing supporting documentation from vendor."/>
    <n v="54"/>
    <x v="1"/>
    <x v="7"/>
    <x v="3"/>
    <x v="1"/>
  </r>
  <r>
    <x v="0"/>
    <s v="NWSL Halftime Sponsorship 2026"/>
    <s v="Billing Request- 00101876"/>
    <x v="4"/>
    <d v="2026-01-15T00:00:00"/>
    <d v="2026-03-17T00:00:00"/>
    <x v="2"/>
    <s v="a6JXt6938942"/>
    <x v="6"/>
    <s v="Nov"/>
    <s v="Manual billing entry issue."/>
    <n v="61"/>
    <x v="0"/>
    <x v="7"/>
    <x v="1"/>
    <x v="1"/>
  </r>
  <r>
    <x v="0"/>
    <s v="NWSL Halftime Sponsorship 2025"/>
    <s v="Billing Request- 00101877"/>
    <x v="1"/>
    <d v="2025-04-13T00:00:00"/>
    <d v="2025-05-18T00:00:00"/>
    <x v="2"/>
    <s v="a6Jat4740168"/>
    <x v="4"/>
    <s v="Jul"/>
    <s v="Missing supporting documentation from vendor."/>
    <n v="35"/>
    <x v="1"/>
    <x v="3"/>
    <x v="1"/>
    <x v="0"/>
  </r>
  <r>
    <x v="0"/>
    <s v="Amazon NBA Live Sports 2025"/>
    <s v="Billing Request- 00101879"/>
    <x v="6"/>
    <d v="2025-05-28T00:00:00"/>
    <d v="2025-06-12T00:00:00"/>
    <x v="2"/>
    <s v="a6JHn9780505"/>
    <x v="0"/>
    <s v="Mar; Apr"/>
    <s v="Client requested retroactive billing adjustments."/>
    <n v="15"/>
    <x v="3"/>
    <x v="4"/>
    <x v="2"/>
    <x v="0"/>
  </r>
  <r>
    <x v="0"/>
    <s v="DirecTV NASCAR Campaign 2025"/>
    <s v="Billing Request- 00101880"/>
    <x v="9"/>
    <d v="2025-12-21T00:00:00"/>
    <d v="2026-01-17T00:00:00"/>
    <x v="0"/>
    <s v="a6Jat5654724"/>
    <x v="1"/>
    <s v="Mar"/>
    <s v="Finance validation process delay."/>
    <n v="27"/>
    <x v="3"/>
    <x v="11"/>
    <x v="0"/>
    <x v="0"/>
  </r>
  <r>
    <x v="0"/>
    <s v="Streaming Bundle Initiative 2025"/>
    <s v="Billing Request- 00101881"/>
    <x v="5"/>
    <d v="2025-06-24T00:00:00"/>
    <d v="2025-07-07T00:00:00"/>
    <x v="2"/>
    <s v="a6JHn4167297"/>
    <x v="3"/>
    <s v="Jun"/>
    <s v="Client requested retroactive billing adjustments."/>
    <n v="13"/>
    <x v="4"/>
    <x v="9"/>
    <x v="3"/>
    <x v="0"/>
  </r>
  <r>
    <x v="0"/>
    <s v="NWSL Prime Video 2026"/>
    <s v="Billing Request- 00101882"/>
    <x v="7"/>
    <d v="2026-03-15T00:00:00"/>
    <d v="2026-05-08T00:00:00"/>
    <x v="2"/>
    <s v="a6JHn3822234"/>
    <x v="3"/>
    <s v="Dec"/>
    <s v="Missing supporting documentation from vendor."/>
    <n v="54"/>
    <x v="1"/>
    <x v="2"/>
    <x v="1"/>
    <x v="1"/>
  </r>
  <r>
    <x v="0"/>
    <s v="NWSL Prime Video 2026"/>
    <s v="Billing Request- 00101883"/>
    <x v="6"/>
    <d v="2026-02-20T00:00:00"/>
    <d v="2026-04-26T00:00:00"/>
    <x v="0"/>
    <s v="a6Jat3776760"/>
    <x v="1"/>
    <s v="Oct"/>
    <s v=""/>
    <n v="65"/>
    <x v="0"/>
    <x v="1"/>
    <x v="1"/>
    <x v="1"/>
  </r>
  <r>
    <x v="0"/>
    <s v="Amazon NBA Live Sports 2025"/>
    <s v="Billing Request- 00101884"/>
    <x v="5"/>
    <d v="2025-04-26T00:00:00"/>
    <d v="2025-06-14T00:00:00"/>
    <x v="2"/>
    <s v="a6JXt8845202"/>
    <x v="4"/>
    <s v="Sep; Oct"/>
    <s v="Missing supporting documentation from vendor."/>
    <n v="49"/>
    <x v="1"/>
    <x v="3"/>
    <x v="2"/>
    <x v="0"/>
  </r>
  <r>
    <x v="0"/>
    <s v="Amazon TNF 2024 2025"/>
    <s v="Billing Request- 00101885"/>
    <x v="8"/>
    <d v="2025-05-17T00:00:00"/>
    <d v="2025-05-26T00:00:00"/>
    <x v="2"/>
    <s v="a6JHn6250468"/>
    <x v="2"/>
    <s v="Sep"/>
    <s v="Agency submitted updated invoice mapping."/>
    <n v="9"/>
    <x v="4"/>
    <x v="4"/>
    <x v="4"/>
    <x v="0"/>
  </r>
  <r>
    <x v="0"/>
    <s v="NWSL Prime Video 2025"/>
    <s v="Billing Request- 00101887"/>
    <x v="3"/>
    <d v="2025-01-26T00:00:00"/>
    <d v="2025-03-07T00:00:00"/>
    <x v="2"/>
    <s v="a6JHn9475662"/>
    <x v="3"/>
    <s v="Sep"/>
    <s v="Manual billing entry issue."/>
    <n v="40"/>
    <x v="1"/>
    <x v="0"/>
    <x v="1"/>
    <x v="0"/>
  </r>
  <r>
    <x v="0"/>
    <s v="NWSL Halftime Sponsorship 2025"/>
    <s v="Billing Request- 00101888"/>
    <x v="9"/>
    <d v="2025-07-22T00:00:00"/>
    <d v="2025-10-24T00:00:00"/>
    <x v="2"/>
    <s v="a6JXt6895559"/>
    <x v="3"/>
    <s v="Mar; Apr"/>
    <s v="Finance validation process delay."/>
    <n v="94"/>
    <x v="0"/>
    <x v="12"/>
    <x v="1"/>
    <x v="0"/>
  </r>
  <r>
    <x v="2"/>
    <s v="Confluence Academy 2025"/>
    <s v="Billing Request- 00101890"/>
    <x v="0"/>
    <d v="2025-09-22T00:00:00"/>
    <d v="2025-12-27T00:00:00"/>
    <x v="2"/>
    <s v="a6JHn3800740"/>
    <x v="1"/>
    <s v="Apr"/>
    <s v="Client requested retroactive billing adjustments."/>
    <n v="96"/>
    <x v="0"/>
    <x v="14"/>
    <x v="3"/>
    <x v="0"/>
  </r>
  <r>
    <x v="0"/>
    <s v="Prime Sports NFL 2026"/>
    <s v="Billing Request- 00101891"/>
    <x v="2"/>
    <d v="2026-03-20T00:00:00"/>
    <d v="2026-05-02T00:00:00"/>
    <x v="0"/>
    <s v="a6JHn1342823"/>
    <x v="4"/>
    <s v="Dec"/>
    <s v="Missing supporting documentation from vendor."/>
    <n v="43"/>
    <x v="1"/>
    <x v="2"/>
    <x v="3"/>
    <x v="1"/>
  </r>
  <r>
    <x v="0"/>
    <s v="NASCAR P&amp;Q 2026"/>
    <s v="Billing Request- 00101892"/>
    <x v="0"/>
    <d v="2026-04-20T00:00:00"/>
    <d v="2026-04-25T00:00:00"/>
    <x v="2"/>
    <s v="a6JHn8127058"/>
    <x v="5"/>
    <s v="Aug"/>
    <s v="Manual billing entry issue."/>
    <n v="5"/>
    <x v="2"/>
    <x v="10"/>
    <x v="0"/>
    <x v="1"/>
  </r>
  <r>
    <x v="0"/>
    <s v="Global Consumer Products 2025"/>
    <s v="Billing Request- 00101894"/>
    <x v="3"/>
    <d v="2025-09-01T00:00:00"/>
    <d v="2025-12-27T00:00:00"/>
    <x v="2"/>
    <s v="a6JXt8585347"/>
    <x v="2"/>
    <s v="Sep; Oct"/>
    <s v="Missing supporting documentation from vendor."/>
    <n v="117"/>
    <x v="0"/>
    <x v="14"/>
    <x v="3"/>
    <x v="0"/>
  </r>
  <r>
    <x v="0"/>
    <s v="DirecTV NASCAR Campaign 2025"/>
    <s v="Billing Request- 00101895"/>
    <x v="7"/>
    <d v="2025-09-15T00:00:00"/>
    <d v="2025-12-22T00:00:00"/>
    <x v="0"/>
    <s v="a6JHn8897508"/>
    <x v="5"/>
    <s v="Mar; Apr"/>
    <s v="Manual billing entry issue."/>
    <n v="98"/>
    <x v="0"/>
    <x v="14"/>
    <x v="0"/>
    <x v="0"/>
  </r>
  <r>
    <x v="1"/>
    <s v="Streaming Bundle Initiative 2025"/>
    <s v="Billing Request- 00101896"/>
    <x v="4"/>
    <d v="2025-03-28T00:00:00"/>
    <d v="2025-06-26T00:00:00"/>
    <x v="2"/>
    <s v="a6JHn6413216"/>
    <x v="1"/>
    <s v="Oct"/>
    <s v="Agency submitted updated invoice mapping."/>
    <n v="90"/>
    <x v="0"/>
    <x v="13"/>
    <x v="3"/>
    <x v="0"/>
  </r>
  <r>
    <x v="0"/>
    <s v="Retail Media Expansion 2026"/>
    <s v="Billing Request- 00101899"/>
    <x v="7"/>
    <d v="2026-01-21T00:00:00"/>
    <d v="2026-04-18T00:00:00"/>
    <x v="2"/>
    <s v="a6JHn6416661"/>
    <x v="1"/>
    <s v="Aug"/>
    <s v="Finance validation process delay."/>
    <n v="87"/>
    <x v="0"/>
    <x v="7"/>
    <x v="3"/>
    <x v="1"/>
  </r>
  <r>
    <x v="1"/>
    <s v="NFL Prime Video 2025"/>
    <s v="Billing Request- 00101901"/>
    <x v="1"/>
    <d v="2025-12-07T00:00:00"/>
    <d v="2026-01-07T00:00:00"/>
    <x v="2"/>
    <s v="a6JXt1323425"/>
    <x v="3"/>
    <s v="Dec"/>
    <s v="Missing supporting documentation from vendor."/>
    <n v="31"/>
    <x v="1"/>
    <x v="11"/>
    <x v="3"/>
    <x v="0"/>
  </r>
  <r>
    <x v="0"/>
    <s v="WNBA Incremental Scatter 2025"/>
    <s v="Billing Request- 00101902"/>
    <x v="4"/>
    <d v="2025-07-14T00:00:00"/>
    <d v="2025-09-29T00:00:00"/>
    <x v="0"/>
    <s v="a6JHn4185169"/>
    <x v="3"/>
    <s v="Sep"/>
    <s v=""/>
    <n v="77"/>
    <x v="0"/>
    <x v="12"/>
    <x v="2"/>
    <x v="0"/>
  </r>
  <r>
    <x v="0"/>
    <s v="Prime Sports NFL 2025"/>
    <s v="Billing Request- 00101904"/>
    <x v="1"/>
    <d v="2025-09-15T00:00:00"/>
    <d v="2026-01-04T00:00:00"/>
    <x v="1"/>
    <s v="a6JHn4721085"/>
    <x v="3"/>
    <s v="Sep; Oct"/>
    <s v="Client requested retroactive billing adjustments."/>
    <n v="111"/>
    <x v="0"/>
    <x v="14"/>
    <x v="3"/>
    <x v="0"/>
  </r>
  <r>
    <x v="2"/>
    <s v="NWSL Halftime Sponsorship 2026"/>
    <s v="Billing Request- 00101906"/>
    <x v="4"/>
    <d v="2026-01-12T00:00:00"/>
    <d v="2026-01-27T00:00:00"/>
    <x v="1"/>
    <s v="a6JHn6005378"/>
    <x v="0"/>
    <s v="Feb"/>
    <s v="Manual billing entry issue."/>
    <n v="15"/>
    <x v="3"/>
    <x v="7"/>
    <x v="1"/>
    <x v="1"/>
  </r>
  <r>
    <x v="0"/>
    <s v="DirecTV NASCAR Campaign 2025"/>
    <s v="Billing Request- 00101908"/>
    <x v="8"/>
    <d v="2025-06-01T00:00:00"/>
    <d v="2025-09-16T00:00:00"/>
    <x v="1"/>
    <s v="a6JXt1322802"/>
    <x v="4"/>
    <s v="Sep; Oct"/>
    <s v=""/>
    <n v="107"/>
    <x v="0"/>
    <x v="9"/>
    <x v="0"/>
    <x v="0"/>
  </r>
  <r>
    <x v="0"/>
    <s v="Amazon NBA Live Sports 2025"/>
    <s v="Billing Request- 00101909"/>
    <x v="9"/>
    <d v="2025-06-23T00:00:00"/>
    <d v="2025-09-04T00:00:00"/>
    <x v="2"/>
    <s v="a6JHn1036611"/>
    <x v="5"/>
    <s v="Apr"/>
    <s v="Missing supporting documentation from vendor."/>
    <n v="73"/>
    <x v="0"/>
    <x v="9"/>
    <x v="2"/>
    <x v="0"/>
  </r>
  <r>
    <x v="0"/>
    <s v="NWSL Prime Video 2026"/>
    <s v="Billing Request- 00101910"/>
    <x v="4"/>
    <d v="2026-02-13T00:00:00"/>
    <d v="2026-05-06T00:00:00"/>
    <x v="2"/>
    <s v="a6JXt3239236"/>
    <x v="4"/>
    <s v="Apr"/>
    <s v="Finance validation process delay."/>
    <n v="82"/>
    <x v="0"/>
    <x v="1"/>
    <x v="1"/>
    <x v="1"/>
  </r>
  <r>
    <x v="0"/>
    <s v="NWSL Halftime Sponsorship 2025"/>
    <s v="Billing Request- 00101912"/>
    <x v="5"/>
    <d v="2025-06-21T00:00:00"/>
    <d v="2025-08-27T00:00:00"/>
    <x v="2"/>
    <s v="a6JXt5953222"/>
    <x v="3"/>
    <s v="Jun"/>
    <s v="Invoice details mismatch with approved campaign."/>
    <n v="67"/>
    <x v="0"/>
    <x v="9"/>
    <x v="1"/>
    <x v="0"/>
  </r>
  <r>
    <x v="4"/>
    <s v="NWSL Prime Video 2025"/>
    <s v="Billing Request- 00101914"/>
    <x v="0"/>
    <d v="2025-05-17T00:00:00"/>
    <d v="2025-07-29T00:00:00"/>
    <x v="1"/>
    <s v="a6Jat5193055"/>
    <x v="0"/>
    <s v="May; Jun"/>
    <s v="Client requested retroactive billing adjustments."/>
    <n v="73"/>
    <x v="0"/>
    <x v="4"/>
    <x v="1"/>
    <x v="0"/>
  </r>
  <r>
    <x v="0"/>
    <s v="Confluence Academy 2025"/>
    <s v="Billing Request- 00101916"/>
    <x v="4"/>
    <d v="2025-08-06T00:00:00"/>
    <d v="2025-09-08T00:00:00"/>
    <x v="0"/>
    <s v="a6JHn5670464"/>
    <x v="4"/>
    <s v="Jan; Feb"/>
    <s v="Late media plan changes from client."/>
    <n v="33"/>
    <x v="1"/>
    <x v="8"/>
    <x v="3"/>
    <x v="0"/>
  </r>
  <r>
    <x v="0"/>
    <s v="DirecTV NASCAR Campaign 2026"/>
    <s v="Billing Request- 00101917"/>
    <x v="6"/>
    <d v="2026-02-07T00:00:00"/>
    <d v="2026-02-23T00:00:00"/>
    <x v="1"/>
    <s v="a6Jat9686751"/>
    <x v="3"/>
    <s v="Jan; Feb"/>
    <s v="Missing supporting documentation from vendor."/>
    <n v="16"/>
    <x v="3"/>
    <x v="1"/>
    <x v="0"/>
    <x v="1"/>
  </r>
  <r>
    <x v="0"/>
    <s v="NWSL Halftime Sponsorship 2025"/>
    <s v="Billing Request- 00101919"/>
    <x v="0"/>
    <d v="2025-06-08T00:00:00"/>
    <d v="2025-08-20T00:00:00"/>
    <x v="2"/>
    <s v="a6JHn4120482"/>
    <x v="5"/>
    <s v="Jan; Feb"/>
    <s v="Agency submitted updated invoice mapping."/>
    <n v="73"/>
    <x v="0"/>
    <x v="9"/>
    <x v="1"/>
    <x v="0"/>
  </r>
  <r>
    <x v="0"/>
    <s v="NWSL Prime Video 2026"/>
    <s v="Billing Request- 00101922"/>
    <x v="2"/>
    <d v="2026-04-13T00:00:00"/>
    <d v="2026-05-05T00:00:00"/>
    <x v="2"/>
    <s v="a6JHn1207321"/>
    <x v="6"/>
    <s v="Aug"/>
    <s v="Late media plan changes from client."/>
    <n v="22"/>
    <x v="3"/>
    <x v="10"/>
    <x v="1"/>
    <x v="1"/>
  </r>
  <r>
    <x v="4"/>
    <s v="DirecTV NASCAR Campaign 2025"/>
    <s v="Billing Request- 00101923"/>
    <x v="7"/>
    <d v="2025-01-26T00:00:00"/>
    <d v="2025-04-03T00:00:00"/>
    <x v="2"/>
    <s v="a6Jat9856360"/>
    <x v="1"/>
    <s v="Mar"/>
    <s v="Agency submitted updated invoice mapping."/>
    <n v="67"/>
    <x v="0"/>
    <x v="0"/>
    <x v="0"/>
    <x v="0"/>
  </r>
  <r>
    <x v="3"/>
    <s v="Amazon TNF 2024 2026"/>
    <s v="Billing Request- 00101924"/>
    <x v="9"/>
    <d v="2026-04-14T00:00:00"/>
    <d v="2026-04-16T00:00:00"/>
    <x v="2"/>
    <s v="a6Jat8825067"/>
    <x v="4"/>
    <s v="Mar"/>
    <s v="Late media plan changes from client."/>
    <n v="2"/>
    <x v="2"/>
    <x v="10"/>
    <x v="4"/>
    <x v="1"/>
  </r>
  <r>
    <x v="0"/>
    <s v="TNF Sponsorship 2025"/>
    <s v="Billing Request- 00101925"/>
    <x v="1"/>
    <d v="2025-12-05T00:00:00"/>
    <d v="2026-01-04T00:00:00"/>
    <x v="2"/>
    <s v="a6Jat6041872"/>
    <x v="6"/>
    <s v="Jul"/>
    <s v=""/>
    <n v="30"/>
    <x v="3"/>
    <x v="11"/>
    <x v="4"/>
    <x v="0"/>
  </r>
  <r>
    <x v="0"/>
    <s v="Streaming Bundle Initiative 2026"/>
    <s v="Billing Request- 00101926"/>
    <x v="6"/>
    <d v="2026-05-07T00:00:00"/>
    <d v="2026-05-08T00:00:00"/>
    <x v="2"/>
    <s v="a6JXt8294376"/>
    <x v="1"/>
    <s v="Jan; Feb"/>
    <s v="Late media plan changes from client."/>
    <n v="1"/>
    <x v="2"/>
    <x v="16"/>
    <x v="3"/>
    <x v="1"/>
  </r>
  <r>
    <x v="1"/>
    <s v="Streaming Bundle Initiative 2025"/>
    <s v="Billing Request- 00101928"/>
    <x v="3"/>
    <d v="2025-04-29T00:00:00"/>
    <d v="2025-05-03T00:00:00"/>
    <x v="2"/>
    <s v="a6Jat5379168"/>
    <x v="5"/>
    <s v="Jan; Feb"/>
    <s v="Agency submitted updated invoice mapping."/>
    <n v="4"/>
    <x v="2"/>
    <x v="3"/>
    <x v="3"/>
    <x v="0"/>
  </r>
  <r>
    <x v="0"/>
    <s v="NASCAR Apex 2025 2026"/>
    <s v="Billing Request- 00101929"/>
    <x v="6"/>
    <d v="2026-01-09T00:00:00"/>
    <d v="2026-04-03T00:00:00"/>
    <x v="0"/>
    <s v="a6Jat8950019"/>
    <x v="4"/>
    <s v="Jan"/>
    <s v="Finance validation process delay."/>
    <n v="84"/>
    <x v="0"/>
    <x v="7"/>
    <x v="0"/>
    <x v="1"/>
  </r>
  <r>
    <x v="0"/>
    <s v="Streaming Bundle Initiative 2025"/>
    <s v="Billing Request- 00101930"/>
    <x v="4"/>
    <d v="2025-07-29T00:00:00"/>
    <d v="2025-08-11T00:00:00"/>
    <x v="1"/>
    <s v="a6Jat5871762"/>
    <x v="3"/>
    <s v="Aug"/>
    <s v="Late media plan changes from client."/>
    <n v="13"/>
    <x v="4"/>
    <x v="12"/>
    <x v="3"/>
    <x v="0"/>
  </r>
  <r>
    <x v="0"/>
    <s v="NBA League Pass 2025"/>
    <s v="Billing Request- 00101931"/>
    <x v="0"/>
    <d v="2025-03-03T00:00:00"/>
    <d v="2025-06-02T00:00:00"/>
    <x v="2"/>
    <s v="a6Jat9089333"/>
    <x v="3"/>
    <s v="Jan; Feb"/>
    <s v="Incorrect legal terms delayed PTS."/>
    <n v="91"/>
    <x v="0"/>
    <x v="13"/>
    <x v="2"/>
    <x v="0"/>
  </r>
  <r>
    <x v="0"/>
    <s v="DirecTV NASCAR Campaign 2026"/>
    <s v="Billing Request- 00101933"/>
    <x v="0"/>
    <d v="2026-02-07T00:00:00"/>
    <d v="2026-05-07T00:00:00"/>
    <x v="2"/>
    <s v="a6JXt2190891"/>
    <x v="4"/>
    <s v="Sep; Oct"/>
    <s v="Finance validation process delay."/>
    <n v="89"/>
    <x v="0"/>
    <x v="1"/>
    <x v="0"/>
    <x v="1"/>
  </r>
  <r>
    <x v="3"/>
    <s v="NWSL Prime Video 2026"/>
    <s v="Billing Request- 00101935"/>
    <x v="4"/>
    <d v="2026-05-07T00:00:00"/>
    <d v="2026-05-09T00:00:00"/>
    <x v="0"/>
    <s v="a6JHn2102077"/>
    <x v="2"/>
    <s v="Jul; Aug"/>
    <s v="Missing supporting documentation from vendor."/>
    <n v="2"/>
    <x v="2"/>
    <x v="16"/>
    <x v="1"/>
    <x v="1"/>
  </r>
  <r>
    <x v="1"/>
    <s v="NWSL Halftime Sponsorship 2025"/>
    <s v="Billing Request- 00101936"/>
    <x v="8"/>
    <d v="2025-11-08T00:00:00"/>
    <d v="2025-11-18T00:00:00"/>
    <x v="0"/>
    <s v="a6JHn2507070"/>
    <x v="2"/>
    <s v="Aug"/>
    <s v="Agency submitted updated invoice mapping."/>
    <n v="10"/>
    <x v="4"/>
    <x v="15"/>
    <x v="1"/>
    <x v="0"/>
  </r>
  <r>
    <x v="0"/>
    <s v="NASCAR Apex 2025 2026"/>
    <s v="Billing Request- 00101937"/>
    <x v="3"/>
    <d v="2026-03-30T00:00:00"/>
    <d v="2026-04-10T00:00:00"/>
    <x v="1"/>
    <s v="a6Jat2231020"/>
    <x v="1"/>
    <s v="Dec"/>
    <s v=""/>
    <n v="11"/>
    <x v="4"/>
    <x v="2"/>
    <x v="0"/>
    <x v="1"/>
  </r>
  <r>
    <x v="0"/>
    <s v="NWSL Halftime Sponsorship 2025"/>
    <s v="Billing Request- 00101939"/>
    <x v="2"/>
    <d v="2025-03-01T00:00:00"/>
    <d v="2025-06-27T00:00:00"/>
    <x v="0"/>
    <s v="a6Jat1848565"/>
    <x v="6"/>
    <s v="Aug"/>
    <s v="Client requested retroactive billing adjustments."/>
    <n v="118"/>
    <x v="0"/>
    <x v="13"/>
    <x v="1"/>
    <x v="0"/>
  </r>
  <r>
    <x v="0"/>
    <s v="NASCAR P&amp;Q 2025"/>
    <s v="Billing Request- 00101940"/>
    <x v="5"/>
    <d v="2025-06-13T00:00:00"/>
    <d v="2025-10-06T00:00:00"/>
    <x v="1"/>
    <s v="a6Jat3510061"/>
    <x v="6"/>
    <s v="Nov; Dec"/>
    <s v="Client requested retroactive billing adjustments."/>
    <n v="115"/>
    <x v="0"/>
    <x v="9"/>
    <x v="0"/>
    <x v="0"/>
  </r>
  <r>
    <x v="0"/>
    <s v="NWSL Halftime Sponsorship 2025"/>
    <s v="Billing Request- 00101941"/>
    <x v="3"/>
    <d v="2025-10-29T00:00:00"/>
    <d v="2025-12-17T00:00:00"/>
    <x v="0"/>
    <s v="a6Jat5002161"/>
    <x v="3"/>
    <s v="Nov; Dec"/>
    <s v=""/>
    <n v="49"/>
    <x v="1"/>
    <x v="5"/>
    <x v="1"/>
    <x v="0"/>
  </r>
  <r>
    <x v="0"/>
    <s v="Prime Sports NFL 2025"/>
    <s v="Billing Request- 00101942"/>
    <x v="5"/>
    <d v="2025-05-23T00:00:00"/>
    <d v="2025-08-12T00:00:00"/>
    <x v="2"/>
    <s v="a6JHn6397162"/>
    <x v="5"/>
    <s v="Nov"/>
    <s v="Incorrect legal terms delayed PTS."/>
    <n v="81"/>
    <x v="0"/>
    <x v="4"/>
    <x v="3"/>
    <x v="0"/>
  </r>
  <r>
    <x v="3"/>
    <s v="NWSL Halftime Sponsorship 2026"/>
    <s v="Billing Request- 00101943"/>
    <x v="5"/>
    <d v="2026-04-08T00:00:00"/>
    <d v="2026-05-04T00:00:00"/>
    <x v="0"/>
    <s v="a6JHn8004884"/>
    <x v="4"/>
    <s v="Feb"/>
    <s v="Manual billing entry issue."/>
    <n v="26"/>
    <x v="3"/>
    <x v="10"/>
    <x v="1"/>
    <x v="1"/>
  </r>
  <r>
    <x v="0"/>
    <s v="NASCAR P&amp;Q 2025"/>
    <s v="Billing Request- 00101944"/>
    <x v="8"/>
    <d v="2025-08-28T00:00:00"/>
    <d v="2025-10-06T00:00:00"/>
    <x v="2"/>
    <s v="a6Jat8247800"/>
    <x v="6"/>
    <s v="Sep; Oct"/>
    <s v=""/>
    <n v="39"/>
    <x v="1"/>
    <x v="8"/>
    <x v="0"/>
    <x v="0"/>
  </r>
  <r>
    <x v="1"/>
    <s v="WNBA Incremental Scatter 2025"/>
    <s v="Billing Request- 00101945"/>
    <x v="3"/>
    <d v="2025-01-22T00:00:00"/>
    <d v="2025-04-09T00:00:00"/>
    <x v="0"/>
    <s v="a6JXt2554516"/>
    <x v="1"/>
    <s v="Oct"/>
    <s v="Manual billing entry issue."/>
    <n v="77"/>
    <x v="0"/>
    <x v="0"/>
    <x v="2"/>
    <x v="0"/>
  </r>
  <r>
    <x v="0"/>
    <s v="WNBA Incremental Scatter 2025"/>
    <s v="Billing Request- 00101947"/>
    <x v="8"/>
    <d v="2025-07-24T00:00:00"/>
    <d v="2025-08-24T00:00:00"/>
    <x v="0"/>
    <s v="a6Jat5953785"/>
    <x v="1"/>
    <s v="Jun"/>
    <s v="Agency submitted updated invoice mapping."/>
    <n v="31"/>
    <x v="1"/>
    <x v="12"/>
    <x v="2"/>
    <x v="0"/>
  </r>
  <r>
    <x v="0"/>
    <s v="NBA Playoffs Campaign 2025"/>
    <s v="Billing Request- 00101949"/>
    <x v="1"/>
    <d v="2025-12-14T00:00:00"/>
    <d v="2026-03-23T00:00:00"/>
    <x v="0"/>
    <s v="a6JHn7549850"/>
    <x v="1"/>
    <s v="Nov"/>
    <s v="Manual billing entry issue."/>
    <n v="99"/>
    <x v="0"/>
    <x v="11"/>
    <x v="2"/>
    <x v="0"/>
  </r>
  <r>
    <x v="1"/>
    <s v="NWSL Prime Video 2025"/>
    <s v="Billing Request- 00101950"/>
    <x v="7"/>
    <d v="2025-08-04T00:00:00"/>
    <d v="2025-11-25T00:00:00"/>
    <x v="2"/>
    <s v="a6JHn4016576"/>
    <x v="3"/>
    <s v="Jan; Feb"/>
    <s v="Client requested retroactive billing adjustments."/>
    <n v="113"/>
    <x v="0"/>
    <x v="8"/>
    <x v="1"/>
    <x v="0"/>
  </r>
  <r>
    <x v="0"/>
    <s v="NWSL Halftime Sponsorship 2025"/>
    <s v="Billing Request- 00101951"/>
    <x v="8"/>
    <d v="2025-01-07T00:00:00"/>
    <d v="2025-01-25T00:00:00"/>
    <x v="2"/>
    <s v="a6Jat7274180"/>
    <x v="1"/>
    <s v="Nov; Dec"/>
    <s v="Finance validation process delay."/>
    <n v="18"/>
    <x v="3"/>
    <x v="0"/>
    <x v="1"/>
    <x v="0"/>
  </r>
  <r>
    <x v="0"/>
    <s v="NFL Prime Video 2025"/>
    <s v="Billing Request- 00101953"/>
    <x v="2"/>
    <d v="2025-01-05T00:00:00"/>
    <d v="2025-02-22T00:00:00"/>
    <x v="0"/>
    <s v="a6Jat8196331"/>
    <x v="1"/>
    <s v="Jan"/>
    <s v=""/>
    <n v="48"/>
    <x v="1"/>
    <x v="0"/>
    <x v="3"/>
    <x v="0"/>
  </r>
  <r>
    <x v="0"/>
    <s v="WNBA Incremental Scatter 2025"/>
    <s v="Billing Request- 00101954"/>
    <x v="4"/>
    <d v="2025-01-06T00:00:00"/>
    <d v="2025-04-27T00:00:00"/>
    <x v="1"/>
    <s v="a6Jat4980521"/>
    <x v="4"/>
    <s v="Dec"/>
    <s v="Agency submitted updated invoice mapping."/>
    <n v="111"/>
    <x v="0"/>
    <x v="0"/>
    <x v="2"/>
    <x v="0"/>
  </r>
  <r>
    <x v="0"/>
    <s v="Amazon TNF 2024 2025"/>
    <s v="Billing Request- 00101956"/>
    <x v="8"/>
    <d v="2025-04-06T00:00:00"/>
    <d v="2025-05-27T00:00:00"/>
    <x v="2"/>
    <s v="a6Jat3232174"/>
    <x v="3"/>
    <s v="Jul; Aug"/>
    <s v="Late media plan changes from client."/>
    <n v="51"/>
    <x v="1"/>
    <x v="3"/>
    <x v="4"/>
    <x v="0"/>
  </r>
  <r>
    <x v="0"/>
    <s v="DirecTV NASCAR Campaign 2025"/>
    <s v="Billing Request- 00101957"/>
    <x v="3"/>
    <d v="2025-05-12T00:00:00"/>
    <d v="2025-08-24T00:00:00"/>
    <x v="2"/>
    <s v="a6JHn5795431"/>
    <x v="5"/>
    <s v="Oct"/>
    <s v="Late media plan changes from client."/>
    <n v="104"/>
    <x v="0"/>
    <x v="4"/>
    <x v="0"/>
    <x v="0"/>
  </r>
  <r>
    <x v="0"/>
    <s v="Amazon TNF 2024 2026"/>
    <s v="Billing Request- 00101958"/>
    <x v="6"/>
    <d v="2026-02-27T00:00:00"/>
    <d v="2026-05-04T00:00:00"/>
    <x v="0"/>
    <s v="a6Jat7531196"/>
    <x v="2"/>
    <s v="Dec"/>
    <s v=""/>
    <n v="66"/>
    <x v="0"/>
    <x v="1"/>
    <x v="4"/>
    <x v="1"/>
  </r>
  <r>
    <x v="1"/>
    <s v="TNF Sponsorship 2025"/>
    <s v="Billing Request- 00101962"/>
    <x v="7"/>
    <d v="2025-07-06T00:00:00"/>
    <d v="2025-07-10T00:00:00"/>
    <x v="0"/>
    <s v="a6Jat8402427"/>
    <x v="2"/>
    <s v="Mar"/>
    <s v="Missing supporting documentation from vendor."/>
    <n v="4"/>
    <x v="2"/>
    <x v="12"/>
    <x v="4"/>
    <x v="0"/>
  </r>
  <r>
    <x v="0"/>
    <s v="NWSL Halftime Sponsorship 2025"/>
    <s v="Billing Request- 00101963"/>
    <x v="5"/>
    <d v="2025-02-18T00:00:00"/>
    <d v="2025-03-31T00:00:00"/>
    <x v="2"/>
    <s v="a6Jat7264942"/>
    <x v="4"/>
    <s v="Sep"/>
    <s v="Late media plan changes from client."/>
    <n v="41"/>
    <x v="1"/>
    <x v="6"/>
    <x v="1"/>
    <x v="0"/>
  </r>
  <r>
    <x v="0"/>
    <s v="NWSL Halftime Sponsorship 2025"/>
    <s v="Billing Request- 00101966"/>
    <x v="7"/>
    <d v="2025-06-03T00:00:00"/>
    <d v="2025-09-20T00:00:00"/>
    <x v="2"/>
    <s v="a6Jat4943509"/>
    <x v="3"/>
    <s v="Jul; Aug"/>
    <s v="Late media plan changes from client."/>
    <n v="109"/>
    <x v="0"/>
    <x v="9"/>
    <x v="1"/>
    <x v="0"/>
  </r>
  <r>
    <x v="0"/>
    <s v="NWSL Halftime Sponsorship 2025"/>
    <s v="Billing Request- 00101967"/>
    <x v="8"/>
    <d v="2025-10-14T00:00:00"/>
    <d v="2025-12-12T00:00:00"/>
    <x v="2"/>
    <s v="a6Jat5074974"/>
    <x v="1"/>
    <s v="Jul; Aug"/>
    <s v="Incorrect legal terms delayed PTS."/>
    <n v="59"/>
    <x v="1"/>
    <x v="5"/>
    <x v="1"/>
    <x v="0"/>
  </r>
  <r>
    <x v="0"/>
    <s v="Amazon TNF 2024 2025"/>
    <s v="Billing Request- 00101968"/>
    <x v="9"/>
    <d v="2025-05-06T00:00:00"/>
    <d v="2025-08-24T00:00:00"/>
    <x v="2"/>
    <s v="a6JXt7037796"/>
    <x v="0"/>
    <s v="Aug"/>
    <s v="Manual billing entry issue."/>
    <n v="110"/>
    <x v="0"/>
    <x v="4"/>
    <x v="4"/>
    <x v="0"/>
  </r>
  <r>
    <x v="4"/>
    <s v="NBA Playoffs Campaign 2026"/>
    <s v="Billing Request- 00101970"/>
    <x v="0"/>
    <d v="2026-02-04T00:00:00"/>
    <d v="2026-03-18T00:00:00"/>
    <x v="1"/>
    <s v="a6JHn7309274"/>
    <x v="1"/>
    <s v="Jun"/>
    <s v="Late media plan changes from client."/>
    <n v="42"/>
    <x v="1"/>
    <x v="1"/>
    <x v="2"/>
    <x v="1"/>
  </r>
  <r>
    <x v="3"/>
    <s v="Retail Media Expansion 2026"/>
    <s v="Billing Request- 00101973"/>
    <x v="6"/>
    <d v="2026-05-07T00:00:00"/>
    <d v="2026-05-09T00:00:00"/>
    <x v="2"/>
    <s v="a6JXt9107948"/>
    <x v="1"/>
    <s v="Nov"/>
    <s v="Incorrect legal terms delayed PTS."/>
    <n v="2"/>
    <x v="2"/>
    <x v="16"/>
    <x v="3"/>
    <x v="1"/>
  </r>
  <r>
    <x v="3"/>
    <s v="NASCAR P&amp;Q 2025"/>
    <s v="Billing Request- 00101974"/>
    <x v="9"/>
    <d v="2025-05-18T00:00:00"/>
    <d v="2025-08-15T00:00:00"/>
    <x v="2"/>
    <s v="a6JHn6429232"/>
    <x v="5"/>
    <s v="Mar"/>
    <s v="Manual billing entry issue."/>
    <n v="89"/>
    <x v="0"/>
    <x v="4"/>
    <x v="0"/>
    <x v="0"/>
  </r>
  <r>
    <x v="0"/>
    <s v="Amazon TNF 2024 2025"/>
    <s v="Billing Request- 00101975"/>
    <x v="7"/>
    <d v="2025-04-24T00:00:00"/>
    <d v="2025-05-10T00:00:00"/>
    <x v="2"/>
    <s v="a6JHn5124760"/>
    <x v="2"/>
    <s v="May"/>
    <s v="Agency submitted updated invoice mapping."/>
    <n v="16"/>
    <x v="3"/>
    <x v="3"/>
    <x v="4"/>
    <x v="0"/>
  </r>
  <r>
    <x v="0"/>
    <s v="NBA Playoffs Campaign 2026"/>
    <s v="Billing Request- 00101976"/>
    <x v="1"/>
    <d v="2026-04-21T00:00:00"/>
    <d v="2026-05-04T00:00:00"/>
    <x v="2"/>
    <s v="a6Jat4418391"/>
    <x v="0"/>
    <s v="Sep; Oct"/>
    <s v="Client requested retroactive billing adjustments."/>
    <n v="13"/>
    <x v="4"/>
    <x v="10"/>
    <x v="2"/>
    <x v="1"/>
  </r>
  <r>
    <x v="2"/>
    <s v="NWSL Halftime Sponsorship 2026"/>
    <s v="Billing Request- 00101977"/>
    <x v="4"/>
    <d v="2026-04-13T00:00:00"/>
    <d v="2026-05-07T00:00:00"/>
    <x v="2"/>
    <s v="a6Jat7065068"/>
    <x v="4"/>
    <s v="Jan; Feb"/>
    <s v="Client requested retroactive billing adjustments."/>
    <n v="24"/>
    <x v="3"/>
    <x v="10"/>
    <x v="1"/>
    <x v="1"/>
  </r>
  <r>
    <x v="0"/>
    <s v="Global Consumer Products 2025"/>
    <s v="Billing Request- 00101978"/>
    <x v="8"/>
    <d v="2025-06-10T00:00:00"/>
    <d v="2025-07-02T00:00:00"/>
    <x v="2"/>
    <s v="a6JXt1630715"/>
    <x v="1"/>
    <s v="Oct"/>
    <s v="Client requested retroactive billing adjustments."/>
    <n v="22"/>
    <x v="3"/>
    <x v="9"/>
    <x v="3"/>
    <x v="0"/>
  </r>
  <r>
    <x v="0"/>
    <s v="NWSL Halftime Sponsorship 2025"/>
    <s v="Billing Request- 00101980"/>
    <x v="7"/>
    <d v="2025-01-02T00:00:00"/>
    <d v="2025-04-20T00:00:00"/>
    <x v="2"/>
    <s v="a6JXt7792054"/>
    <x v="1"/>
    <s v="Sep; Oct"/>
    <s v="Invoice details mismatch with approved campaign."/>
    <n v="108"/>
    <x v="0"/>
    <x v="0"/>
    <x v="1"/>
    <x v="0"/>
  </r>
  <r>
    <x v="0"/>
    <s v="NASCAR Apex 2025 2025"/>
    <s v="Billing Request- 00101981"/>
    <x v="6"/>
    <d v="2025-07-26T00:00:00"/>
    <d v="2025-11-17T00:00:00"/>
    <x v="2"/>
    <s v="a6JHn5483975"/>
    <x v="5"/>
    <s v="Jul; Aug"/>
    <s v="Manual billing entry issue."/>
    <n v="114"/>
    <x v="0"/>
    <x v="12"/>
    <x v="0"/>
    <x v="0"/>
  </r>
  <r>
    <x v="0"/>
    <s v="NWSL Halftime Sponsorship 2025"/>
    <s v="Billing Request- 00101983"/>
    <x v="4"/>
    <d v="2025-12-28T00:00:00"/>
    <d v="2026-03-03T00:00:00"/>
    <x v="0"/>
    <s v="a6JHn6261044"/>
    <x v="1"/>
    <s v="Oct"/>
    <s v="Manual billing entry issue."/>
    <n v="65"/>
    <x v="0"/>
    <x v="11"/>
    <x v="1"/>
    <x v="0"/>
  </r>
  <r>
    <x v="0"/>
    <s v="NBA League Pass 2026"/>
    <s v="Billing Request- 00101987"/>
    <x v="1"/>
    <d v="2026-03-18T00:00:00"/>
    <d v="2026-04-10T00:00:00"/>
    <x v="2"/>
    <s v="a6JXt9249276"/>
    <x v="1"/>
    <s v="Sep; Oct"/>
    <s v=""/>
    <n v="23"/>
    <x v="3"/>
    <x v="2"/>
    <x v="2"/>
    <x v="1"/>
  </r>
  <r>
    <x v="0"/>
    <s v="NWSL Prime Video 2025"/>
    <s v="Billing Request- 00101988"/>
    <x v="9"/>
    <d v="2025-03-07T00:00:00"/>
    <d v="2025-04-03T00:00:00"/>
    <x v="0"/>
    <s v="a6JHn2130659"/>
    <x v="5"/>
    <s v="Feb"/>
    <s v="Missing supporting documentation from vendor."/>
    <n v="27"/>
    <x v="3"/>
    <x v="13"/>
    <x v="1"/>
    <x v="0"/>
  </r>
  <r>
    <x v="0"/>
    <s v="DirecTV NASCAR Campaign 2025"/>
    <s v="Billing Request- 00101989"/>
    <x v="9"/>
    <d v="2025-04-13T00:00:00"/>
    <d v="2025-07-12T00:00:00"/>
    <x v="2"/>
    <s v="a6JHn5546937"/>
    <x v="6"/>
    <s v="Nov"/>
    <s v=""/>
    <n v="90"/>
    <x v="0"/>
    <x v="3"/>
    <x v="0"/>
    <x v="0"/>
  </r>
  <r>
    <x v="0"/>
    <s v="DirecTV NASCAR Campaign 2025"/>
    <s v="Billing Request- 00101990"/>
    <x v="4"/>
    <d v="2025-08-16T00:00:00"/>
    <d v="2025-11-04T00:00:00"/>
    <x v="2"/>
    <s v="a6JXt5050722"/>
    <x v="1"/>
    <s v="May; Jun"/>
    <s v="Agency submitted updated invoice mapping."/>
    <n v="80"/>
    <x v="0"/>
    <x v="8"/>
    <x v="0"/>
    <x v="0"/>
  </r>
  <r>
    <x v="0"/>
    <s v="DirecTV NASCAR Campaign 2025"/>
    <s v="Billing Request- 00101992"/>
    <x v="8"/>
    <d v="2025-07-02T00:00:00"/>
    <d v="2025-10-26T00:00:00"/>
    <x v="2"/>
    <s v="a6JHn6545607"/>
    <x v="2"/>
    <s v="Sep; Oct"/>
    <s v="Missing supporting documentation from vendor."/>
    <n v="116"/>
    <x v="0"/>
    <x v="12"/>
    <x v="0"/>
    <x v="0"/>
  </r>
  <r>
    <x v="0"/>
    <s v="NWSL Prime Video 2025"/>
    <s v="Billing Request- 00101993"/>
    <x v="9"/>
    <d v="2025-07-03T00:00:00"/>
    <d v="2025-10-25T00:00:00"/>
    <x v="1"/>
    <s v="a6JHn8889658"/>
    <x v="3"/>
    <s v="Jan"/>
    <s v="Client requested retroactive billing adjustments."/>
    <n v="114"/>
    <x v="0"/>
    <x v="12"/>
    <x v="1"/>
    <x v="0"/>
  </r>
  <r>
    <x v="0"/>
    <s v="NBA Playoffs Campaign 2026"/>
    <s v="Billing Request- 00101996"/>
    <x v="3"/>
    <d v="2026-01-02T00:00:00"/>
    <d v="2026-01-21T00:00:00"/>
    <x v="0"/>
    <s v="a6JHn1285020"/>
    <x v="1"/>
    <s v="Aug"/>
    <s v="Invoice details mismatch with approved campaign."/>
    <n v="19"/>
    <x v="3"/>
    <x v="7"/>
    <x v="2"/>
    <x v="1"/>
  </r>
  <r>
    <x v="0"/>
    <s v="Prime Sports NFL 2026"/>
    <s v="Billing Request- 00101997"/>
    <x v="0"/>
    <d v="2026-01-11T00:00:00"/>
    <d v="2026-04-15T00:00:00"/>
    <x v="2"/>
    <s v="a6Jat1764736"/>
    <x v="3"/>
    <s v="Sep"/>
    <s v="Agency submitted updated invoice mapping."/>
    <n v="94"/>
    <x v="0"/>
    <x v="7"/>
    <x v="3"/>
    <x v="1"/>
  </r>
  <r>
    <x v="4"/>
    <s v="WNBA Incremental Scatter 2026"/>
    <s v="Billing Request- 00101998"/>
    <x v="7"/>
    <d v="2026-04-16T00:00:00"/>
    <d v="2026-04-24T00:00:00"/>
    <x v="2"/>
    <s v="a6Jat9970343"/>
    <x v="6"/>
    <s v="Sep"/>
    <s v="Incorrect legal terms delayed PTS."/>
    <n v="8"/>
    <x v="4"/>
    <x v="10"/>
    <x v="2"/>
    <x v="1"/>
  </r>
  <r>
    <x v="0"/>
    <s v="NASCAR P&amp;Q 2025"/>
    <s v="Billing Request- 00102000"/>
    <x v="4"/>
    <d v="2025-03-20T00:00:00"/>
    <d v="2025-05-31T00:00:00"/>
    <x v="2"/>
    <s v="a6JHn9835331"/>
    <x v="3"/>
    <s v="Nov"/>
    <s v="Client requested retroactive billing adjustments."/>
    <n v="72"/>
    <x v="0"/>
    <x v="13"/>
    <x v="0"/>
    <x v="0"/>
  </r>
  <r>
    <x v="0"/>
    <s v="NWSL Prime Video 2025"/>
    <s v="Billing Request- 00102001"/>
    <x v="8"/>
    <d v="2025-07-01T00:00:00"/>
    <d v="2025-10-06T00:00:00"/>
    <x v="2"/>
    <s v="a6Jat6400050"/>
    <x v="2"/>
    <s v="Aug"/>
    <s v="Late media plan changes from client."/>
    <n v="97"/>
    <x v="0"/>
    <x v="12"/>
    <x v="1"/>
    <x v="0"/>
  </r>
  <r>
    <x v="0"/>
    <s v="Confluence Academy 2025"/>
    <s v="Billing Request- 00102002"/>
    <x v="0"/>
    <d v="2025-06-22T00:00:00"/>
    <d v="2025-09-05T00:00:00"/>
    <x v="1"/>
    <s v="a6Jat3828400"/>
    <x v="3"/>
    <s v="Sep"/>
    <s v="Agency submitted updated invoice mapping."/>
    <n v="75"/>
    <x v="0"/>
    <x v="9"/>
    <x v="3"/>
    <x v="0"/>
  </r>
  <r>
    <x v="0"/>
    <s v="WNBA Incremental Scatter 2025"/>
    <s v="Billing Request- 00102003"/>
    <x v="3"/>
    <d v="2025-01-23T00:00:00"/>
    <d v="2025-05-06T00:00:00"/>
    <x v="2"/>
    <s v="a6Jat6572108"/>
    <x v="3"/>
    <s v="Jan"/>
    <s v="Finance validation process delay."/>
    <n v="103"/>
    <x v="0"/>
    <x v="0"/>
    <x v="2"/>
    <x v="0"/>
  </r>
  <r>
    <x v="0"/>
    <s v="TNF Sponsorship 2025"/>
    <s v="Billing Request- 00102005"/>
    <x v="3"/>
    <d v="2025-11-09T00:00:00"/>
    <d v="2025-12-26T00:00:00"/>
    <x v="0"/>
    <s v="a6JXt5484630"/>
    <x v="2"/>
    <s v="Jun"/>
    <s v="Manual billing entry issue."/>
    <n v="47"/>
    <x v="1"/>
    <x v="15"/>
    <x v="4"/>
    <x v="0"/>
  </r>
  <r>
    <x v="0"/>
    <s v="Retail Media Expansion 2025"/>
    <s v="Billing Request- 00102008"/>
    <x v="9"/>
    <d v="2025-09-04T00:00:00"/>
    <d v="2025-10-12T00:00:00"/>
    <x v="1"/>
    <s v="a6Jat1041739"/>
    <x v="0"/>
    <s v="Jun"/>
    <s v="Manual billing entry issue."/>
    <n v="38"/>
    <x v="1"/>
    <x v="14"/>
    <x v="3"/>
    <x v="0"/>
  </r>
  <r>
    <x v="0"/>
    <s v="TNF Sponsorship 2025"/>
    <s v="Billing Request- 00102009"/>
    <x v="3"/>
    <d v="2025-11-25T00:00:00"/>
    <d v="2026-03-23T00:00:00"/>
    <x v="0"/>
    <s v="a6Jat8864136"/>
    <x v="5"/>
    <s v="May"/>
    <s v="Late media plan changes from client."/>
    <n v="118"/>
    <x v="0"/>
    <x v="15"/>
    <x v="4"/>
    <x v="0"/>
  </r>
  <r>
    <x v="0"/>
    <s v="DirecTV NASCAR Campaign 2026"/>
    <s v="Billing Request- 00102010"/>
    <x v="9"/>
    <d v="2026-04-08T00:00:00"/>
    <d v="2026-05-07T00:00:00"/>
    <x v="0"/>
    <s v="a6JXt1392646"/>
    <x v="4"/>
    <s v="Aug"/>
    <s v="Agency submitted updated invoice mapping."/>
    <n v="29"/>
    <x v="3"/>
    <x v="10"/>
    <x v="0"/>
    <x v="1"/>
  </r>
  <r>
    <x v="0"/>
    <s v="NWSL Halftime Sponsorship 2025"/>
    <s v="Billing Request- 00102011"/>
    <x v="5"/>
    <d v="2025-03-15T00:00:00"/>
    <d v="2025-04-13T00:00:00"/>
    <x v="2"/>
    <s v="a6JXt1452563"/>
    <x v="4"/>
    <s v="Aug"/>
    <s v="Finance validation process delay."/>
    <n v="29"/>
    <x v="3"/>
    <x v="13"/>
    <x v="1"/>
    <x v="0"/>
  </r>
  <r>
    <x v="0"/>
    <s v="Prime Sports NFL 2025"/>
    <s v="Billing Request- 00102012"/>
    <x v="4"/>
    <d v="2025-10-21T00:00:00"/>
    <d v="2025-10-29T00:00:00"/>
    <x v="2"/>
    <s v="a6JXt8516545"/>
    <x v="2"/>
    <s v="Nov; Dec"/>
    <s v="Late media plan changes from client."/>
    <n v="8"/>
    <x v="4"/>
    <x v="5"/>
    <x v="3"/>
    <x v="0"/>
  </r>
  <r>
    <x v="0"/>
    <s v="NASCAR P&amp;Q 2026"/>
    <s v="Billing Request- 00102013"/>
    <x v="6"/>
    <d v="2026-04-25T00:00:00"/>
    <d v="2026-05-07T00:00:00"/>
    <x v="2"/>
    <s v="a6JHn6267378"/>
    <x v="4"/>
    <s v="Sep; Oct"/>
    <s v="Incorrect legal terms delayed PTS."/>
    <n v="12"/>
    <x v="4"/>
    <x v="10"/>
    <x v="0"/>
    <x v="1"/>
  </r>
  <r>
    <x v="0"/>
    <s v="NWSL Halftime Sponsorship 2026"/>
    <s v="Billing Request- 00102014"/>
    <x v="6"/>
    <d v="2026-01-11T00:00:00"/>
    <d v="2026-04-29T00:00:00"/>
    <x v="2"/>
    <s v="a6JXt2087196"/>
    <x v="0"/>
    <s v="Feb"/>
    <s v=""/>
    <n v="108"/>
    <x v="0"/>
    <x v="7"/>
    <x v="1"/>
    <x v="1"/>
  </r>
  <r>
    <x v="0"/>
    <s v="Streaming Bundle Initiative 2025"/>
    <s v="Billing Request- 00102015"/>
    <x v="2"/>
    <d v="2025-07-09T00:00:00"/>
    <d v="2025-09-13T00:00:00"/>
    <x v="0"/>
    <s v="a6Jat9481351"/>
    <x v="5"/>
    <s v="Sep; Oct"/>
    <s v="Finance validation process delay."/>
    <n v="66"/>
    <x v="0"/>
    <x v="12"/>
    <x v="3"/>
    <x v="0"/>
  </r>
  <r>
    <x v="0"/>
    <s v="WNBA Incremental Scatter 2025"/>
    <s v="Billing Request- 00102016"/>
    <x v="0"/>
    <d v="2025-09-26T00:00:00"/>
    <d v="2025-09-29T00:00:00"/>
    <x v="2"/>
    <s v="a6Jat4989543"/>
    <x v="0"/>
    <s v="Apr"/>
    <s v="Agency submitted updated invoice mapping."/>
    <n v="3"/>
    <x v="2"/>
    <x v="14"/>
    <x v="2"/>
    <x v="0"/>
  </r>
  <r>
    <x v="4"/>
    <s v="NFL Prime Video 2025"/>
    <s v="Billing Request- 00102018"/>
    <x v="9"/>
    <d v="2025-12-02T00:00:00"/>
    <d v="2026-03-13T00:00:00"/>
    <x v="2"/>
    <s v="a6JHn1118159"/>
    <x v="0"/>
    <s v="Feb"/>
    <s v="Incorrect legal terms delayed PTS."/>
    <n v="101"/>
    <x v="0"/>
    <x v="11"/>
    <x v="3"/>
    <x v="0"/>
  </r>
  <r>
    <x v="1"/>
    <s v="NWSL Halftime Sponsorship 2025"/>
    <s v="Billing Request- 00102021"/>
    <x v="4"/>
    <d v="2025-09-19T00:00:00"/>
    <d v="2025-12-07T00:00:00"/>
    <x v="2"/>
    <s v="a6JHn8484166"/>
    <x v="1"/>
    <s v="Jul; Aug"/>
    <s v="Finance validation process delay."/>
    <n v="79"/>
    <x v="0"/>
    <x v="14"/>
    <x v="1"/>
    <x v="0"/>
  </r>
  <r>
    <x v="0"/>
    <s v="NASCAR P&amp;Q 2025"/>
    <s v="Billing Request- 00102024"/>
    <x v="5"/>
    <d v="2025-02-23T00:00:00"/>
    <d v="2025-03-05T00:00:00"/>
    <x v="2"/>
    <s v="a6Jat2718032"/>
    <x v="4"/>
    <s v="Nov"/>
    <s v="Client requested retroactive billing adjustments."/>
    <n v="10"/>
    <x v="4"/>
    <x v="6"/>
    <x v="0"/>
    <x v="0"/>
  </r>
  <r>
    <x v="0"/>
    <s v="NBA Playoffs Campaign 2025"/>
    <s v="Billing Request- 00102026"/>
    <x v="6"/>
    <d v="2025-10-03T00:00:00"/>
    <d v="2025-10-10T00:00:00"/>
    <x v="2"/>
    <s v="a6JXt5479677"/>
    <x v="0"/>
    <s v="Sep; Oct"/>
    <s v="Late media plan changes from client."/>
    <n v="7"/>
    <x v="2"/>
    <x v="5"/>
    <x v="2"/>
    <x v="0"/>
  </r>
  <r>
    <x v="0"/>
    <s v="NASCAR Apex 2025 2025"/>
    <s v="Billing Request- 00102028"/>
    <x v="1"/>
    <d v="2025-03-10T00:00:00"/>
    <d v="2025-05-28T00:00:00"/>
    <x v="2"/>
    <s v="a6JXt4494905"/>
    <x v="3"/>
    <s v="Jul; Aug"/>
    <s v="Invoice details mismatch with approved campaign."/>
    <n v="79"/>
    <x v="0"/>
    <x v="13"/>
    <x v="0"/>
    <x v="0"/>
  </r>
  <r>
    <x v="0"/>
    <s v="Amazon NBA Live Sports 2025"/>
    <s v="Billing Request- 00102029"/>
    <x v="4"/>
    <d v="2025-03-24T00:00:00"/>
    <d v="2025-06-09T00:00:00"/>
    <x v="2"/>
    <s v="a6JXt4495991"/>
    <x v="4"/>
    <s v="Mar"/>
    <s v="Invoice details mismatch with approved campaign."/>
    <n v="77"/>
    <x v="0"/>
    <x v="13"/>
    <x v="2"/>
    <x v="0"/>
  </r>
  <r>
    <x v="0"/>
    <s v="DirecTV NASCAR Campaign 2025"/>
    <s v="Billing Request- 00102030"/>
    <x v="2"/>
    <d v="2025-12-28T00:00:00"/>
    <d v="2026-03-23T00:00:00"/>
    <x v="0"/>
    <s v="a6Jat3936857"/>
    <x v="6"/>
    <s v="Jan; Feb"/>
    <s v="Invoice details mismatch with approved campaign."/>
    <n v="85"/>
    <x v="0"/>
    <x v="11"/>
    <x v="0"/>
    <x v="0"/>
  </r>
  <r>
    <x v="0"/>
    <s v="NWSL Halftime Sponsorship 2026"/>
    <s v="Billing Request- 00102032"/>
    <x v="3"/>
    <d v="2026-05-01T00:00:00"/>
    <d v="2026-05-07T00:00:00"/>
    <x v="2"/>
    <s v="a6JXt6985046"/>
    <x v="3"/>
    <s v="Mar"/>
    <s v="Finance validation process delay."/>
    <n v="6"/>
    <x v="2"/>
    <x v="16"/>
    <x v="1"/>
    <x v="1"/>
  </r>
  <r>
    <x v="0"/>
    <s v="NASCAR P&amp;Q 2025"/>
    <s v="Billing Request- 00102034"/>
    <x v="9"/>
    <d v="2025-02-06T00:00:00"/>
    <d v="2025-04-30T00:00:00"/>
    <x v="0"/>
    <s v="a6JHn9044888"/>
    <x v="2"/>
    <s v="Feb"/>
    <s v="Late media plan changes from client."/>
    <n v="83"/>
    <x v="0"/>
    <x v="6"/>
    <x v="0"/>
    <x v="0"/>
  </r>
  <r>
    <x v="0"/>
    <s v="NWSL Prime Video 2026"/>
    <s v="Billing Request- 00102035"/>
    <x v="3"/>
    <d v="2026-02-22T00:00:00"/>
    <d v="2026-05-06T00:00:00"/>
    <x v="1"/>
    <s v="a6JXt3103442"/>
    <x v="0"/>
    <s v="Oct"/>
    <s v="Manual billing entry issue."/>
    <n v="73"/>
    <x v="0"/>
    <x v="1"/>
    <x v="1"/>
    <x v="1"/>
  </r>
  <r>
    <x v="1"/>
    <s v="Amazon NBA Live Sports 2026"/>
    <s v="Billing Request- 00102036"/>
    <x v="0"/>
    <d v="2026-01-08T00:00:00"/>
    <d v="2026-04-22T00:00:00"/>
    <x v="0"/>
    <s v="a6JXt1496104"/>
    <x v="2"/>
    <s v="Jan; Feb"/>
    <s v="Agency submitted updated invoice mapping."/>
    <n v="104"/>
    <x v="0"/>
    <x v="7"/>
    <x v="2"/>
    <x v="1"/>
  </r>
  <r>
    <x v="0"/>
    <s v="NFL Prime Video 2025"/>
    <s v="Billing Request- 00102039"/>
    <x v="9"/>
    <d v="2025-10-06T00:00:00"/>
    <d v="2025-10-12T00:00:00"/>
    <x v="1"/>
    <s v="a6JXt4702852"/>
    <x v="0"/>
    <s v="Dec"/>
    <s v="Client requested retroactive billing adjustments."/>
    <n v="6"/>
    <x v="2"/>
    <x v="5"/>
    <x v="3"/>
    <x v="0"/>
  </r>
  <r>
    <x v="0"/>
    <s v="Amazon NBA Live Sports 2025"/>
    <s v="Billing Request- 00102043"/>
    <x v="2"/>
    <d v="2025-03-22T00:00:00"/>
    <d v="2025-06-12T00:00:00"/>
    <x v="2"/>
    <s v="a6JHn2554938"/>
    <x v="5"/>
    <s v="Feb"/>
    <s v="Client requested retroactive billing adjustments."/>
    <n v="82"/>
    <x v="0"/>
    <x v="13"/>
    <x v="2"/>
    <x v="0"/>
  </r>
  <r>
    <x v="0"/>
    <s v="NBA Playoffs Campaign 2026"/>
    <s v="Billing Request- 00102045"/>
    <x v="1"/>
    <d v="2026-04-13T00:00:00"/>
    <d v="2026-05-08T00:00:00"/>
    <x v="2"/>
    <s v="a6Jat4916224"/>
    <x v="3"/>
    <s v="Dec"/>
    <s v="Late media plan changes from client."/>
    <n v="25"/>
    <x v="3"/>
    <x v="10"/>
    <x v="2"/>
    <x v="1"/>
  </r>
  <r>
    <x v="0"/>
    <s v="DirecTV NASCAR Campaign 2025"/>
    <s v="Billing Request- 00102046"/>
    <x v="6"/>
    <d v="2025-12-23T00:00:00"/>
    <d v="2026-01-03T00:00:00"/>
    <x v="2"/>
    <s v="a6Jat3496733"/>
    <x v="6"/>
    <s v="Apr"/>
    <s v="Late media plan changes from client."/>
    <n v="11"/>
    <x v="4"/>
    <x v="11"/>
    <x v="0"/>
    <x v="0"/>
  </r>
  <r>
    <x v="0"/>
    <s v="Streaming Bundle Initiative 2025"/>
    <s v="Billing Request- 00102047"/>
    <x v="4"/>
    <d v="2025-10-29T00:00:00"/>
    <d v="2025-12-27T00:00:00"/>
    <x v="2"/>
    <s v="a6Jat3248366"/>
    <x v="3"/>
    <s v="Jan"/>
    <s v="Invoice details mismatch with approved campaign."/>
    <n v="59"/>
    <x v="1"/>
    <x v="5"/>
    <x v="3"/>
    <x v="0"/>
  </r>
  <r>
    <x v="2"/>
    <s v="WNBA Incremental Scatter 2025"/>
    <s v="Billing Request- 00102050"/>
    <x v="3"/>
    <d v="2025-10-01T00:00:00"/>
    <d v="2025-11-23T00:00:00"/>
    <x v="2"/>
    <s v="a6JXt2302184"/>
    <x v="0"/>
    <s v="Apr"/>
    <s v="Client requested retroactive billing adjustments."/>
    <n v="53"/>
    <x v="1"/>
    <x v="5"/>
    <x v="2"/>
    <x v="0"/>
  </r>
  <r>
    <x v="0"/>
    <s v="Global Consumer Products 2025"/>
    <s v="Billing Request- 00102051"/>
    <x v="9"/>
    <d v="2025-07-27T00:00:00"/>
    <d v="2025-10-16T00:00:00"/>
    <x v="2"/>
    <s v="a6JHn1887163"/>
    <x v="2"/>
    <s v="Nov; Dec"/>
    <s v="Client requested retroactive billing adjustments."/>
    <n v="81"/>
    <x v="0"/>
    <x v="12"/>
    <x v="3"/>
    <x v="0"/>
  </r>
  <r>
    <x v="0"/>
    <s v="WNBA Incremental Scatter 2025"/>
    <s v="Billing Request- 00102053"/>
    <x v="4"/>
    <d v="2025-01-28T00:00:00"/>
    <d v="2025-02-21T00:00:00"/>
    <x v="2"/>
    <s v="a6JHn6622669"/>
    <x v="2"/>
    <s v="Nov"/>
    <s v="Agency submitted updated invoice mapping."/>
    <n v="24"/>
    <x v="3"/>
    <x v="0"/>
    <x v="2"/>
    <x v="0"/>
  </r>
  <r>
    <x v="1"/>
    <s v="Amazon TNF 2024 2025"/>
    <s v="Billing Request- 00102055"/>
    <x v="3"/>
    <d v="2025-10-17T00:00:00"/>
    <d v="2025-11-05T00:00:00"/>
    <x v="2"/>
    <s v="a6Jat4452862"/>
    <x v="4"/>
    <s v="May"/>
    <s v="Agency submitted updated invoice mapping."/>
    <n v="19"/>
    <x v="3"/>
    <x v="5"/>
    <x v="4"/>
    <x v="0"/>
  </r>
  <r>
    <x v="0"/>
    <s v="TNF Sponsorship 2026"/>
    <s v="Billing Request- 00102056"/>
    <x v="5"/>
    <d v="2026-03-13T00:00:00"/>
    <d v="2026-03-18T00:00:00"/>
    <x v="1"/>
    <s v="a6Jat4090182"/>
    <x v="6"/>
    <s v="Dec"/>
    <s v="Missing supporting documentation from vendor."/>
    <n v="5"/>
    <x v="2"/>
    <x v="2"/>
    <x v="4"/>
    <x v="1"/>
  </r>
  <r>
    <x v="0"/>
    <s v="NBA League Pass 2025"/>
    <s v="Billing Request- 00102058"/>
    <x v="5"/>
    <d v="2025-04-09T00:00:00"/>
    <d v="2025-05-09T00:00:00"/>
    <x v="2"/>
    <s v="a6Jat4601686"/>
    <x v="4"/>
    <s v="Sep"/>
    <s v="Invoice details mismatch with approved campaign."/>
    <n v="30"/>
    <x v="3"/>
    <x v="3"/>
    <x v="2"/>
    <x v="0"/>
  </r>
  <r>
    <x v="0"/>
    <s v="NASCAR P&amp;Q 2026"/>
    <s v="Billing Request- 00102059"/>
    <x v="2"/>
    <d v="2026-04-16T00:00:00"/>
    <d v="2026-05-07T00:00:00"/>
    <x v="2"/>
    <s v="a6JHn6006338"/>
    <x v="5"/>
    <s v="May; Jun"/>
    <s v="Missing supporting documentation from vendor."/>
    <n v="21"/>
    <x v="3"/>
    <x v="10"/>
    <x v="0"/>
    <x v="1"/>
  </r>
  <r>
    <x v="0"/>
    <s v="Streaming Bundle Initiative 2026"/>
    <s v="Billing Request- 00102060"/>
    <x v="0"/>
    <d v="2026-02-14T00:00:00"/>
    <d v="2026-03-20T00:00:00"/>
    <x v="2"/>
    <s v="a6JXt1914505"/>
    <x v="3"/>
    <s v="Aug"/>
    <s v="Missing supporting documentation from vendor."/>
    <n v="34"/>
    <x v="1"/>
    <x v="1"/>
    <x v="3"/>
    <x v="1"/>
  </r>
  <r>
    <x v="0"/>
    <s v="DirecTV NASCAR Campaign 2026"/>
    <s v="Billing Request- 00102061"/>
    <x v="0"/>
    <d v="2026-05-02T00:00:00"/>
    <d v="2026-05-08T00:00:00"/>
    <x v="0"/>
    <s v="a6JHn3975387"/>
    <x v="0"/>
    <s v="Aug"/>
    <s v="Invoice details mismatch with approved campaign."/>
    <n v="6"/>
    <x v="2"/>
    <x v="16"/>
    <x v="0"/>
    <x v="1"/>
  </r>
  <r>
    <x v="1"/>
    <s v="Amazon NBA Live Sports 2025"/>
    <s v="Billing Request- 00102062"/>
    <x v="2"/>
    <d v="2025-02-17T00:00:00"/>
    <d v="2025-04-01T00:00:00"/>
    <x v="2"/>
    <s v="a6JHn2112928"/>
    <x v="0"/>
    <s v="Jan; Feb"/>
    <s v="Agency submitted updated invoice mapping."/>
    <n v="43"/>
    <x v="1"/>
    <x v="6"/>
    <x v="2"/>
    <x v="0"/>
  </r>
  <r>
    <x v="0"/>
    <s v="Confluence Academy 2025"/>
    <s v="Billing Request- 00102063"/>
    <x v="2"/>
    <d v="2025-05-07T00:00:00"/>
    <d v="2025-08-27T00:00:00"/>
    <x v="2"/>
    <s v="a6JHn2765405"/>
    <x v="0"/>
    <s v="Dec"/>
    <s v="Manual billing entry issue."/>
    <n v="112"/>
    <x v="0"/>
    <x v="4"/>
    <x v="3"/>
    <x v="0"/>
  </r>
  <r>
    <x v="0"/>
    <s v="NWSL Halftime Sponsorship 2025"/>
    <s v="Billing Request- 00102065"/>
    <x v="7"/>
    <d v="2025-10-15T00:00:00"/>
    <d v="2025-12-29T00:00:00"/>
    <x v="0"/>
    <s v="a6JXt6688883"/>
    <x v="4"/>
    <s v="Oct"/>
    <s v="Manual billing entry issue."/>
    <n v="75"/>
    <x v="0"/>
    <x v="5"/>
    <x v="1"/>
    <x v="0"/>
  </r>
  <r>
    <x v="0"/>
    <s v="NBA League Pass 2026"/>
    <s v="Billing Request- 00102066"/>
    <x v="9"/>
    <d v="2026-04-10T00:00:00"/>
    <d v="2026-05-05T00:00:00"/>
    <x v="2"/>
    <s v="a6Jat8678370"/>
    <x v="4"/>
    <s v="Nov; Dec"/>
    <s v="Manual billing entry issue."/>
    <n v="25"/>
    <x v="3"/>
    <x v="10"/>
    <x v="2"/>
    <x v="1"/>
  </r>
  <r>
    <x v="0"/>
    <s v="NASCAR Apex 2025 2025"/>
    <s v="Billing Request- 00102067"/>
    <x v="0"/>
    <d v="2025-04-19T00:00:00"/>
    <d v="2025-07-13T00:00:00"/>
    <x v="2"/>
    <s v="a6JHn5133084"/>
    <x v="6"/>
    <s v="Mar; Apr"/>
    <s v="Incorrect legal terms delayed PTS."/>
    <n v="85"/>
    <x v="0"/>
    <x v="3"/>
    <x v="0"/>
    <x v="0"/>
  </r>
  <r>
    <x v="0"/>
    <s v="DirecTV NASCAR Campaign 2025"/>
    <s v="Billing Request- 00102068"/>
    <x v="9"/>
    <d v="2025-10-03T00:00:00"/>
    <d v="2025-10-22T00:00:00"/>
    <x v="0"/>
    <s v="a6JXt2294596"/>
    <x v="6"/>
    <s v="Dec"/>
    <s v="Manual billing entry issue."/>
    <n v="19"/>
    <x v="3"/>
    <x v="5"/>
    <x v="0"/>
    <x v="0"/>
  </r>
  <r>
    <x v="3"/>
    <s v="Prime Sports NFL 2025"/>
    <s v="Billing Request- 00102069"/>
    <x v="1"/>
    <d v="2025-09-14T00:00:00"/>
    <d v="2025-09-25T00:00:00"/>
    <x v="2"/>
    <s v="a6Jat8749473"/>
    <x v="6"/>
    <s v="Aug"/>
    <s v="Client requested retroactive billing adjustments."/>
    <n v="11"/>
    <x v="4"/>
    <x v="14"/>
    <x v="3"/>
    <x v="0"/>
  </r>
  <r>
    <x v="0"/>
    <s v="Amazon NBA Live Sports 2025"/>
    <s v="Billing Request- 00102070"/>
    <x v="2"/>
    <d v="2025-04-17T00:00:00"/>
    <d v="2025-06-17T00:00:00"/>
    <x v="0"/>
    <s v="a6Jat2600862"/>
    <x v="5"/>
    <s v="Mar; Apr"/>
    <s v="Finance validation process delay."/>
    <n v="61"/>
    <x v="0"/>
    <x v="3"/>
    <x v="2"/>
    <x v="0"/>
  </r>
  <r>
    <x v="0"/>
    <s v="Amazon NBA Live Sports 2026"/>
    <s v="Billing Request- 00102071"/>
    <x v="1"/>
    <d v="2026-01-05T00:00:00"/>
    <d v="2026-03-18T00:00:00"/>
    <x v="2"/>
    <s v="a6Jat3211487"/>
    <x v="3"/>
    <s v="Jan; Feb"/>
    <s v="Manual billing entry issue."/>
    <n v="72"/>
    <x v="0"/>
    <x v="7"/>
    <x v="2"/>
    <x v="1"/>
  </r>
  <r>
    <x v="0"/>
    <s v="NWSL Prime Video 2025"/>
    <s v="Billing Request- 00102072"/>
    <x v="9"/>
    <d v="2025-06-02T00:00:00"/>
    <d v="2025-09-11T00:00:00"/>
    <x v="0"/>
    <s v="a6Jat3758975"/>
    <x v="1"/>
    <s v="Oct"/>
    <s v="Invoice details mismatch with approved campaign."/>
    <n v="101"/>
    <x v="0"/>
    <x v="9"/>
    <x v="1"/>
    <x v="0"/>
  </r>
  <r>
    <x v="0"/>
    <s v="Confluence Academy 2026"/>
    <s v="Billing Request- 00102073"/>
    <x v="4"/>
    <d v="2026-02-22T00:00:00"/>
    <d v="2026-05-08T00:00:00"/>
    <x v="0"/>
    <s v="a6JXt6042815"/>
    <x v="4"/>
    <s v="Jan; Feb"/>
    <s v="Late media plan changes from client."/>
    <n v="75"/>
    <x v="0"/>
    <x v="1"/>
    <x v="3"/>
    <x v="1"/>
  </r>
  <r>
    <x v="0"/>
    <s v="NFL Prime Video 2025"/>
    <s v="Billing Request- 00102074"/>
    <x v="0"/>
    <d v="2025-12-07T00:00:00"/>
    <d v="2025-12-18T00:00:00"/>
    <x v="0"/>
    <s v="a6JHn5901155"/>
    <x v="0"/>
    <s v="Mar"/>
    <s v="Missing supporting documentation from vendor."/>
    <n v="11"/>
    <x v="4"/>
    <x v="11"/>
    <x v="3"/>
    <x v="0"/>
  </r>
  <r>
    <x v="0"/>
    <s v="NWSL Halftime Sponsorship 2025"/>
    <s v="Billing Request- 00102075"/>
    <x v="1"/>
    <d v="2025-12-11T00:00:00"/>
    <d v="2025-12-15T00:00:00"/>
    <x v="2"/>
    <s v="a6Jat1551324"/>
    <x v="0"/>
    <s v="Apr"/>
    <s v="Agency submitted updated invoice mapping."/>
    <n v="4"/>
    <x v="2"/>
    <x v="11"/>
    <x v="1"/>
    <x v="0"/>
  </r>
  <r>
    <x v="0"/>
    <s v="Prime Sports NFL 2025"/>
    <s v="Billing Request- 00102076"/>
    <x v="0"/>
    <d v="2025-10-20T00:00:00"/>
    <d v="2025-10-24T00:00:00"/>
    <x v="2"/>
    <s v="a6JXt5565225"/>
    <x v="6"/>
    <s v="Mar"/>
    <s v="Manual billing entry issue."/>
    <n v="4"/>
    <x v="2"/>
    <x v="5"/>
    <x v="3"/>
    <x v="0"/>
  </r>
  <r>
    <x v="1"/>
    <s v="NWSL Halftime Sponsorship 2026"/>
    <s v="Billing Request- 00102079"/>
    <x v="4"/>
    <d v="2026-01-24T00:00:00"/>
    <d v="2026-02-07T00:00:00"/>
    <x v="2"/>
    <s v="a6JXt2393146"/>
    <x v="6"/>
    <s v="Oct"/>
    <s v="Agency submitted updated invoice mapping."/>
    <n v="14"/>
    <x v="4"/>
    <x v="7"/>
    <x v="1"/>
    <x v="1"/>
  </r>
  <r>
    <x v="4"/>
    <s v="Streaming Bundle Initiative 2026"/>
    <s v="Billing Request- 00102080"/>
    <x v="1"/>
    <d v="2026-01-10T00:00:00"/>
    <d v="2026-01-30T00:00:00"/>
    <x v="1"/>
    <s v="a6JHn1553318"/>
    <x v="5"/>
    <s v="Feb"/>
    <s v="Manual billing entry issue."/>
    <n v="20"/>
    <x v="3"/>
    <x v="7"/>
    <x v="3"/>
    <x v="1"/>
  </r>
  <r>
    <x v="4"/>
    <s v="TNF Sponsorship 2026"/>
    <s v="Billing Request- 00102083"/>
    <x v="8"/>
    <d v="2026-04-08T00:00:00"/>
    <d v="2026-04-16T00:00:00"/>
    <x v="2"/>
    <s v="a6JXt2449725"/>
    <x v="6"/>
    <s v="Jul"/>
    <s v="Agency submitted updated invoice mapping."/>
    <n v="8"/>
    <x v="4"/>
    <x v="10"/>
    <x v="4"/>
    <x v="1"/>
  </r>
  <r>
    <x v="1"/>
    <s v="NASCAR P&amp;Q 2026"/>
    <s v="Billing Request- 00102084"/>
    <x v="5"/>
    <d v="2026-01-26T00:00:00"/>
    <d v="2026-04-11T00:00:00"/>
    <x v="2"/>
    <s v="a6JHn1072278"/>
    <x v="5"/>
    <s v="Nov; Dec"/>
    <s v="Incorrect legal terms delayed PTS."/>
    <n v="75"/>
    <x v="0"/>
    <x v="7"/>
    <x v="0"/>
    <x v="1"/>
  </r>
  <r>
    <x v="0"/>
    <s v="NWSL Prime Video 2025"/>
    <s v="Billing Request- 00102086"/>
    <x v="7"/>
    <d v="2025-09-19T00:00:00"/>
    <d v="2025-11-06T00:00:00"/>
    <x v="2"/>
    <s v="a6JXt2203724"/>
    <x v="5"/>
    <s v="Mar"/>
    <s v="Client requested retroactive billing adjustments."/>
    <n v="48"/>
    <x v="1"/>
    <x v="14"/>
    <x v="1"/>
    <x v="0"/>
  </r>
  <r>
    <x v="0"/>
    <s v="Prime Sports NFL 2026"/>
    <s v="Billing Request- 00102087"/>
    <x v="7"/>
    <d v="2026-05-08T00:00:00"/>
    <d v="2026-05-05T00:00:00"/>
    <x v="2"/>
    <s v="a6JHn3840705"/>
    <x v="2"/>
    <s v="May"/>
    <s v="Incorrect legal terms delayed PTS."/>
    <n v="-3"/>
    <x v="2"/>
    <x v="16"/>
    <x v="3"/>
    <x v="1"/>
  </r>
  <r>
    <x v="2"/>
    <s v="WNBA Incremental Scatter 2025"/>
    <s v="Billing Request- 00102088"/>
    <x v="0"/>
    <d v="2025-01-25T00:00:00"/>
    <d v="2025-02-04T00:00:00"/>
    <x v="2"/>
    <s v="a6Jat7894842"/>
    <x v="2"/>
    <s v="Mar; Apr"/>
    <s v="Agency submitted updated invoice mapping."/>
    <n v="10"/>
    <x v="4"/>
    <x v="0"/>
    <x v="2"/>
    <x v="0"/>
  </r>
  <r>
    <x v="0"/>
    <s v="NASCAR Apex 2025 2025"/>
    <s v="Billing Request- 00102089"/>
    <x v="2"/>
    <d v="2025-07-28T00:00:00"/>
    <d v="2025-10-07T00:00:00"/>
    <x v="1"/>
    <s v="a6Jat9335728"/>
    <x v="6"/>
    <s v="Jan"/>
    <s v="Agency submitted updated invoice mapping."/>
    <n v="71"/>
    <x v="0"/>
    <x v="12"/>
    <x v="0"/>
    <x v="0"/>
  </r>
  <r>
    <x v="0"/>
    <s v="Prime Sports NFL 2025"/>
    <s v="Billing Request- 00102090"/>
    <x v="3"/>
    <d v="2025-05-25T00:00:00"/>
    <d v="2025-07-27T00:00:00"/>
    <x v="2"/>
    <s v="a6JXt5629123"/>
    <x v="5"/>
    <s v="Dec"/>
    <s v="Missing supporting documentation from vendor."/>
    <n v="63"/>
    <x v="0"/>
    <x v="4"/>
    <x v="3"/>
    <x v="0"/>
  </r>
  <r>
    <x v="1"/>
    <s v="Retail Media Expansion 2025"/>
    <s v="Billing Request- 00102091"/>
    <x v="9"/>
    <d v="2025-05-25T00:00:00"/>
    <d v="2025-07-29T00:00:00"/>
    <x v="2"/>
    <s v="a6Jat6716553"/>
    <x v="0"/>
    <s v="Dec"/>
    <s v="Missing supporting documentation from vendor."/>
    <n v="65"/>
    <x v="0"/>
    <x v="4"/>
    <x v="3"/>
    <x v="0"/>
  </r>
  <r>
    <x v="0"/>
    <s v="NWSL Prime Video 2025"/>
    <s v="Billing Request- 00102093"/>
    <x v="4"/>
    <d v="2025-12-01T00:00:00"/>
    <d v="2026-01-17T00:00:00"/>
    <x v="2"/>
    <s v="a6Jat8992849"/>
    <x v="2"/>
    <s v="Feb"/>
    <s v="Incorrect legal terms delayed PTS."/>
    <n v="47"/>
    <x v="1"/>
    <x v="11"/>
    <x v="1"/>
    <x v="0"/>
  </r>
  <r>
    <x v="0"/>
    <s v="NBA Playoffs Campaign 2026"/>
    <s v="Billing Request- 00102096"/>
    <x v="1"/>
    <d v="2026-01-26T00:00:00"/>
    <d v="2026-03-30T00:00:00"/>
    <x v="2"/>
    <s v="a6Jat9413810"/>
    <x v="6"/>
    <s v="Dec"/>
    <s v="Agency submitted updated invoice mapping."/>
    <n v="63"/>
    <x v="0"/>
    <x v="7"/>
    <x v="2"/>
    <x v="1"/>
  </r>
  <r>
    <x v="0"/>
    <s v="Global Consumer Products 2025"/>
    <s v="Billing Request- 00102098"/>
    <x v="8"/>
    <d v="2025-07-03T00:00:00"/>
    <d v="2025-09-19T00:00:00"/>
    <x v="2"/>
    <s v="a6Jat5495901"/>
    <x v="5"/>
    <s v="Apr"/>
    <s v="Manual billing entry issue."/>
    <n v="78"/>
    <x v="0"/>
    <x v="12"/>
    <x v="3"/>
    <x v="0"/>
  </r>
  <r>
    <x v="0"/>
    <s v="NFL Prime Video 2025"/>
    <s v="Billing Request- 00102099"/>
    <x v="6"/>
    <d v="2025-02-22T00:00:00"/>
    <d v="2025-05-24T00:00:00"/>
    <x v="2"/>
    <s v="a6JHn4258805"/>
    <x v="1"/>
    <s v="May; Jun"/>
    <s v="Agency submitted updated invoice mapping."/>
    <n v="91"/>
    <x v="0"/>
    <x v="6"/>
    <x v="3"/>
    <x v="0"/>
  </r>
  <r>
    <x v="0"/>
    <s v="NWSL Halftime Sponsorship 2025"/>
    <s v="Billing Request- 00102101"/>
    <x v="4"/>
    <d v="2025-01-21T00:00:00"/>
    <d v="2025-04-08T00:00:00"/>
    <x v="1"/>
    <s v="a6Jat2221178"/>
    <x v="3"/>
    <s v="Apr"/>
    <s v="Late media plan changes from client."/>
    <n v="77"/>
    <x v="0"/>
    <x v="0"/>
    <x v="1"/>
    <x v="0"/>
  </r>
  <r>
    <x v="0"/>
    <s v="NASCAR P&amp;Q 2026"/>
    <s v="Billing Request- 00102102"/>
    <x v="1"/>
    <d v="2026-03-26T00:00:00"/>
    <d v="2026-04-27T00:00:00"/>
    <x v="0"/>
    <s v="a6Jat9565416"/>
    <x v="2"/>
    <s v="Sep"/>
    <s v="Late media plan changes from client."/>
    <n v="32"/>
    <x v="1"/>
    <x v="2"/>
    <x v="0"/>
    <x v="1"/>
  </r>
  <r>
    <x v="0"/>
    <s v="NWSL Prime Video 2025"/>
    <s v="Billing Request- 00102103"/>
    <x v="5"/>
    <d v="2025-07-29T00:00:00"/>
    <d v="2025-11-09T00:00:00"/>
    <x v="0"/>
    <s v="a6JXt1610902"/>
    <x v="6"/>
    <s v="Sep; Oct"/>
    <s v=""/>
    <n v="103"/>
    <x v="0"/>
    <x v="12"/>
    <x v="1"/>
    <x v="0"/>
  </r>
  <r>
    <x v="0"/>
    <s v="NWSL Halftime Sponsorship 2026"/>
    <s v="Billing Request- 00102104"/>
    <x v="7"/>
    <d v="2026-02-27T00:00:00"/>
    <d v="2026-03-02T00:00:00"/>
    <x v="2"/>
    <s v="a6JXt1418381"/>
    <x v="0"/>
    <s v="Nov; Dec"/>
    <s v="Incorrect legal terms delayed PTS."/>
    <n v="3"/>
    <x v="2"/>
    <x v="1"/>
    <x v="1"/>
    <x v="1"/>
  </r>
  <r>
    <x v="0"/>
    <s v="Streaming Bundle Initiative 2025"/>
    <s v="Billing Request- 00102105"/>
    <x v="0"/>
    <d v="2025-02-19T00:00:00"/>
    <d v="2025-03-20T00:00:00"/>
    <x v="0"/>
    <s v="a6Jat7752786"/>
    <x v="5"/>
    <s v="Jan"/>
    <s v="Invoice details mismatch with approved campaign."/>
    <n v="29"/>
    <x v="3"/>
    <x v="6"/>
    <x v="3"/>
    <x v="0"/>
  </r>
  <r>
    <x v="0"/>
    <s v="NWSL Prime Video 2026"/>
    <s v="Billing Request- 00102106"/>
    <x v="5"/>
    <d v="2026-03-24T00:00:00"/>
    <d v="2026-05-08T00:00:00"/>
    <x v="2"/>
    <s v="a6Jat5668383"/>
    <x v="5"/>
    <s v="Jan"/>
    <s v="Missing supporting documentation from vendor."/>
    <n v="45"/>
    <x v="1"/>
    <x v="2"/>
    <x v="1"/>
    <x v="1"/>
  </r>
  <r>
    <x v="0"/>
    <s v="TNF Sponsorship 2025"/>
    <s v="Billing Request- 00102107"/>
    <x v="4"/>
    <d v="2025-08-09T00:00:00"/>
    <d v="2025-10-21T00:00:00"/>
    <x v="2"/>
    <s v="a6JXt8199955"/>
    <x v="0"/>
    <s v="Mar"/>
    <s v="Client requested retroactive billing adjustments."/>
    <n v="73"/>
    <x v="0"/>
    <x v="8"/>
    <x v="4"/>
    <x v="0"/>
  </r>
  <r>
    <x v="0"/>
    <s v="NBA Playoffs Campaign 2025"/>
    <s v="Billing Request- 00102108"/>
    <x v="1"/>
    <d v="2025-08-04T00:00:00"/>
    <d v="2025-10-02T00:00:00"/>
    <x v="2"/>
    <s v="a6JHn1725300"/>
    <x v="0"/>
    <s v="Nov"/>
    <s v="Agency submitted updated invoice mapping."/>
    <n v="59"/>
    <x v="1"/>
    <x v="8"/>
    <x v="2"/>
    <x v="0"/>
  </r>
  <r>
    <x v="0"/>
    <s v="Amazon NBA Live Sports 2025"/>
    <s v="Billing Request- 00102109"/>
    <x v="5"/>
    <d v="2025-02-17T00:00:00"/>
    <d v="2025-06-16T00:00:00"/>
    <x v="2"/>
    <s v="a6JXt1982913"/>
    <x v="3"/>
    <s v="Aug"/>
    <s v="Client requested retroactive billing adjustments."/>
    <n v="119"/>
    <x v="0"/>
    <x v="6"/>
    <x v="2"/>
    <x v="0"/>
  </r>
  <r>
    <x v="0"/>
    <s v="NWSL Halftime Sponsorship 2025"/>
    <s v="Billing Request- 00102110"/>
    <x v="2"/>
    <d v="2025-04-10T00:00:00"/>
    <d v="2025-06-11T00:00:00"/>
    <x v="0"/>
    <s v="a6JHn5518997"/>
    <x v="0"/>
    <s v="Jul; Aug"/>
    <s v="Agency submitted updated invoice mapping."/>
    <n v="62"/>
    <x v="0"/>
    <x v="3"/>
    <x v="1"/>
    <x v="0"/>
  </r>
  <r>
    <x v="0"/>
    <s v="DirecTV NASCAR Campaign 2025"/>
    <s v="Billing Request- 00102111"/>
    <x v="7"/>
    <d v="2025-01-05T00:00:00"/>
    <d v="2025-03-15T00:00:00"/>
    <x v="0"/>
    <s v="a6JHn3921062"/>
    <x v="3"/>
    <s v="Sep; Oct"/>
    <s v="Client requested retroactive billing adjustments."/>
    <n v="69"/>
    <x v="0"/>
    <x v="0"/>
    <x v="0"/>
    <x v="0"/>
  </r>
  <r>
    <x v="0"/>
    <s v="NWSL Halftime Sponsorship 2026"/>
    <s v="Billing Request- 00102112"/>
    <x v="9"/>
    <d v="2026-03-12T00:00:00"/>
    <d v="2026-03-23T00:00:00"/>
    <x v="0"/>
    <s v="a6JHn5137270"/>
    <x v="5"/>
    <s v="Apr"/>
    <s v="Invoice details mismatch with approved campaign."/>
    <n v="11"/>
    <x v="4"/>
    <x v="2"/>
    <x v="1"/>
    <x v="1"/>
  </r>
  <r>
    <x v="2"/>
    <s v="DirecTV NASCAR Campaign 2025"/>
    <s v="Billing Request- 00102113"/>
    <x v="4"/>
    <d v="2025-06-11T00:00:00"/>
    <d v="2025-08-09T00:00:00"/>
    <x v="2"/>
    <s v="a6JHn7355605"/>
    <x v="4"/>
    <s v="Sep"/>
    <s v="Agency submitted updated invoice mapping."/>
    <n v="59"/>
    <x v="1"/>
    <x v="9"/>
    <x v="0"/>
    <x v="0"/>
  </r>
  <r>
    <x v="0"/>
    <s v="NBA Playoffs Campaign 2025"/>
    <s v="Billing Request- 00102114"/>
    <x v="6"/>
    <d v="2025-02-01T00:00:00"/>
    <d v="2025-03-04T00:00:00"/>
    <x v="0"/>
    <s v="a6JHn5884127"/>
    <x v="4"/>
    <s v="Aug"/>
    <s v="Incorrect legal terms delayed PTS."/>
    <n v="31"/>
    <x v="1"/>
    <x v="6"/>
    <x v="2"/>
    <x v="0"/>
  </r>
  <r>
    <x v="0"/>
    <s v="Amazon NBA Live Sports 2025"/>
    <s v="Billing Request- 00102115"/>
    <x v="9"/>
    <d v="2025-10-03T00:00:00"/>
    <d v="2026-01-29T00:00:00"/>
    <x v="2"/>
    <s v="a6Jat8299487"/>
    <x v="4"/>
    <s v="Mar"/>
    <s v="Finance validation process delay."/>
    <n v="118"/>
    <x v="0"/>
    <x v="5"/>
    <x v="2"/>
    <x v="0"/>
  </r>
  <r>
    <x v="0"/>
    <s v="Amazon NBA Live Sports 2025"/>
    <s v="Billing Request- 00102117"/>
    <x v="7"/>
    <d v="2025-05-04T00:00:00"/>
    <d v="2025-07-19T00:00:00"/>
    <x v="2"/>
    <s v="a6Jat7647386"/>
    <x v="4"/>
    <s v="Dec"/>
    <s v="Client requested retroactive billing adjustments."/>
    <n v="76"/>
    <x v="0"/>
    <x v="4"/>
    <x v="2"/>
    <x v="0"/>
  </r>
  <r>
    <x v="0"/>
    <s v="Retail Media Expansion 2026"/>
    <s v="Billing Request- 00102118"/>
    <x v="5"/>
    <d v="2026-02-01T00:00:00"/>
    <d v="2026-05-08T00:00:00"/>
    <x v="2"/>
    <s v="a6JHn1127337"/>
    <x v="4"/>
    <s v="Feb"/>
    <s v="Missing supporting documentation from vendor."/>
    <n v="96"/>
    <x v="0"/>
    <x v="1"/>
    <x v="3"/>
    <x v="1"/>
  </r>
  <r>
    <x v="0"/>
    <s v="NFL Prime Video 2025"/>
    <s v="Billing Request- 00102120"/>
    <x v="9"/>
    <d v="2025-01-02T00:00:00"/>
    <d v="2025-01-10T00:00:00"/>
    <x v="0"/>
    <s v="a6JHn2668494"/>
    <x v="4"/>
    <s v="Jun"/>
    <s v="Invoice details mismatch with approved campaign."/>
    <n v="8"/>
    <x v="4"/>
    <x v="0"/>
    <x v="3"/>
    <x v="0"/>
  </r>
  <r>
    <x v="0"/>
    <s v="NWSL Halftime Sponsorship 2025"/>
    <s v="Billing Request- 00102121"/>
    <x v="4"/>
    <d v="2025-12-13T00:00:00"/>
    <d v="2026-01-18T00:00:00"/>
    <x v="2"/>
    <s v="a6JXt6185910"/>
    <x v="2"/>
    <s v="May; Jun"/>
    <s v="Agency submitted updated invoice mapping."/>
    <n v="36"/>
    <x v="1"/>
    <x v="11"/>
    <x v="1"/>
    <x v="0"/>
  </r>
  <r>
    <x v="0"/>
    <s v="NASCAR Apex 2025 2026"/>
    <s v="Billing Request- 00102123"/>
    <x v="4"/>
    <d v="2026-01-20T00:00:00"/>
    <d v="2026-02-26T00:00:00"/>
    <x v="0"/>
    <s v="a6Jat8448041"/>
    <x v="1"/>
    <s v="Apr"/>
    <s v="Late media plan changes from client."/>
    <n v="37"/>
    <x v="1"/>
    <x v="7"/>
    <x v="0"/>
    <x v="1"/>
  </r>
  <r>
    <x v="3"/>
    <s v="Confluence Academy 2026"/>
    <s v="Billing Request- 00102124"/>
    <x v="9"/>
    <d v="2026-04-01T00:00:00"/>
    <d v="2026-04-27T00:00:00"/>
    <x v="0"/>
    <s v="a6JHn8179108"/>
    <x v="2"/>
    <s v="Mar; Apr"/>
    <s v="Invoice details mismatch with approved campaign."/>
    <n v="26"/>
    <x v="3"/>
    <x v="10"/>
    <x v="3"/>
    <x v="1"/>
  </r>
  <r>
    <x v="0"/>
    <s v="Amazon TNF 2024 2025"/>
    <s v="Billing Request- 00102126"/>
    <x v="9"/>
    <d v="2025-07-28T00:00:00"/>
    <d v="2025-10-21T00:00:00"/>
    <x v="2"/>
    <s v="a6JXt2910542"/>
    <x v="0"/>
    <s v="Nov; Dec"/>
    <s v="Finance validation process delay."/>
    <n v="85"/>
    <x v="0"/>
    <x v="12"/>
    <x v="4"/>
    <x v="0"/>
  </r>
  <r>
    <x v="4"/>
    <s v="Amazon NBA Live Sports 2025"/>
    <s v="Billing Request- 00102128"/>
    <x v="6"/>
    <d v="2025-02-06T00:00:00"/>
    <d v="2025-05-29T00:00:00"/>
    <x v="2"/>
    <s v="a6JHn9600483"/>
    <x v="0"/>
    <s v="Aug"/>
    <s v="Finance validation process delay."/>
    <n v="112"/>
    <x v="0"/>
    <x v="6"/>
    <x v="2"/>
    <x v="0"/>
  </r>
  <r>
    <x v="0"/>
    <s v="NBA Playoffs Campaign 2025"/>
    <s v="Billing Request- 00102130"/>
    <x v="9"/>
    <d v="2025-10-03T00:00:00"/>
    <d v="2025-12-15T00:00:00"/>
    <x v="2"/>
    <s v="a6Jat5356256"/>
    <x v="3"/>
    <s v="Sep; Oct"/>
    <s v="Missing supporting documentation from vendor."/>
    <n v="73"/>
    <x v="0"/>
    <x v="5"/>
    <x v="2"/>
    <x v="0"/>
  </r>
  <r>
    <x v="0"/>
    <s v="NWSL Prime Video 2025"/>
    <s v="Billing Request- 00102131"/>
    <x v="9"/>
    <d v="2025-04-17T00:00:00"/>
    <d v="2025-05-04T00:00:00"/>
    <x v="0"/>
    <s v="a6Jat9337140"/>
    <x v="3"/>
    <s v="Mar"/>
    <s v="Invoice details mismatch with approved campaign."/>
    <n v="17"/>
    <x v="3"/>
    <x v="3"/>
    <x v="1"/>
    <x v="0"/>
  </r>
  <r>
    <x v="0"/>
    <s v="Amazon TNF 2024 2026"/>
    <s v="Billing Request- 00102132"/>
    <x v="6"/>
    <d v="2026-02-05T00:00:00"/>
    <d v="2026-02-11T00:00:00"/>
    <x v="0"/>
    <s v="a6Jat7506795"/>
    <x v="4"/>
    <s v="Mar; Apr"/>
    <s v="Missing supporting documentation from vendor."/>
    <n v="6"/>
    <x v="2"/>
    <x v="1"/>
    <x v="4"/>
    <x v="1"/>
  </r>
  <r>
    <x v="2"/>
    <s v="NWSL Prime Video 2025"/>
    <s v="Billing Request- 00102134"/>
    <x v="2"/>
    <d v="2025-07-07T00:00:00"/>
    <d v="2025-10-02T00:00:00"/>
    <x v="2"/>
    <s v="a6JHn7890951"/>
    <x v="5"/>
    <s v="May; Jun"/>
    <s v=""/>
    <n v="87"/>
    <x v="0"/>
    <x v="12"/>
    <x v="1"/>
    <x v="0"/>
  </r>
  <r>
    <x v="1"/>
    <s v="NWSL Halftime Sponsorship 2025"/>
    <s v="Billing Request- 00102136"/>
    <x v="6"/>
    <d v="2025-06-11T00:00:00"/>
    <d v="2025-06-12T00:00:00"/>
    <x v="2"/>
    <s v="a6JHn9956212"/>
    <x v="1"/>
    <s v="Apr"/>
    <s v="Agency submitted updated invoice mapping."/>
    <n v="1"/>
    <x v="2"/>
    <x v="9"/>
    <x v="1"/>
    <x v="0"/>
  </r>
  <r>
    <x v="0"/>
    <s v="NWSL Halftime Sponsorship 2026"/>
    <s v="Billing Request- 00102137"/>
    <x v="5"/>
    <d v="2026-01-14T00:00:00"/>
    <d v="2026-05-05T00:00:00"/>
    <x v="0"/>
    <s v="a6JXt9257578"/>
    <x v="5"/>
    <s v="Aug"/>
    <s v="Invoice details mismatch with approved campaign."/>
    <n v="111"/>
    <x v="0"/>
    <x v="7"/>
    <x v="1"/>
    <x v="1"/>
  </r>
  <r>
    <x v="0"/>
    <s v="Retail Media Expansion 2025"/>
    <s v="Billing Request- 00102138"/>
    <x v="5"/>
    <d v="2025-11-11T00:00:00"/>
    <d v="2026-01-07T00:00:00"/>
    <x v="0"/>
    <s v="a6Jat2223884"/>
    <x v="5"/>
    <s v="Apr"/>
    <s v="Late media plan changes from client."/>
    <n v="57"/>
    <x v="1"/>
    <x v="15"/>
    <x v="3"/>
    <x v="0"/>
  </r>
  <r>
    <x v="0"/>
    <s v="NFL Prime Video 2025"/>
    <s v="Billing Request- 00102139"/>
    <x v="3"/>
    <d v="2025-12-03T00:00:00"/>
    <d v="2026-01-20T00:00:00"/>
    <x v="2"/>
    <s v="a6JHn8742166"/>
    <x v="1"/>
    <s v="Jan"/>
    <s v="Late media plan changes from client."/>
    <n v="48"/>
    <x v="1"/>
    <x v="11"/>
    <x v="3"/>
    <x v="0"/>
  </r>
  <r>
    <x v="0"/>
    <s v="NWSL Halftime Sponsorship 2026"/>
    <s v="Billing Request- 00102140"/>
    <x v="8"/>
    <d v="2026-05-07T00:00:00"/>
    <d v="2026-05-05T00:00:00"/>
    <x v="0"/>
    <s v="a6JHn1871401"/>
    <x v="6"/>
    <s v="Jul"/>
    <s v="Manual billing entry issue."/>
    <n v="-2"/>
    <x v="2"/>
    <x v="16"/>
    <x v="1"/>
    <x v="1"/>
  </r>
  <r>
    <x v="0"/>
    <s v="TNF Sponsorship 2025"/>
    <s v="Billing Request- 00102141"/>
    <x v="7"/>
    <d v="2025-09-29T00:00:00"/>
    <d v="2025-10-17T00:00:00"/>
    <x v="0"/>
    <s v="a6Jat5077123"/>
    <x v="0"/>
    <s v="May"/>
    <s v="Client requested retroactive billing adjustments."/>
    <n v="18"/>
    <x v="3"/>
    <x v="14"/>
    <x v="4"/>
    <x v="0"/>
  </r>
  <r>
    <x v="0"/>
    <s v="Prime Sports NFL 2026"/>
    <s v="Billing Request- 00102142"/>
    <x v="9"/>
    <d v="2026-03-11T00:00:00"/>
    <d v="2026-04-21T00:00:00"/>
    <x v="0"/>
    <s v="a6JHn1197144"/>
    <x v="4"/>
    <s v="Mar; Apr"/>
    <s v="Manual billing entry issue."/>
    <n v="41"/>
    <x v="1"/>
    <x v="2"/>
    <x v="3"/>
    <x v="1"/>
  </r>
  <r>
    <x v="0"/>
    <s v="WNBA Incremental Scatter 2025"/>
    <s v="Billing Request- 00102143"/>
    <x v="4"/>
    <d v="2025-09-24T00:00:00"/>
    <d v="2025-11-18T00:00:00"/>
    <x v="1"/>
    <s v="a6Jat1454102"/>
    <x v="2"/>
    <s v="Sep; Oct"/>
    <s v="Late media plan changes from client."/>
    <n v="55"/>
    <x v="1"/>
    <x v="14"/>
    <x v="2"/>
    <x v="0"/>
  </r>
  <r>
    <x v="0"/>
    <s v="NWSL Prime Video 2025"/>
    <s v="Billing Request- 00102144"/>
    <x v="7"/>
    <d v="2025-05-18T00:00:00"/>
    <d v="2025-06-04T00:00:00"/>
    <x v="0"/>
    <s v="a6Jat4432496"/>
    <x v="0"/>
    <s v="May; Jun"/>
    <s v="Missing supporting documentation from vendor."/>
    <n v="17"/>
    <x v="3"/>
    <x v="4"/>
    <x v="1"/>
    <x v="0"/>
  </r>
  <r>
    <x v="0"/>
    <s v="NWSL Halftime Sponsorship 2025"/>
    <s v="Billing Request- 00102146"/>
    <x v="0"/>
    <d v="2025-05-27T00:00:00"/>
    <d v="2025-09-19T00:00:00"/>
    <x v="1"/>
    <s v="a6JHn5696475"/>
    <x v="2"/>
    <s v="Feb"/>
    <s v="Incorrect legal terms delayed PTS."/>
    <n v="115"/>
    <x v="0"/>
    <x v="4"/>
    <x v="1"/>
    <x v="0"/>
  </r>
  <r>
    <x v="0"/>
    <s v="Global Consumer Products 2026"/>
    <s v="Billing Request- 00102147"/>
    <x v="6"/>
    <d v="2026-02-07T00:00:00"/>
    <d v="2026-03-13T00:00:00"/>
    <x v="2"/>
    <s v="a6JXt4609600"/>
    <x v="6"/>
    <s v="Jan"/>
    <s v="Incorrect legal terms delayed PTS."/>
    <n v="34"/>
    <x v="1"/>
    <x v="1"/>
    <x v="3"/>
    <x v="1"/>
  </r>
  <r>
    <x v="0"/>
    <s v="TNF Sponsorship 2025"/>
    <s v="Billing Request- 00102149"/>
    <x v="2"/>
    <d v="2025-10-23T00:00:00"/>
    <d v="2026-01-13T00:00:00"/>
    <x v="2"/>
    <s v="a6JHn2030722"/>
    <x v="4"/>
    <s v="Mar"/>
    <s v="Invoice details mismatch with approved campaign."/>
    <n v="82"/>
    <x v="0"/>
    <x v="5"/>
    <x v="4"/>
    <x v="0"/>
  </r>
  <r>
    <x v="4"/>
    <s v="NFL Prime Video 2025"/>
    <s v="Billing Request- 00102150"/>
    <x v="2"/>
    <d v="2025-09-18T00:00:00"/>
    <d v="2025-11-01T00:00:00"/>
    <x v="2"/>
    <s v="a6JXt2728520"/>
    <x v="5"/>
    <s v="Jul"/>
    <s v="Finance validation process delay."/>
    <n v="44"/>
    <x v="1"/>
    <x v="14"/>
    <x v="3"/>
    <x v="0"/>
  </r>
  <r>
    <x v="0"/>
    <s v="Confluence Academy 2025"/>
    <s v="Billing Request- 00102151"/>
    <x v="9"/>
    <d v="2025-06-13T00:00:00"/>
    <d v="2025-07-29T00:00:00"/>
    <x v="0"/>
    <s v="a6Jat2729886"/>
    <x v="5"/>
    <s v="Nov"/>
    <s v="Missing supporting documentation from vendor."/>
    <n v="46"/>
    <x v="1"/>
    <x v="9"/>
    <x v="3"/>
    <x v="0"/>
  </r>
  <r>
    <x v="0"/>
    <s v="Prime Sports NFL 2026"/>
    <s v="Billing Request- 00102153"/>
    <x v="3"/>
    <d v="2026-02-22T00:00:00"/>
    <d v="2026-04-25T00:00:00"/>
    <x v="2"/>
    <s v="a6JHn8118459"/>
    <x v="0"/>
    <s v="Apr"/>
    <s v="Incorrect legal terms delayed PTS."/>
    <n v="62"/>
    <x v="0"/>
    <x v="1"/>
    <x v="3"/>
    <x v="1"/>
  </r>
  <r>
    <x v="0"/>
    <s v="NWSL Prime Video 2025"/>
    <s v="Billing Request- 00102154"/>
    <x v="7"/>
    <d v="2025-08-29T00:00:00"/>
    <d v="2025-12-13T00:00:00"/>
    <x v="0"/>
    <s v="a6JXt4388404"/>
    <x v="4"/>
    <s v="Mar; Apr"/>
    <s v="Incorrect legal terms delayed PTS."/>
    <n v="106"/>
    <x v="0"/>
    <x v="8"/>
    <x v="1"/>
    <x v="0"/>
  </r>
  <r>
    <x v="0"/>
    <s v="NASCAR P&amp;Q 2025"/>
    <s v="Billing Request- 00102155"/>
    <x v="7"/>
    <d v="2025-01-22T00:00:00"/>
    <d v="2025-04-25T00:00:00"/>
    <x v="1"/>
    <s v="a6Jat7290180"/>
    <x v="3"/>
    <s v="Dec"/>
    <s v=""/>
    <n v="93"/>
    <x v="0"/>
    <x v="0"/>
    <x v="0"/>
    <x v="0"/>
  </r>
  <r>
    <x v="0"/>
    <s v="NWSL Prime Video 2025"/>
    <s v="Billing Request- 00102158"/>
    <x v="7"/>
    <d v="2025-05-18T00:00:00"/>
    <d v="2025-09-14T00:00:00"/>
    <x v="2"/>
    <s v="a6Jat1072149"/>
    <x v="6"/>
    <s v="May"/>
    <s v=""/>
    <n v="119"/>
    <x v="0"/>
    <x v="4"/>
    <x v="1"/>
    <x v="0"/>
  </r>
  <r>
    <x v="0"/>
    <s v="NWSL Halftime Sponsorship 2025"/>
    <s v="Billing Request- 00102159"/>
    <x v="2"/>
    <d v="2025-03-22T00:00:00"/>
    <d v="2025-07-16T00:00:00"/>
    <x v="2"/>
    <s v="a6JXt4724182"/>
    <x v="3"/>
    <s v="Mar"/>
    <s v="Invoice details mismatch with approved campaign."/>
    <n v="116"/>
    <x v="0"/>
    <x v="13"/>
    <x v="1"/>
    <x v="0"/>
  </r>
  <r>
    <x v="3"/>
    <s v="NASCAR P&amp;Q 2026"/>
    <s v="Billing Request- 00102160"/>
    <x v="1"/>
    <d v="2026-01-16T00:00:00"/>
    <d v="2026-02-07T00:00:00"/>
    <x v="2"/>
    <s v="a6JHn8154964"/>
    <x v="4"/>
    <s v="Jan"/>
    <s v=""/>
    <n v="22"/>
    <x v="3"/>
    <x v="7"/>
    <x v="0"/>
    <x v="1"/>
  </r>
  <r>
    <x v="0"/>
    <s v="Prime Sports NFL 2025"/>
    <s v="Billing Request- 00102161"/>
    <x v="7"/>
    <d v="2025-04-08T00:00:00"/>
    <d v="2025-08-04T00:00:00"/>
    <x v="0"/>
    <s v="a6Jat8661818"/>
    <x v="5"/>
    <s v="Jun"/>
    <s v="Finance validation process delay."/>
    <n v="118"/>
    <x v="0"/>
    <x v="3"/>
    <x v="3"/>
    <x v="0"/>
  </r>
  <r>
    <x v="3"/>
    <s v="Amazon TNF 2024 2026"/>
    <s v="Billing Request- 00102162"/>
    <x v="5"/>
    <d v="2026-05-01T00:00:00"/>
    <d v="2026-05-04T00:00:00"/>
    <x v="2"/>
    <s v="a6Jat6352593"/>
    <x v="2"/>
    <s v="Jul; Aug"/>
    <s v=""/>
    <n v="3"/>
    <x v="2"/>
    <x v="16"/>
    <x v="4"/>
    <x v="1"/>
  </r>
  <r>
    <x v="0"/>
    <s v="Confluence Academy 2026"/>
    <s v="Billing Request- 00102163"/>
    <x v="4"/>
    <d v="2026-02-20T00:00:00"/>
    <d v="2026-02-21T00:00:00"/>
    <x v="0"/>
    <s v="a6Jat2227813"/>
    <x v="1"/>
    <s v="May"/>
    <s v="Late media plan changes from client."/>
    <n v="1"/>
    <x v="2"/>
    <x v="1"/>
    <x v="3"/>
    <x v="1"/>
  </r>
  <r>
    <x v="0"/>
    <s v="NWSL Prime Video 2026"/>
    <s v="Billing Request- 00102166"/>
    <x v="3"/>
    <d v="2026-04-14T00:00:00"/>
    <d v="2026-05-06T00:00:00"/>
    <x v="2"/>
    <s v="a6JXt7335540"/>
    <x v="1"/>
    <s v="Aug"/>
    <s v="Manual billing entry issue."/>
    <n v="22"/>
    <x v="3"/>
    <x v="10"/>
    <x v="1"/>
    <x v="1"/>
  </r>
  <r>
    <x v="0"/>
    <s v="WNBA Incremental Scatter 2026"/>
    <s v="Billing Request- 00102168"/>
    <x v="8"/>
    <d v="2026-02-21T00:00:00"/>
    <d v="2026-05-08T00:00:00"/>
    <x v="0"/>
    <s v="a6Jat1222888"/>
    <x v="6"/>
    <s v="Dec"/>
    <s v="Late media plan changes from client."/>
    <n v="76"/>
    <x v="0"/>
    <x v="1"/>
    <x v="2"/>
    <x v="1"/>
  </r>
  <r>
    <x v="0"/>
    <s v="Amazon TNF 2024 2025"/>
    <s v="Billing Request- 00102169"/>
    <x v="1"/>
    <d v="2025-05-05T00:00:00"/>
    <d v="2025-06-28T00:00:00"/>
    <x v="0"/>
    <s v="a6JXt2917457"/>
    <x v="3"/>
    <s v="Feb"/>
    <s v="Incorrect legal terms delayed PTS."/>
    <n v="54"/>
    <x v="1"/>
    <x v="4"/>
    <x v="4"/>
    <x v="0"/>
  </r>
  <r>
    <x v="0"/>
    <s v="Retail Media Expansion 2026"/>
    <s v="Billing Request- 00102171"/>
    <x v="6"/>
    <d v="2026-03-28T00:00:00"/>
    <d v="2026-05-06T00:00:00"/>
    <x v="2"/>
    <s v="a6JXt4473152"/>
    <x v="0"/>
    <s v="Mar"/>
    <s v="Agency submitted updated invoice mapping."/>
    <n v="39"/>
    <x v="1"/>
    <x v="2"/>
    <x v="3"/>
    <x v="1"/>
  </r>
  <r>
    <x v="3"/>
    <s v="WNBA Incremental Scatter 2025"/>
    <s v="Billing Request- 00102173"/>
    <x v="9"/>
    <d v="2025-05-03T00:00:00"/>
    <d v="2025-08-15T00:00:00"/>
    <x v="2"/>
    <s v="a6JHn3327151"/>
    <x v="0"/>
    <s v="Dec"/>
    <s v="Agency submitted updated invoice mapping."/>
    <n v="104"/>
    <x v="0"/>
    <x v="4"/>
    <x v="2"/>
    <x v="0"/>
  </r>
  <r>
    <x v="0"/>
    <s v="NWSL Prime Video 2026"/>
    <s v="Billing Request- 00102174"/>
    <x v="5"/>
    <d v="2026-02-06T00:00:00"/>
    <d v="2026-03-18T00:00:00"/>
    <x v="0"/>
    <s v="a6Jat9356059"/>
    <x v="3"/>
    <s v="Jan"/>
    <s v="Client requested retroactive billing adjustments."/>
    <n v="40"/>
    <x v="1"/>
    <x v="1"/>
    <x v="1"/>
    <x v="1"/>
  </r>
  <r>
    <x v="0"/>
    <s v="Streaming Bundle Initiative 2026"/>
    <s v="Billing Request- 00102175"/>
    <x v="4"/>
    <d v="2026-02-06T00:00:00"/>
    <d v="2026-02-09T00:00:00"/>
    <x v="2"/>
    <s v="a6JXt7324847"/>
    <x v="3"/>
    <s v="Mar"/>
    <s v="Client requested retroactive billing adjustments."/>
    <n v="3"/>
    <x v="2"/>
    <x v="1"/>
    <x v="3"/>
    <x v="1"/>
  </r>
  <r>
    <x v="0"/>
    <s v="NBA Playoffs Campaign 2025"/>
    <s v="Billing Request- 00102176"/>
    <x v="4"/>
    <d v="2025-06-23T00:00:00"/>
    <d v="2025-07-29T00:00:00"/>
    <x v="2"/>
    <s v="a6JXt4404402"/>
    <x v="2"/>
    <s v="Jul"/>
    <s v="Manual billing entry issue."/>
    <n v="36"/>
    <x v="1"/>
    <x v="9"/>
    <x v="2"/>
    <x v="0"/>
  </r>
  <r>
    <x v="0"/>
    <s v="Amazon NBA Live Sports 2025"/>
    <s v="Billing Request- 00102177"/>
    <x v="1"/>
    <d v="2025-08-04T00:00:00"/>
    <d v="2025-11-21T00:00:00"/>
    <x v="0"/>
    <s v="a6Jat1215813"/>
    <x v="6"/>
    <s v="Feb"/>
    <s v="Client requested retroactive billing adjustments."/>
    <n v="109"/>
    <x v="0"/>
    <x v="8"/>
    <x v="2"/>
    <x v="0"/>
  </r>
  <r>
    <x v="0"/>
    <s v="Retail Media Expansion 2025"/>
    <s v="Billing Request- 00102178"/>
    <x v="2"/>
    <d v="2025-09-27T00:00:00"/>
    <d v="2026-01-11T00:00:00"/>
    <x v="2"/>
    <s v="a6Jat1059584"/>
    <x v="1"/>
    <s v="Nov; Dec"/>
    <s v="Client requested retroactive billing adjustments."/>
    <n v="106"/>
    <x v="0"/>
    <x v="14"/>
    <x v="3"/>
    <x v="0"/>
  </r>
  <r>
    <x v="0"/>
    <s v="Amazon NBA Live Sports 2026"/>
    <s v="Billing Request- 00102181"/>
    <x v="8"/>
    <d v="2026-01-22T00:00:00"/>
    <d v="2026-02-09T00:00:00"/>
    <x v="2"/>
    <s v="a6JXt6085171"/>
    <x v="2"/>
    <s v="Sep"/>
    <s v="Finance validation process delay."/>
    <n v="18"/>
    <x v="3"/>
    <x v="7"/>
    <x v="2"/>
    <x v="1"/>
  </r>
  <r>
    <x v="1"/>
    <s v="WNBA Incremental Scatter 2026"/>
    <s v="Billing Request- 00102182"/>
    <x v="6"/>
    <d v="2026-03-30T00:00:00"/>
    <d v="2026-05-04T00:00:00"/>
    <x v="0"/>
    <s v="a6Jat1609614"/>
    <x v="2"/>
    <s v="Nov; Dec"/>
    <s v="Manual billing entry issue."/>
    <n v="35"/>
    <x v="1"/>
    <x v="2"/>
    <x v="2"/>
    <x v="1"/>
  </r>
  <r>
    <x v="0"/>
    <s v="Streaming Bundle Initiative 2025"/>
    <s v="Billing Request- 00102183"/>
    <x v="2"/>
    <d v="2025-05-06T00:00:00"/>
    <d v="2025-05-08T00:00:00"/>
    <x v="2"/>
    <s v="a6JHn9453001"/>
    <x v="4"/>
    <s v="Apr"/>
    <s v=""/>
    <n v="2"/>
    <x v="2"/>
    <x v="4"/>
    <x v="3"/>
    <x v="0"/>
  </r>
  <r>
    <x v="0"/>
    <s v="NASCAR P&amp;Q 2025"/>
    <s v="Billing Request- 00102184"/>
    <x v="6"/>
    <d v="2025-03-05T00:00:00"/>
    <d v="2025-06-09T00:00:00"/>
    <x v="2"/>
    <s v="a6JHn7848323"/>
    <x v="2"/>
    <s v="Jan"/>
    <s v="Incorrect legal terms delayed PTS."/>
    <n v="96"/>
    <x v="0"/>
    <x v="13"/>
    <x v="0"/>
    <x v="0"/>
  </r>
  <r>
    <x v="0"/>
    <s v="NWSL Halftime Sponsorship 2025"/>
    <s v="Billing Request- 00102185"/>
    <x v="3"/>
    <d v="2025-09-06T00:00:00"/>
    <d v="2025-10-31T00:00:00"/>
    <x v="2"/>
    <s v="a6Jat9904849"/>
    <x v="1"/>
    <s v="Jul"/>
    <s v="Missing supporting documentation from vendor."/>
    <n v="55"/>
    <x v="1"/>
    <x v="14"/>
    <x v="1"/>
    <x v="0"/>
  </r>
  <r>
    <x v="0"/>
    <s v="NASCAR P&amp;Q 2026"/>
    <s v="Billing Request- 00102186"/>
    <x v="8"/>
    <d v="2026-04-21T00:00:00"/>
    <d v="2026-05-05T00:00:00"/>
    <x v="0"/>
    <s v="a6JXt3708933"/>
    <x v="0"/>
    <s v="Jun"/>
    <s v="Agency submitted updated invoice mapping."/>
    <n v="14"/>
    <x v="4"/>
    <x v="10"/>
    <x v="0"/>
    <x v="1"/>
  </r>
  <r>
    <x v="0"/>
    <s v="NWSL Prime Video 2025"/>
    <s v="Billing Request- 00102189"/>
    <x v="9"/>
    <d v="2025-11-15T00:00:00"/>
    <d v="2026-01-16T00:00:00"/>
    <x v="2"/>
    <s v="a6JXt9321592"/>
    <x v="3"/>
    <s v="Jan"/>
    <s v=""/>
    <n v="62"/>
    <x v="0"/>
    <x v="15"/>
    <x v="1"/>
    <x v="0"/>
  </r>
  <r>
    <x v="0"/>
    <s v="TNF Sponsorship 2026"/>
    <s v="Billing Request- 00102190"/>
    <x v="1"/>
    <d v="2026-04-05T00:00:00"/>
    <d v="2026-05-05T00:00:00"/>
    <x v="2"/>
    <s v="a6JXt5880639"/>
    <x v="1"/>
    <s v="May; Jun"/>
    <s v="Incorrect legal terms delayed PTS."/>
    <n v="30"/>
    <x v="3"/>
    <x v="10"/>
    <x v="4"/>
    <x v="1"/>
  </r>
  <r>
    <x v="0"/>
    <s v="Retail Media Expansion 2026"/>
    <s v="Billing Request- 00102191"/>
    <x v="9"/>
    <d v="2026-04-10T00:00:00"/>
    <d v="2026-05-06T00:00:00"/>
    <x v="1"/>
    <s v="a6Jat6913626"/>
    <x v="3"/>
    <s v="Mar"/>
    <s v=""/>
    <n v="26"/>
    <x v="3"/>
    <x v="10"/>
    <x v="3"/>
    <x v="1"/>
  </r>
  <r>
    <x v="0"/>
    <s v="TNF Sponsorship 2025"/>
    <s v="Billing Request- 00102192"/>
    <x v="4"/>
    <d v="2025-02-11T00:00:00"/>
    <d v="2025-05-05T00:00:00"/>
    <x v="2"/>
    <s v="a6JXt7057598"/>
    <x v="6"/>
    <s v="Jun"/>
    <s v="Late media plan changes from client."/>
    <n v="83"/>
    <x v="0"/>
    <x v="6"/>
    <x v="4"/>
    <x v="0"/>
  </r>
  <r>
    <x v="0"/>
    <s v="Amazon TNF 2024 2026"/>
    <s v="Billing Request- 00102194"/>
    <x v="1"/>
    <d v="2026-02-20T00:00:00"/>
    <d v="2026-02-23T00:00:00"/>
    <x v="2"/>
    <s v="a6JXt1221337"/>
    <x v="2"/>
    <s v="Sep; Oct"/>
    <s v="Missing supporting documentation from vendor."/>
    <n v="3"/>
    <x v="2"/>
    <x v="1"/>
    <x v="4"/>
    <x v="1"/>
  </r>
  <r>
    <x v="0"/>
    <s v="NASCAR P&amp;Q 2026"/>
    <s v="Billing Request- 00102195"/>
    <x v="5"/>
    <d v="2026-01-10T00:00:00"/>
    <d v="2026-03-15T00:00:00"/>
    <x v="1"/>
    <s v="a6JHn6781924"/>
    <x v="4"/>
    <s v="Jun"/>
    <s v="Manual billing entry issue."/>
    <n v="64"/>
    <x v="0"/>
    <x v="7"/>
    <x v="0"/>
    <x v="1"/>
  </r>
  <r>
    <x v="0"/>
    <s v="Amazon TNF 2024 2026"/>
    <s v="Billing Request- 00102196"/>
    <x v="7"/>
    <d v="2026-04-15T00:00:00"/>
    <d v="2026-05-08T00:00:00"/>
    <x v="0"/>
    <s v="a6Jat9363019"/>
    <x v="6"/>
    <s v="May"/>
    <s v="Late media plan changes from client."/>
    <n v="23"/>
    <x v="3"/>
    <x v="10"/>
    <x v="4"/>
    <x v="1"/>
  </r>
  <r>
    <x v="0"/>
    <s v="NWSL Halftime Sponsorship 2026"/>
    <s v="Billing Request- 00102197"/>
    <x v="7"/>
    <d v="2026-04-09T00:00:00"/>
    <d v="2026-05-04T00:00:00"/>
    <x v="0"/>
    <s v="a6JHn7098183"/>
    <x v="0"/>
    <s v="Oct"/>
    <s v="Client requested retroactive billing adjustments."/>
    <n v="25"/>
    <x v="3"/>
    <x v="10"/>
    <x v="1"/>
    <x v="1"/>
  </r>
  <r>
    <x v="0"/>
    <s v="TNF Sponsorship 2025"/>
    <s v="Billing Request- 00102198"/>
    <x v="9"/>
    <d v="2025-06-17T00:00:00"/>
    <d v="2025-08-20T00:00:00"/>
    <x v="1"/>
    <s v="a6JXt7165267"/>
    <x v="2"/>
    <s v="Jul; Aug"/>
    <s v="Late media plan changes from client."/>
    <n v="64"/>
    <x v="0"/>
    <x v="9"/>
    <x v="4"/>
    <x v="0"/>
  </r>
  <r>
    <x v="0"/>
    <s v="Streaming Bundle Initiative 2025"/>
    <s v="Billing Request- 00102200"/>
    <x v="3"/>
    <d v="2025-08-08T00:00:00"/>
    <d v="2025-12-01T00:00:00"/>
    <x v="0"/>
    <s v="a6Jat5490723"/>
    <x v="4"/>
    <s v="Oct"/>
    <s v=""/>
    <n v="115"/>
    <x v="0"/>
    <x v="8"/>
    <x v="3"/>
    <x v="0"/>
  </r>
  <r>
    <x v="0"/>
    <s v="DirecTV NASCAR Campaign 2025"/>
    <s v="Billing Request- 00102201"/>
    <x v="8"/>
    <d v="2025-04-28T00:00:00"/>
    <d v="2025-07-22T00:00:00"/>
    <x v="2"/>
    <s v="a6Jat7987558"/>
    <x v="4"/>
    <s v="Mar; Apr"/>
    <s v="Missing supporting documentation from vendor."/>
    <n v="85"/>
    <x v="0"/>
    <x v="3"/>
    <x v="0"/>
    <x v="0"/>
  </r>
  <r>
    <x v="3"/>
    <s v="WNBA Incremental Scatter 2026"/>
    <s v="Billing Request- 00102202"/>
    <x v="3"/>
    <d v="2026-03-22T00:00:00"/>
    <d v="2026-04-22T00:00:00"/>
    <x v="0"/>
    <s v="a6JHn7122318"/>
    <x v="0"/>
    <s v="Jan"/>
    <s v=""/>
    <n v="31"/>
    <x v="1"/>
    <x v="2"/>
    <x v="2"/>
    <x v="1"/>
  </r>
  <r>
    <x v="0"/>
    <s v="Amazon NBA Live Sports 2026"/>
    <s v="Billing Request- 00102203"/>
    <x v="2"/>
    <d v="2026-03-16T00:00:00"/>
    <d v="2026-04-17T00:00:00"/>
    <x v="2"/>
    <s v="a6Jat5224876"/>
    <x v="4"/>
    <s v="Mar; Apr"/>
    <s v="Invoice details mismatch with approved campaign."/>
    <n v="32"/>
    <x v="1"/>
    <x v="2"/>
    <x v="2"/>
    <x v="1"/>
  </r>
  <r>
    <x v="0"/>
    <s v="TNF Sponsorship 2026"/>
    <s v="Billing Request- 00102204"/>
    <x v="0"/>
    <d v="2026-01-09T00:00:00"/>
    <d v="2026-02-24T00:00:00"/>
    <x v="2"/>
    <s v="a6JXt1534875"/>
    <x v="4"/>
    <s v="Nov; Dec"/>
    <s v="Late media plan changes from client."/>
    <n v="46"/>
    <x v="1"/>
    <x v="7"/>
    <x v="4"/>
    <x v="1"/>
  </r>
  <r>
    <x v="0"/>
    <s v="Amazon TNF 2024 2025"/>
    <s v="Billing Request- 00102205"/>
    <x v="0"/>
    <d v="2025-03-26T00:00:00"/>
    <d v="2025-06-28T00:00:00"/>
    <x v="2"/>
    <s v="a6JXt4290868"/>
    <x v="6"/>
    <s v="May; Jun"/>
    <s v="Finance validation process delay."/>
    <n v="94"/>
    <x v="0"/>
    <x v="13"/>
    <x v="4"/>
    <x v="0"/>
  </r>
  <r>
    <x v="0"/>
    <s v="NASCAR P&amp;Q 2025"/>
    <s v="Billing Request- 00102207"/>
    <x v="2"/>
    <d v="2025-06-21T00:00:00"/>
    <d v="2025-09-01T00:00:00"/>
    <x v="0"/>
    <s v="a6JXt1081630"/>
    <x v="3"/>
    <s v="Jan"/>
    <s v="Agency submitted updated invoice mapping."/>
    <n v="72"/>
    <x v="0"/>
    <x v="9"/>
    <x v="0"/>
    <x v="0"/>
  </r>
  <r>
    <x v="0"/>
    <s v="NBA League Pass 2026"/>
    <s v="Billing Request- 00102208"/>
    <x v="7"/>
    <d v="2026-01-25T00:00:00"/>
    <d v="2026-03-06T00:00:00"/>
    <x v="2"/>
    <s v="a6JHn5442996"/>
    <x v="1"/>
    <s v="Aug"/>
    <s v="Finance validation process delay."/>
    <n v="40"/>
    <x v="1"/>
    <x v="7"/>
    <x v="2"/>
    <x v="1"/>
  </r>
  <r>
    <x v="0"/>
    <s v="Amazon TNF 2024 2025"/>
    <s v="Billing Request- 00102209"/>
    <x v="2"/>
    <d v="2025-06-19T00:00:00"/>
    <d v="2025-07-14T00:00:00"/>
    <x v="2"/>
    <s v="a6JHn1489768"/>
    <x v="1"/>
    <s v="Jun"/>
    <s v="Missing supporting documentation from vendor."/>
    <n v="25"/>
    <x v="3"/>
    <x v="9"/>
    <x v="4"/>
    <x v="0"/>
  </r>
  <r>
    <x v="0"/>
    <s v="NASCAR P&amp;Q 2025"/>
    <s v="Billing Request- 00102210"/>
    <x v="6"/>
    <d v="2025-08-24T00:00:00"/>
    <d v="2025-12-07T00:00:00"/>
    <x v="0"/>
    <s v="a6JHn4073227"/>
    <x v="6"/>
    <s v="Feb"/>
    <s v=""/>
    <n v="105"/>
    <x v="0"/>
    <x v="8"/>
    <x v="0"/>
    <x v="0"/>
  </r>
  <r>
    <x v="0"/>
    <s v="NBA League Pass 2025"/>
    <s v="Billing Request- 00102211"/>
    <x v="9"/>
    <d v="2025-04-25T00:00:00"/>
    <d v="2025-07-02T00:00:00"/>
    <x v="2"/>
    <s v="a6Jat5354426"/>
    <x v="6"/>
    <s v="Mar"/>
    <s v="Manual billing entry issue."/>
    <n v="68"/>
    <x v="0"/>
    <x v="3"/>
    <x v="2"/>
    <x v="0"/>
  </r>
  <r>
    <x v="4"/>
    <s v="NASCAR Apex 2025 2025"/>
    <s v="Billing Request- 00102212"/>
    <x v="8"/>
    <d v="2025-02-10T00:00:00"/>
    <d v="2025-04-13T00:00:00"/>
    <x v="2"/>
    <s v="a6JXt4689637"/>
    <x v="2"/>
    <s v="Feb"/>
    <s v="Missing supporting documentation from vendor."/>
    <n v="62"/>
    <x v="0"/>
    <x v="6"/>
    <x v="0"/>
    <x v="0"/>
  </r>
  <r>
    <x v="0"/>
    <s v="NWSL Halftime Sponsorship 2025"/>
    <s v="Billing Request- 00102214"/>
    <x v="9"/>
    <d v="2025-09-01T00:00:00"/>
    <d v="2025-10-19T00:00:00"/>
    <x v="2"/>
    <s v="a6Jat3915877"/>
    <x v="6"/>
    <s v="Sep; Oct"/>
    <s v="Late media plan changes from client."/>
    <n v="48"/>
    <x v="1"/>
    <x v="14"/>
    <x v="1"/>
    <x v="0"/>
  </r>
  <r>
    <x v="0"/>
    <s v="NWSL Prime Video 2025"/>
    <s v="Billing Request- 00102215"/>
    <x v="0"/>
    <d v="2025-09-19T00:00:00"/>
    <d v="2025-12-29T00:00:00"/>
    <x v="2"/>
    <s v="a6Jat8111802"/>
    <x v="4"/>
    <s v="Mar"/>
    <s v="Missing supporting documentation from vendor."/>
    <n v="101"/>
    <x v="0"/>
    <x v="14"/>
    <x v="1"/>
    <x v="0"/>
  </r>
  <r>
    <x v="3"/>
    <s v="NBA Playoffs Campaign 2025"/>
    <s v="Billing Request- 00102217"/>
    <x v="7"/>
    <d v="2025-10-30T00:00:00"/>
    <d v="2026-01-08T00:00:00"/>
    <x v="0"/>
    <s v="a6JHn8393940"/>
    <x v="2"/>
    <s v="Apr"/>
    <s v="Agency submitted updated invoice mapping."/>
    <n v="70"/>
    <x v="0"/>
    <x v="5"/>
    <x v="2"/>
    <x v="0"/>
  </r>
  <r>
    <x v="0"/>
    <s v="WNBA Incremental Scatter 2026"/>
    <s v="Billing Request- 00102218"/>
    <x v="5"/>
    <d v="2026-02-25T00:00:00"/>
    <d v="2026-04-02T00:00:00"/>
    <x v="2"/>
    <s v="a6Jat5894791"/>
    <x v="6"/>
    <s v="May"/>
    <s v="Invoice details mismatch with approved campaign."/>
    <n v="36"/>
    <x v="1"/>
    <x v="1"/>
    <x v="2"/>
    <x v="1"/>
  </r>
  <r>
    <x v="0"/>
    <s v="NASCAR Apex 2025 2025"/>
    <s v="Billing Request- 00102219"/>
    <x v="7"/>
    <d v="2025-05-05T00:00:00"/>
    <d v="2025-06-26T00:00:00"/>
    <x v="0"/>
    <s v="a6JXt3947827"/>
    <x v="6"/>
    <s v="Aug"/>
    <s v="Late media plan changes from client."/>
    <n v="52"/>
    <x v="1"/>
    <x v="4"/>
    <x v="0"/>
    <x v="0"/>
  </r>
  <r>
    <x v="3"/>
    <s v="NASCAR P&amp;Q 2025"/>
    <s v="Billing Request- 00102221"/>
    <x v="2"/>
    <d v="2025-05-27T00:00:00"/>
    <d v="2025-08-16T00:00:00"/>
    <x v="2"/>
    <s v="a6JXt4407843"/>
    <x v="4"/>
    <s v="Mar; Apr"/>
    <s v="Invoice details mismatch with approved campaign."/>
    <n v="81"/>
    <x v="0"/>
    <x v="4"/>
    <x v="0"/>
    <x v="0"/>
  </r>
  <r>
    <x v="4"/>
    <s v="Confluence Academy 2025"/>
    <s v="Billing Request- 00102225"/>
    <x v="9"/>
    <d v="2025-05-07T00:00:00"/>
    <d v="2025-06-27T00:00:00"/>
    <x v="2"/>
    <s v="a6JXt8726065"/>
    <x v="1"/>
    <s v="Jul; Aug"/>
    <s v="Incorrect legal terms delayed PTS."/>
    <n v="51"/>
    <x v="1"/>
    <x v="4"/>
    <x v="3"/>
    <x v="0"/>
  </r>
  <r>
    <x v="0"/>
    <s v="Streaming Bundle Initiative 2026"/>
    <s v="Billing Request- 00102226"/>
    <x v="0"/>
    <d v="2026-04-02T00:00:00"/>
    <d v="2026-04-20T00:00:00"/>
    <x v="2"/>
    <s v="a6JHn6809230"/>
    <x v="2"/>
    <s v="Mar"/>
    <s v="Invoice details mismatch with approved campaign."/>
    <n v="18"/>
    <x v="3"/>
    <x v="10"/>
    <x v="3"/>
    <x v="1"/>
  </r>
  <r>
    <x v="0"/>
    <s v="NASCAR Apex 2025 2026"/>
    <s v="Billing Request- 00102227"/>
    <x v="5"/>
    <d v="2026-01-15T00:00:00"/>
    <d v="2026-02-17T00:00:00"/>
    <x v="0"/>
    <s v="a6Jat1098623"/>
    <x v="1"/>
    <s v="Jan; Feb"/>
    <s v=""/>
    <n v="33"/>
    <x v="1"/>
    <x v="7"/>
    <x v="0"/>
    <x v="1"/>
  </r>
  <r>
    <x v="0"/>
    <s v="WNBA Incremental Scatter 2025"/>
    <s v="Billing Request- 00102229"/>
    <x v="2"/>
    <d v="2025-07-23T00:00:00"/>
    <d v="2025-07-30T00:00:00"/>
    <x v="2"/>
    <s v="a6JXt4451332"/>
    <x v="0"/>
    <s v="May; Jun"/>
    <s v="Invoice details mismatch with approved campaign."/>
    <n v="7"/>
    <x v="2"/>
    <x v="12"/>
    <x v="2"/>
    <x v="0"/>
  </r>
  <r>
    <x v="0"/>
    <s v="NASCAR P&amp;Q 2025"/>
    <s v="Billing Request- 00102231"/>
    <x v="3"/>
    <d v="2025-02-06T00:00:00"/>
    <d v="2025-02-13T00:00:00"/>
    <x v="2"/>
    <s v="a6Jat2686949"/>
    <x v="3"/>
    <s v="Jun"/>
    <s v="Agency submitted updated invoice mapping."/>
    <n v="7"/>
    <x v="2"/>
    <x v="6"/>
    <x v="0"/>
    <x v="0"/>
  </r>
  <r>
    <x v="0"/>
    <s v="DirecTV NASCAR Campaign 2025"/>
    <s v="Billing Request- 00102234"/>
    <x v="4"/>
    <d v="2025-09-19T00:00:00"/>
    <d v="2025-12-04T00:00:00"/>
    <x v="2"/>
    <s v="a6Jat1717087"/>
    <x v="3"/>
    <s v="May"/>
    <s v="Incorrect legal terms delayed PTS."/>
    <n v="76"/>
    <x v="0"/>
    <x v="14"/>
    <x v="0"/>
    <x v="0"/>
  </r>
  <r>
    <x v="0"/>
    <s v="NBA Playoffs Campaign 2026"/>
    <s v="Billing Request- 00102236"/>
    <x v="0"/>
    <d v="2026-03-24T00:00:00"/>
    <d v="2026-04-07T00:00:00"/>
    <x v="2"/>
    <s v="a6Jat2847661"/>
    <x v="1"/>
    <s v="Mar"/>
    <s v="Late media plan changes from client."/>
    <n v="14"/>
    <x v="4"/>
    <x v="2"/>
    <x v="2"/>
    <x v="1"/>
  </r>
  <r>
    <x v="0"/>
    <s v="NASCAR Apex 2025 2026"/>
    <s v="Billing Request- 00102237"/>
    <x v="6"/>
    <d v="2026-03-19T00:00:00"/>
    <d v="2026-05-05T00:00:00"/>
    <x v="2"/>
    <s v="a6JXt7634179"/>
    <x v="3"/>
    <s v="Jan; Feb"/>
    <s v="Incorrect legal terms delayed PTS."/>
    <n v="47"/>
    <x v="1"/>
    <x v="2"/>
    <x v="0"/>
    <x v="1"/>
  </r>
  <r>
    <x v="0"/>
    <s v="NWSL Halftime Sponsorship 2025"/>
    <s v="Billing Request- 00102238"/>
    <x v="3"/>
    <d v="2025-08-21T00:00:00"/>
    <d v="2025-10-15T00:00:00"/>
    <x v="2"/>
    <s v="a6JXt2951677"/>
    <x v="5"/>
    <s v="Mar; Apr"/>
    <s v="Agency submitted updated invoice mapping."/>
    <n v="55"/>
    <x v="1"/>
    <x v="8"/>
    <x v="1"/>
    <x v="0"/>
  </r>
  <r>
    <x v="0"/>
    <s v="NWSL Halftime Sponsorship 2026"/>
    <s v="Billing Request- 00102239"/>
    <x v="3"/>
    <d v="2026-03-03T00:00:00"/>
    <d v="2026-05-07T00:00:00"/>
    <x v="2"/>
    <s v="a6JHn8392365"/>
    <x v="4"/>
    <s v="Jan"/>
    <s v="Invoice details mismatch with approved campaign."/>
    <n v="65"/>
    <x v="0"/>
    <x v="2"/>
    <x v="1"/>
    <x v="1"/>
  </r>
  <r>
    <x v="0"/>
    <s v="NFL Prime Video 2025"/>
    <s v="Billing Request- 00102240"/>
    <x v="4"/>
    <d v="2025-04-17T00:00:00"/>
    <d v="2025-06-15T00:00:00"/>
    <x v="0"/>
    <s v="a6JHn5806597"/>
    <x v="4"/>
    <s v="May"/>
    <s v="Manual billing entry issue."/>
    <n v="59"/>
    <x v="1"/>
    <x v="3"/>
    <x v="3"/>
    <x v="0"/>
  </r>
  <r>
    <x v="0"/>
    <s v="NWSL Halftime Sponsorship 2025"/>
    <s v="Billing Request- 00102241"/>
    <x v="8"/>
    <d v="2025-05-28T00:00:00"/>
    <d v="2025-08-22T00:00:00"/>
    <x v="0"/>
    <s v="a6JHn3951259"/>
    <x v="0"/>
    <s v="Jul"/>
    <s v="Manual billing entry issue."/>
    <n v="86"/>
    <x v="0"/>
    <x v="4"/>
    <x v="1"/>
    <x v="0"/>
  </r>
  <r>
    <x v="0"/>
    <s v="NWSL Prime Video 2025"/>
    <s v="Billing Request- 00102243"/>
    <x v="4"/>
    <d v="2025-02-27T00:00:00"/>
    <d v="2025-05-15T00:00:00"/>
    <x v="1"/>
    <s v="a6JHn9039605"/>
    <x v="1"/>
    <s v="Sep"/>
    <s v="Missing supporting documentation from vendor."/>
    <n v="77"/>
    <x v="0"/>
    <x v="6"/>
    <x v="1"/>
    <x v="0"/>
  </r>
  <r>
    <x v="2"/>
    <s v="NWSL Prime Video 2025"/>
    <s v="Billing Request- 00102244"/>
    <x v="4"/>
    <d v="2025-10-03T00:00:00"/>
    <d v="2025-12-15T00:00:00"/>
    <x v="2"/>
    <s v="a6JXt4881016"/>
    <x v="6"/>
    <s v="Sep"/>
    <s v=""/>
    <n v="73"/>
    <x v="0"/>
    <x v="5"/>
    <x v="1"/>
    <x v="0"/>
  </r>
  <r>
    <x v="0"/>
    <s v="Prime Sports NFL 2025"/>
    <s v="Billing Request- 00102246"/>
    <x v="2"/>
    <d v="2025-03-27T00:00:00"/>
    <d v="2025-05-28T00:00:00"/>
    <x v="2"/>
    <s v="a6Jat1732845"/>
    <x v="6"/>
    <s v="Jan; Feb"/>
    <s v="Agency submitted updated invoice mapping."/>
    <n v="62"/>
    <x v="0"/>
    <x v="13"/>
    <x v="3"/>
    <x v="0"/>
  </r>
  <r>
    <x v="0"/>
    <s v="NWSL Halftime Sponsorship 2025"/>
    <s v="Billing Request- 00102247"/>
    <x v="3"/>
    <d v="2025-02-11T00:00:00"/>
    <d v="2025-04-22T00:00:00"/>
    <x v="2"/>
    <s v="a6JHn3081670"/>
    <x v="4"/>
    <s v="Jan"/>
    <s v="Incorrect legal terms delayed PTS."/>
    <n v="70"/>
    <x v="0"/>
    <x v="6"/>
    <x v="1"/>
    <x v="0"/>
  </r>
  <r>
    <x v="0"/>
    <s v="Streaming Bundle Initiative 2025"/>
    <s v="Billing Request- 00102248"/>
    <x v="8"/>
    <d v="2025-08-17T00:00:00"/>
    <d v="2025-11-15T00:00:00"/>
    <x v="0"/>
    <s v="a6JHn6614760"/>
    <x v="5"/>
    <s v="Sep; Oct"/>
    <s v="Late media plan changes from client."/>
    <n v="90"/>
    <x v="0"/>
    <x v="8"/>
    <x v="3"/>
    <x v="0"/>
  </r>
  <r>
    <x v="0"/>
    <s v="Streaming Bundle Initiative 2026"/>
    <s v="Billing Request- 00102249"/>
    <x v="1"/>
    <d v="2026-05-03T00:00:00"/>
    <d v="2026-05-07T00:00:00"/>
    <x v="2"/>
    <s v="a6Jat3261935"/>
    <x v="0"/>
    <s v="Apr"/>
    <s v="Incorrect legal terms delayed PTS."/>
    <n v="4"/>
    <x v="2"/>
    <x v="16"/>
    <x v="3"/>
    <x v="1"/>
  </r>
  <r>
    <x v="3"/>
    <s v="NASCAR Apex 2025 2025"/>
    <s v="Billing Request- 00102251"/>
    <x v="1"/>
    <d v="2025-11-20T00:00:00"/>
    <d v="2026-03-03T00:00:00"/>
    <x v="2"/>
    <s v="a6JHn4357393"/>
    <x v="4"/>
    <s v="May; Jun"/>
    <s v="Invoice details mismatch with approved campaign."/>
    <n v="103"/>
    <x v="0"/>
    <x v="15"/>
    <x v="0"/>
    <x v="0"/>
  </r>
  <r>
    <x v="0"/>
    <s v="NWSL Halftime Sponsorship 2026"/>
    <s v="Billing Request- 00102252"/>
    <x v="8"/>
    <d v="2026-04-25T00:00:00"/>
    <d v="2026-05-08T00:00:00"/>
    <x v="2"/>
    <s v="a6JHn4656067"/>
    <x v="5"/>
    <s v="Sep; Oct"/>
    <s v="Incorrect legal terms delayed PTS."/>
    <n v="13"/>
    <x v="4"/>
    <x v="10"/>
    <x v="1"/>
    <x v="1"/>
  </r>
  <r>
    <x v="4"/>
    <s v="NASCAR P&amp;Q 2025"/>
    <s v="Billing Request- 00102254"/>
    <x v="7"/>
    <d v="2025-08-07T00:00:00"/>
    <d v="2025-10-10T00:00:00"/>
    <x v="0"/>
    <s v="a6Jat7526630"/>
    <x v="1"/>
    <s v="Jul"/>
    <s v="Missing supporting documentation from vendor."/>
    <n v="64"/>
    <x v="0"/>
    <x v="8"/>
    <x v="0"/>
    <x v="0"/>
  </r>
  <r>
    <x v="0"/>
    <s v="NWSL Prime Video 2026"/>
    <s v="Billing Request- 00102255"/>
    <x v="0"/>
    <d v="2026-03-03T00:00:00"/>
    <d v="2026-03-13T00:00:00"/>
    <x v="2"/>
    <s v="a6Jat6208860"/>
    <x v="1"/>
    <s v="Feb"/>
    <s v="Manual billing entry issue."/>
    <n v="10"/>
    <x v="4"/>
    <x v="2"/>
    <x v="1"/>
    <x v="1"/>
  </r>
  <r>
    <x v="0"/>
    <s v="DirecTV NASCAR Campaign 2025"/>
    <s v="Billing Request- 00102256"/>
    <x v="7"/>
    <d v="2025-03-25T00:00:00"/>
    <d v="2025-06-10T00:00:00"/>
    <x v="2"/>
    <s v="a6JHn9447699"/>
    <x v="3"/>
    <s v="Mar; Apr"/>
    <s v="Manual billing entry issue."/>
    <n v="77"/>
    <x v="0"/>
    <x v="13"/>
    <x v="0"/>
    <x v="0"/>
  </r>
  <r>
    <x v="0"/>
    <s v="NFL Prime Video 2025"/>
    <s v="Billing Request- 00102257"/>
    <x v="0"/>
    <d v="2025-10-28T00:00:00"/>
    <d v="2026-01-07T00:00:00"/>
    <x v="2"/>
    <s v="a6JXt4654534"/>
    <x v="2"/>
    <s v="May"/>
    <s v="Agency submitted updated invoice mapping."/>
    <n v="71"/>
    <x v="0"/>
    <x v="5"/>
    <x v="3"/>
    <x v="0"/>
  </r>
  <r>
    <x v="0"/>
    <s v="NWSL Prime Video 2026"/>
    <s v="Billing Request- 00102258"/>
    <x v="6"/>
    <d v="2026-03-29T00:00:00"/>
    <d v="2026-04-12T00:00:00"/>
    <x v="2"/>
    <s v="a6JXt4091304"/>
    <x v="5"/>
    <s v="Mar"/>
    <s v="Late media plan changes from client."/>
    <n v="14"/>
    <x v="4"/>
    <x v="2"/>
    <x v="1"/>
    <x v="1"/>
  </r>
  <r>
    <x v="0"/>
    <s v="NFL Prime Video 2026"/>
    <s v="Billing Request- 00102259"/>
    <x v="3"/>
    <d v="2026-04-18T00:00:00"/>
    <d v="2026-05-08T00:00:00"/>
    <x v="2"/>
    <s v="a6Jat3038671"/>
    <x v="0"/>
    <s v="Aug"/>
    <s v="Late media plan changes from client."/>
    <n v="20"/>
    <x v="3"/>
    <x v="10"/>
    <x v="3"/>
    <x v="1"/>
  </r>
  <r>
    <x v="0"/>
    <s v="NBA League Pass 2025"/>
    <s v="Billing Request- 00102260"/>
    <x v="4"/>
    <d v="2025-02-20T00:00:00"/>
    <d v="2025-06-06T00:00:00"/>
    <x v="2"/>
    <s v="a6JHn4651192"/>
    <x v="5"/>
    <s v="Aug"/>
    <s v="Client requested retroactive billing adjustments."/>
    <n v="106"/>
    <x v="0"/>
    <x v="6"/>
    <x v="2"/>
    <x v="0"/>
  </r>
  <r>
    <x v="0"/>
    <s v="Global Consumer Products 2026"/>
    <s v="Billing Request- 00102261"/>
    <x v="2"/>
    <d v="2026-05-01T00:00:00"/>
    <d v="2026-05-06T00:00:00"/>
    <x v="0"/>
    <s v="a6JXt8191536"/>
    <x v="3"/>
    <s v="Nov; Dec"/>
    <s v="Finance validation process delay."/>
    <n v="5"/>
    <x v="2"/>
    <x v="16"/>
    <x v="3"/>
    <x v="1"/>
  </r>
  <r>
    <x v="1"/>
    <s v="NBA Playoffs Campaign 2025"/>
    <s v="Billing Request- 00102263"/>
    <x v="4"/>
    <d v="2025-02-02T00:00:00"/>
    <d v="2025-02-11T00:00:00"/>
    <x v="2"/>
    <s v="a6JHn8597080"/>
    <x v="0"/>
    <s v="May"/>
    <s v="Incorrect legal terms delayed PTS."/>
    <n v="9"/>
    <x v="4"/>
    <x v="6"/>
    <x v="2"/>
    <x v="0"/>
  </r>
  <r>
    <x v="0"/>
    <s v="NASCAR P&amp;Q 2025"/>
    <s v="Billing Request- 00102264"/>
    <x v="5"/>
    <d v="2025-04-26T00:00:00"/>
    <d v="2025-07-26T00:00:00"/>
    <x v="2"/>
    <s v="a6Jat3879823"/>
    <x v="2"/>
    <s v="Sep"/>
    <s v="Incorrect legal terms delayed PTS."/>
    <n v="91"/>
    <x v="0"/>
    <x v="3"/>
    <x v="0"/>
    <x v="0"/>
  </r>
  <r>
    <x v="0"/>
    <s v="WNBA Incremental Scatter 2025"/>
    <s v="Billing Request- 00102265"/>
    <x v="9"/>
    <d v="2025-09-26T00:00:00"/>
    <d v="2026-01-17T00:00:00"/>
    <x v="0"/>
    <s v="a6Jat4937419"/>
    <x v="3"/>
    <s v="Oct"/>
    <s v="Client requested retroactive billing adjustments."/>
    <n v="113"/>
    <x v="0"/>
    <x v="14"/>
    <x v="2"/>
    <x v="0"/>
  </r>
  <r>
    <x v="0"/>
    <s v="NASCAR P&amp;Q 2025"/>
    <s v="Billing Request- 00102267"/>
    <x v="1"/>
    <d v="2025-05-06T00:00:00"/>
    <d v="2025-08-18T00:00:00"/>
    <x v="2"/>
    <s v="a6JHn6889428"/>
    <x v="6"/>
    <s v="Sep; Oct"/>
    <s v="Missing supporting documentation from vendor."/>
    <n v="104"/>
    <x v="0"/>
    <x v="4"/>
    <x v="0"/>
    <x v="0"/>
  </r>
  <r>
    <x v="0"/>
    <s v="NASCAR P&amp;Q 2025"/>
    <s v="Billing Request- 00102268"/>
    <x v="8"/>
    <d v="2025-06-22T00:00:00"/>
    <d v="2025-08-15T00:00:00"/>
    <x v="2"/>
    <s v="a6Jat6182973"/>
    <x v="3"/>
    <s v="Jul"/>
    <s v=""/>
    <n v="54"/>
    <x v="1"/>
    <x v="9"/>
    <x v="0"/>
    <x v="0"/>
  </r>
  <r>
    <x v="0"/>
    <s v="Amazon NBA Live Sports 2025"/>
    <s v="Billing Request- 00102269"/>
    <x v="2"/>
    <d v="2025-02-03T00:00:00"/>
    <d v="2025-05-29T00:00:00"/>
    <x v="2"/>
    <s v="a6JXt3252091"/>
    <x v="1"/>
    <s v="Nov"/>
    <s v="Incorrect legal terms delayed PTS."/>
    <n v="115"/>
    <x v="0"/>
    <x v="6"/>
    <x v="2"/>
    <x v="0"/>
  </r>
  <r>
    <x v="0"/>
    <s v="Retail Media Expansion 2025"/>
    <s v="Billing Request- 00102270"/>
    <x v="7"/>
    <d v="2025-11-16T00:00:00"/>
    <d v="2025-11-24T00:00:00"/>
    <x v="2"/>
    <s v="a6Jat1455692"/>
    <x v="3"/>
    <s v="Jan; Feb"/>
    <s v="Invoice details mismatch with approved campaign."/>
    <n v="8"/>
    <x v="4"/>
    <x v="15"/>
    <x v="3"/>
    <x v="0"/>
  </r>
  <r>
    <x v="0"/>
    <s v="Retail Media Expansion 2025"/>
    <s v="Billing Request- 00102271"/>
    <x v="9"/>
    <d v="2025-04-03T00:00:00"/>
    <d v="2025-07-08T00:00:00"/>
    <x v="1"/>
    <s v="a6Jat9057843"/>
    <x v="2"/>
    <s v="Jan; Feb"/>
    <s v="Missing supporting documentation from vendor."/>
    <n v="96"/>
    <x v="0"/>
    <x v="3"/>
    <x v="3"/>
    <x v="0"/>
  </r>
  <r>
    <x v="0"/>
    <s v="NBA Playoffs Campaign 2025"/>
    <s v="Billing Request- 00102272"/>
    <x v="1"/>
    <d v="2025-08-05T00:00:00"/>
    <d v="2025-10-21T00:00:00"/>
    <x v="2"/>
    <s v="a6JXt7437809"/>
    <x v="5"/>
    <s v="Sep"/>
    <s v="Incorrect legal terms delayed PTS."/>
    <n v="77"/>
    <x v="0"/>
    <x v="8"/>
    <x v="2"/>
    <x v="0"/>
  </r>
  <r>
    <x v="4"/>
    <s v="NFL Prime Video 2026"/>
    <s v="Billing Request- 00102273"/>
    <x v="2"/>
    <d v="2026-02-19T00:00:00"/>
    <d v="2026-05-08T00:00:00"/>
    <x v="2"/>
    <s v="a6JHn3496387"/>
    <x v="6"/>
    <s v="Jan; Feb"/>
    <s v="Missing supporting documentation from vendor."/>
    <n v="78"/>
    <x v="0"/>
    <x v="1"/>
    <x v="3"/>
    <x v="1"/>
  </r>
  <r>
    <x v="0"/>
    <s v="NBA League Pass 2025"/>
    <s v="Billing Request- 00102274"/>
    <x v="3"/>
    <d v="2025-09-20T00:00:00"/>
    <d v="2025-12-25T00:00:00"/>
    <x v="2"/>
    <s v="a6JHn9680402"/>
    <x v="5"/>
    <s v="Aug"/>
    <s v="Manual billing entry issue."/>
    <n v="96"/>
    <x v="0"/>
    <x v="14"/>
    <x v="2"/>
    <x v="0"/>
  </r>
  <r>
    <x v="4"/>
    <s v="Streaming Bundle Initiative 2026"/>
    <s v="Billing Request- 00102278"/>
    <x v="6"/>
    <d v="2026-01-03T00:00:00"/>
    <d v="2026-02-04T00:00:00"/>
    <x v="2"/>
    <s v="a6JHn5754314"/>
    <x v="4"/>
    <s v="Nov"/>
    <s v="Incorrect legal terms delayed PTS."/>
    <n v="32"/>
    <x v="1"/>
    <x v="7"/>
    <x v="3"/>
    <x v="1"/>
  </r>
  <r>
    <x v="0"/>
    <s v="TNF Sponsorship 2026"/>
    <s v="Billing Request- 00102279"/>
    <x v="4"/>
    <d v="2026-05-01T00:00:00"/>
    <d v="2026-05-07T00:00:00"/>
    <x v="0"/>
    <s v="a6JXt4379084"/>
    <x v="6"/>
    <s v="Nov"/>
    <s v="Late media plan changes from client."/>
    <n v="6"/>
    <x v="2"/>
    <x v="16"/>
    <x v="4"/>
    <x v="1"/>
  </r>
  <r>
    <x v="0"/>
    <s v="Global Consumer Products 2025"/>
    <s v="Billing Request- 00102281"/>
    <x v="4"/>
    <d v="2025-10-03T00:00:00"/>
    <d v="2025-12-21T00:00:00"/>
    <x v="2"/>
    <s v="a6Jat8676852"/>
    <x v="1"/>
    <s v="Mar; Apr"/>
    <s v="Client requested retroactive billing adjustments."/>
    <n v="79"/>
    <x v="0"/>
    <x v="5"/>
    <x v="3"/>
    <x v="0"/>
  </r>
  <r>
    <x v="0"/>
    <s v="NASCAR Apex 2025 2025"/>
    <s v="Billing Request- 00102283"/>
    <x v="1"/>
    <d v="2025-09-03T00:00:00"/>
    <d v="2025-12-19T00:00:00"/>
    <x v="2"/>
    <s v="a6JXt6682552"/>
    <x v="5"/>
    <s v="Sep; Oct"/>
    <s v="Missing supporting documentation from vendor."/>
    <n v="107"/>
    <x v="0"/>
    <x v="14"/>
    <x v="0"/>
    <x v="0"/>
  </r>
  <r>
    <x v="0"/>
    <s v="NWSL Prime Video 2026"/>
    <s v="Billing Request- 00102284"/>
    <x v="7"/>
    <d v="2026-01-25T00:00:00"/>
    <d v="2026-03-16T00:00:00"/>
    <x v="0"/>
    <s v="a6JXt4031676"/>
    <x v="3"/>
    <s v="Jul"/>
    <s v="Invoice details mismatch with approved campaign."/>
    <n v="50"/>
    <x v="1"/>
    <x v="7"/>
    <x v="1"/>
    <x v="1"/>
  </r>
  <r>
    <x v="0"/>
    <s v="Global Consumer Products 2025"/>
    <s v="Billing Request- 00102285"/>
    <x v="4"/>
    <d v="2025-11-24T00:00:00"/>
    <d v="2026-01-19T00:00:00"/>
    <x v="1"/>
    <s v="a6JHn6439259"/>
    <x v="2"/>
    <s v="Nov"/>
    <s v="Missing supporting documentation from vendor."/>
    <n v="56"/>
    <x v="1"/>
    <x v="15"/>
    <x v="3"/>
    <x v="0"/>
  </r>
  <r>
    <x v="0"/>
    <s v="Amazon NBA Live Sports 2025"/>
    <s v="Billing Request- 00102286"/>
    <x v="5"/>
    <d v="2025-12-29T00:00:00"/>
    <d v="2026-03-13T00:00:00"/>
    <x v="2"/>
    <s v="a6JXt5434109"/>
    <x v="1"/>
    <s v="Nov; Dec"/>
    <s v="Missing supporting documentation from vendor."/>
    <n v="74"/>
    <x v="0"/>
    <x v="11"/>
    <x v="2"/>
    <x v="0"/>
  </r>
  <r>
    <x v="0"/>
    <s v="NWSL Halftime Sponsorship 2026"/>
    <s v="Billing Request- 00102289"/>
    <x v="3"/>
    <d v="2026-01-19T00:00:00"/>
    <d v="2026-04-10T00:00:00"/>
    <x v="2"/>
    <s v="a6Jat7831747"/>
    <x v="1"/>
    <s v="Feb"/>
    <s v="Missing supporting documentation from vendor."/>
    <n v="81"/>
    <x v="0"/>
    <x v="7"/>
    <x v="1"/>
    <x v="1"/>
  </r>
  <r>
    <x v="3"/>
    <s v="NWSL Halftime Sponsorship 2025"/>
    <s v="Billing Request- 00102292"/>
    <x v="4"/>
    <d v="2025-07-12T00:00:00"/>
    <d v="2025-10-18T00:00:00"/>
    <x v="2"/>
    <s v="a6JHn3460898"/>
    <x v="4"/>
    <s v="Mar; Apr"/>
    <s v="Manual billing entry issue."/>
    <n v="98"/>
    <x v="0"/>
    <x v="12"/>
    <x v="1"/>
    <x v="0"/>
  </r>
  <r>
    <x v="0"/>
    <s v="NBA League Pass 2025"/>
    <s v="Billing Request- 00102294"/>
    <x v="8"/>
    <d v="2025-03-19T00:00:00"/>
    <d v="2025-04-14T00:00:00"/>
    <x v="2"/>
    <s v="a6JHn1802238"/>
    <x v="4"/>
    <s v="Apr"/>
    <s v="Finance validation process delay."/>
    <n v="26"/>
    <x v="3"/>
    <x v="13"/>
    <x v="2"/>
    <x v="0"/>
  </r>
  <r>
    <x v="0"/>
    <s v="NWSL Prime Video 2025"/>
    <s v="Billing Request- 00102295"/>
    <x v="7"/>
    <d v="2025-07-02T00:00:00"/>
    <d v="2025-08-31T00:00:00"/>
    <x v="2"/>
    <s v="a6Jat7511643"/>
    <x v="0"/>
    <s v="May; Jun"/>
    <s v=""/>
    <n v="60"/>
    <x v="1"/>
    <x v="12"/>
    <x v="1"/>
    <x v="0"/>
  </r>
  <r>
    <x v="4"/>
    <s v="Streaming Bundle Initiative 2025"/>
    <s v="Billing Request- 00102296"/>
    <x v="0"/>
    <d v="2025-01-22T00:00:00"/>
    <d v="2025-03-29T00:00:00"/>
    <x v="2"/>
    <s v="a6JHn7280278"/>
    <x v="3"/>
    <s v="Oct"/>
    <s v="Manual billing entry issue."/>
    <n v="66"/>
    <x v="0"/>
    <x v="0"/>
    <x v="3"/>
    <x v="0"/>
  </r>
  <r>
    <x v="4"/>
    <s v="NBA League Pass 2026"/>
    <s v="Billing Request- 00102297"/>
    <x v="4"/>
    <d v="2026-05-09T00:00:00"/>
    <d v="2026-05-07T00:00:00"/>
    <x v="2"/>
    <s v="a6JHn5257217"/>
    <x v="1"/>
    <s v="Aug"/>
    <s v="Finance validation process delay."/>
    <n v="-2"/>
    <x v="2"/>
    <x v="16"/>
    <x v="2"/>
    <x v="1"/>
  </r>
  <r>
    <x v="0"/>
    <s v="NWSL Prime Video 2025"/>
    <s v="Billing Request- 00102298"/>
    <x v="9"/>
    <d v="2025-08-03T00:00:00"/>
    <d v="2025-10-14T00:00:00"/>
    <x v="0"/>
    <s v="a6Jat9053373"/>
    <x v="0"/>
    <s v="Dec"/>
    <s v="Incorrect legal terms delayed PTS."/>
    <n v="72"/>
    <x v="0"/>
    <x v="8"/>
    <x v="1"/>
    <x v="0"/>
  </r>
  <r>
    <x v="0"/>
    <s v="NBA League Pass 2025"/>
    <s v="Billing Request- 00102299"/>
    <x v="7"/>
    <d v="2025-08-16T00:00:00"/>
    <d v="2025-09-30T00:00:00"/>
    <x v="2"/>
    <s v="a6JHn4484579"/>
    <x v="6"/>
    <s v="Feb"/>
    <s v="Client requested retroactive billing adjustments."/>
    <n v="45"/>
    <x v="1"/>
    <x v="8"/>
    <x v="2"/>
    <x v="0"/>
  </r>
  <r>
    <x v="0"/>
    <s v="DirecTV NASCAR Campaign 2025"/>
    <s v="Billing Request- 00102300"/>
    <x v="3"/>
    <d v="2025-01-24T00:00:00"/>
    <d v="2025-04-08T00:00:00"/>
    <x v="2"/>
    <s v="a6JHn6990612"/>
    <x v="4"/>
    <s v="Aug"/>
    <s v="Late media plan changes from client."/>
    <n v="74"/>
    <x v="0"/>
    <x v="0"/>
    <x v="0"/>
    <x v="0"/>
  </r>
  <r>
    <x v="0"/>
    <s v="Global Consumer Products 2025"/>
    <s v="Billing Request- 00102301"/>
    <x v="5"/>
    <d v="2025-06-25T00:00:00"/>
    <d v="2025-07-27T00:00:00"/>
    <x v="2"/>
    <s v="a6Jat6737077"/>
    <x v="4"/>
    <s v="May"/>
    <s v="Missing supporting documentation from vendor."/>
    <n v="32"/>
    <x v="1"/>
    <x v="9"/>
    <x v="3"/>
    <x v="0"/>
  </r>
  <r>
    <x v="0"/>
    <s v="Amazon TNF 2024 2025"/>
    <s v="Billing Request- 00102302"/>
    <x v="1"/>
    <d v="2025-01-17T00:00:00"/>
    <d v="2025-04-08T00:00:00"/>
    <x v="2"/>
    <s v="a6JXt2320054"/>
    <x v="6"/>
    <s v="Aug"/>
    <s v="Late media plan changes from client."/>
    <n v="81"/>
    <x v="0"/>
    <x v="0"/>
    <x v="4"/>
    <x v="0"/>
  </r>
  <r>
    <x v="0"/>
    <s v="NWSL Halftime Sponsorship 2025"/>
    <s v="Billing Request- 00102303"/>
    <x v="0"/>
    <d v="2025-12-07T00:00:00"/>
    <d v="2026-01-23T00:00:00"/>
    <x v="0"/>
    <s v="a6JXt9419884"/>
    <x v="5"/>
    <s v="Jan; Feb"/>
    <s v="Invoice details mismatch with approved campaign."/>
    <n v="47"/>
    <x v="1"/>
    <x v="11"/>
    <x v="1"/>
    <x v="0"/>
  </r>
  <r>
    <x v="0"/>
    <s v="TNF Sponsorship 2026"/>
    <s v="Billing Request- 00102304"/>
    <x v="9"/>
    <d v="2026-01-23T00:00:00"/>
    <d v="2026-04-04T00:00:00"/>
    <x v="0"/>
    <s v="a6JHn5641950"/>
    <x v="0"/>
    <s v="Mar"/>
    <s v="Late media plan changes from client."/>
    <n v="71"/>
    <x v="0"/>
    <x v="7"/>
    <x v="4"/>
    <x v="1"/>
  </r>
  <r>
    <x v="0"/>
    <s v="NWSL Halftime Sponsorship 2025"/>
    <s v="Billing Request- 00102305"/>
    <x v="8"/>
    <d v="2025-08-29T00:00:00"/>
    <d v="2025-10-26T00:00:00"/>
    <x v="0"/>
    <s v="a6JHn9575199"/>
    <x v="2"/>
    <s v="Jan"/>
    <s v="Late media plan changes from client."/>
    <n v="58"/>
    <x v="1"/>
    <x v="8"/>
    <x v="1"/>
    <x v="0"/>
  </r>
  <r>
    <x v="0"/>
    <s v="NWSL Prime Video 2025"/>
    <s v="Billing Request- 00102306"/>
    <x v="6"/>
    <d v="2025-10-26T00:00:00"/>
    <d v="2025-12-18T00:00:00"/>
    <x v="2"/>
    <s v="a6JXt1265461"/>
    <x v="2"/>
    <s v="May"/>
    <s v="Invoice details mismatch with approved campaign."/>
    <n v="53"/>
    <x v="1"/>
    <x v="5"/>
    <x v="1"/>
    <x v="0"/>
  </r>
  <r>
    <x v="0"/>
    <s v="NASCAR P&amp;Q 2025"/>
    <s v="Billing Request- 00102307"/>
    <x v="7"/>
    <d v="2025-11-04T00:00:00"/>
    <d v="2026-01-19T00:00:00"/>
    <x v="2"/>
    <s v="a6JHn3752659"/>
    <x v="2"/>
    <s v="Aug"/>
    <s v="Client requested retroactive billing adjustments."/>
    <n v="76"/>
    <x v="0"/>
    <x v="15"/>
    <x v="0"/>
    <x v="0"/>
  </r>
  <r>
    <x v="0"/>
    <s v="Amazon NBA Live Sports 2025"/>
    <s v="Billing Request- 00102308"/>
    <x v="2"/>
    <d v="2025-10-22T00:00:00"/>
    <d v="2026-01-21T00:00:00"/>
    <x v="2"/>
    <s v="a6Jat6293979"/>
    <x v="1"/>
    <s v="Jul; Aug"/>
    <s v="Manual billing entry issue."/>
    <n v="91"/>
    <x v="0"/>
    <x v="5"/>
    <x v="2"/>
    <x v="0"/>
  </r>
  <r>
    <x v="0"/>
    <s v="WNBA Incremental Scatter 2025"/>
    <s v="Billing Request- 00102309"/>
    <x v="3"/>
    <d v="2025-08-05T00:00:00"/>
    <d v="2025-08-28T00:00:00"/>
    <x v="2"/>
    <s v="a6Jat2480411"/>
    <x v="0"/>
    <s v="Jan; Feb"/>
    <s v="Client requested retroactive billing adjustments."/>
    <n v="23"/>
    <x v="3"/>
    <x v="8"/>
    <x v="2"/>
    <x v="0"/>
  </r>
  <r>
    <x v="0"/>
    <s v="NBA Playoffs Campaign 2025"/>
    <s v="Billing Request- 00102310"/>
    <x v="3"/>
    <d v="2025-06-07T00:00:00"/>
    <d v="2025-08-04T00:00:00"/>
    <x v="0"/>
    <s v="a6JHn8613214"/>
    <x v="3"/>
    <s v="Jun"/>
    <s v="Late media plan changes from client."/>
    <n v="58"/>
    <x v="1"/>
    <x v="9"/>
    <x v="2"/>
    <x v="0"/>
  </r>
  <r>
    <x v="0"/>
    <s v="WNBA Incremental Scatter 2025"/>
    <s v="Billing Request- 00102311"/>
    <x v="4"/>
    <d v="2025-06-04T00:00:00"/>
    <d v="2025-09-18T00:00:00"/>
    <x v="2"/>
    <s v="a6JHn2729925"/>
    <x v="2"/>
    <s v="Jun"/>
    <s v="Manual billing entry issue."/>
    <n v="106"/>
    <x v="0"/>
    <x v="9"/>
    <x v="2"/>
    <x v="0"/>
  </r>
  <r>
    <x v="0"/>
    <s v="NASCAR P&amp;Q 2026"/>
    <s v="Billing Request- 00102312"/>
    <x v="9"/>
    <d v="2026-05-04T00:00:00"/>
    <d v="2026-05-08T00:00:00"/>
    <x v="0"/>
    <s v="a6JXt7816369"/>
    <x v="3"/>
    <s v="Jul; Aug"/>
    <s v="Finance validation process delay."/>
    <n v="4"/>
    <x v="2"/>
    <x v="16"/>
    <x v="0"/>
    <x v="1"/>
  </r>
  <r>
    <x v="0"/>
    <s v="NBA League Pass 2025"/>
    <s v="Billing Request- 00102313"/>
    <x v="6"/>
    <d v="2025-04-15T00:00:00"/>
    <d v="2025-04-27T00:00:00"/>
    <x v="0"/>
    <s v="a6Jat3371530"/>
    <x v="5"/>
    <s v="Dec"/>
    <s v="Manual billing entry issue."/>
    <n v="12"/>
    <x v="4"/>
    <x v="3"/>
    <x v="2"/>
    <x v="0"/>
  </r>
  <r>
    <x v="4"/>
    <s v="DirecTV NASCAR Campaign 2025"/>
    <s v="Billing Request- 00102315"/>
    <x v="2"/>
    <d v="2025-11-05T00:00:00"/>
    <d v="2025-12-17T00:00:00"/>
    <x v="2"/>
    <s v="a6JXt9766338"/>
    <x v="2"/>
    <s v="Mar"/>
    <s v="Agency submitted updated invoice mapping."/>
    <n v="42"/>
    <x v="1"/>
    <x v="15"/>
    <x v="0"/>
    <x v="0"/>
  </r>
  <r>
    <x v="0"/>
    <s v="Confluence Academy 2026"/>
    <s v="Billing Request- 00102316"/>
    <x v="7"/>
    <d v="2026-04-07T00:00:00"/>
    <d v="2026-05-07T00:00:00"/>
    <x v="2"/>
    <s v="a6JXt3983232"/>
    <x v="5"/>
    <s v="Jul"/>
    <s v="Incorrect legal terms delayed PTS."/>
    <n v="30"/>
    <x v="3"/>
    <x v="10"/>
    <x v="3"/>
    <x v="1"/>
  </r>
  <r>
    <x v="0"/>
    <s v="Confluence Academy 2025"/>
    <s v="Billing Request- 00102317"/>
    <x v="7"/>
    <d v="2025-06-09T00:00:00"/>
    <d v="2025-08-17T00:00:00"/>
    <x v="0"/>
    <s v="a6Jat1930920"/>
    <x v="5"/>
    <s v="Mar"/>
    <s v="Late media plan changes from client."/>
    <n v="69"/>
    <x v="0"/>
    <x v="9"/>
    <x v="3"/>
    <x v="0"/>
  </r>
  <r>
    <x v="0"/>
    <s v="NBA Playoffs Campaign 2026"/>
    <s v="Billing Request- 00102318"/>
    <x v="0"/>
    <d v="2026-02-18T00:00:00"/>
    <d v="2026-03-24T00:00:00"/>
    <x v="2"/>
    <s v="a6JXt7207157"/>
    <x v="0"/>
    <s v="Aug"/>
    <s v="Client requested retroactive billing adjustments."/>
    <n v="34"/>
    <x v="1"/>
    <x v="1"/>
    <x v="2"/>
    <x v="1"/>
  </r>
  <r>
    <x v="0"/>
    <s v="TNF Sponsorship 2026"/>
    <s v="Billing Request- 00102319"/>
    <x v="1"/>
    <d v="2026-01-27T00:00:00"/>
    <d v="2026-02-19T00:00:00"/>
    <x v="0"/>
    <s v="a6JHn2521322"/>
    <x v="3"/>
    <s v="Jan; Feb"/>
    <s v="Incorrect legal terms delayed PTS."/>
    <n v="23"/>
    <x v="3"/>
    <x v="7"/>
    <x v="4"/>
    <x v="1"/>
  </r>
  <r>
    <x v="0"/>
    <s v="NWSL Prime Video 2026"/>
    <s v="Billing Request- 00102321"/>
    <x v="0"/>
    <d v="2026-03-17T00:00:00"/>
    <d v="2026-03-19T00:00:00"/>
    <x v="0"/>
    <s v="a6Jat1796123"/>
    <x v="2"/>
    <s v="Mar; Apr"/>
    <s v="Invoice details mismatch with approved campaign."/>
    <n v="2"/>
    <x v="2"/>
    <x v="2"/>
    <x v="1"/>
    <x v="1"/>
  </r>
  <r>
    <x v="0"/>
    <s v="NASCAR Apex 2025 2025"/>
    <s v="Billing Request- 00102322"/>
    <x v="7"/>
    <d v="2025-06-05T00:00:00"/>
    <d v="2025-08-29T00:00:00"/>
    <x v="0"/>
    <s v="a6JXt8250423"/>
    <x v="2"/>
    <s v="Oct"/>
    <s v="Invoice details mismatch with approved campaign."/>
    <n v="85"/>
    <x v="0"/>
    <x v="9"/>
    <x v="0"/>
    <x v="0"/>
  </r>
  <r>
    <x v="0"/>
    <s v="Retail Media Expansion 2026"/>
    <s v="Billing Request- 00102323"/>
    <x v="6"/>
    <d v="2026-03-19T00:00:00"/>
    <d v="2026-04-04T00:00:00"/>
    <x v="2"/>
    <s v="a6JHn5477850"/>
    <x v="4"/>
    <s v="Feb"/>
    <s v="Missing supporting documentation from vendor."/>
    <n v="16"/>
    <x v="3"/>
    <x v="2"/>
    <x v="3"/>
    <x v="1"/>
  </r>
  <r>
    <x v="0"/>
    <s v="Confluence Academy 2025"/>
    <s v="Billing Request- 00102324"/>
    <x v="9"/>
    <d v="2025-02-12T00:00:00"/>
    <d v="2025-06-12T00:00:00"/>
    <x v="1"/>
    <s v="a6JXt7416366"/>
    <x v="2"/>
    <s v="Mar"/>
    <s v="Client requested retroactive billing adjustments."/>
    <n v="120"/>
    <x v="0"/>
    <x v="6"/>
    <x v="3"/>
    <x v="0"/>
  </r>
  <r>
    <x v="0"/>
    <s v="Prime Sports NFL 2026"/>
    <s v="Billing Request- 00102326"/>
    <x v="0"/>
    <d v="2026-02-02T00:00:00"/>
    <d v="2026-02-22T00:00:00"/>
    <x v="0"/>
    <s v="a6Jat7392603"/>
    <x v="5"/>
    <s v="Jan; Feb"/>
    <s v="Agency submitted updated invoice mapping."/>
    <n v="20"/>
    <x v="3"/>
    <x v="1"/>
    <x v="3"/>
    <x v="1"/>
  </r>
  <r>
    <x v="0"/>
    <s v="NASCAR Apex 2025 2025"/>
    <s v="Billing Request- 00102328"/>
    <x v="4"/>
    <d v="2025-11-21T00:00:00"/>
    <d v="2026-02-11T00:00:00"/>
    <x v="2"/>
    <s v="a6JXt8648146"/>
    <x v="2"/>
    <s v="Jul"/>
    <s v="Agency submitted updated invoice mapping."/>
    <n v="82"/>
    <x v="0"/>
    <x v="15"/>
    <x v="0"/>
    <x v="0"/>
  </r>
  <r>
    <x v="0"/>
    <s v="Global Consumer Products 2025"/>
    <s v="Billing Request- 00102330"/>
    <x v="6"/>
    <d v="2025-03-04T00:00:00"/>
    <d v="2025-03-23T00:00:00"/>
    <x v="2"/>
    <s v="a6JXt1749872"/>
    <x v="2"/>
    <s v="Sep; Oct"/>
    <s v="Client requested retroactive billing adjustments."/>
    <n v="19"/>
    <x v="3"/>
    <x v="13"/>
    <x v="3"/>
    <x v="0"/>
  </r>
  <r>
    <x v="0"/>
    <s v="Streaming Bundle Initiative 2025"/>
    <s v="Billing Request- 00102331"/>
    <x v="5"/>
    <d v="2025-03-17T00:00:00"/>
    <d v="2025-07-12T00:00:00"/>
    <x v="2"/>
    <s v="a6JHn1481169"/>
    <x v="1"/>
    <s v="Jun"/>
    <s v="Late media plan changes from client."/>
    <n v="117"/>
    <x v="0"/>
    <x v="13"/>
    <x v="3"/>
    <x v="0"/>
  </r>
  <r>
    <x v="0"/>
    <s v="Global Consumer Products 2026"/>
    <s v="Billing Request- 00102333"/>
    <x v="4"/>
    <d v="2026-05-09T00:00:00"/>
    <d v="2026-05-05T00:00:00"/>
    <x v="1"/>
    <s v="a6JHn4426540"/>
    <x v="6"/>
    <s v="Jan; Feb"/>
    <s v="Invoice details mismatch with approved campaign."/>
    <n v="-4"/>
    <x v="2"/>
    <x v="16"/>
    <x v="3"/>
    <x v="1"/>
  </r>
  <r>
    <x v="0"/>
    <s v="NBA Playoffs Campaign 2025"/>
    <s v="Billing Request- 00102334"/>
    <x v="8"/>
    <d v="2025-07-01T00:00:00"/>
    <d v="2025-08-26T00:00:00"/>
    <x v="2"/>
    <s v="a6JXt9563936"/>
    <x v="2"/>
    <s v="Jan; Feb"/>
    <s v="Invoice details mismatch with approved campaign."/>
    <n v="56"/>
    <x v="1"/>
    <x v="12"/>
    <x v="2"/>
    <x v="0"/>
  </r>
  <r>
    <x v="0"/>
    <s v="WNBA Incremental Scatter 2025"/>
    <s v="Billing Request- 00102335"/>
    <x v="5"/>
    <d v="2025-11-11T00:00:00"/>
    <d v="2026-01-30T00:00:00"/>
    <x v="0"/>
    <s v="a6Jat7990905"/>
    <x v="4"/>
    <s v="Jan"/>
    <s v="Incorrect legal terms delayed PTS."/>
    <n v="80"/>
    <x v="0"/>
    <x v="15"/>
    <x v="2"/>
    <x v="0"/>
  </r>
  <r>
    <x v="2"/>
    <s v="NWSL Halftime Sponsorship 2026"/>
    <s v="Billing Request- 00102336"/>
    <x v="8"/>
    <d v="2026-02-19T00:00:00"/>
    <d v="2026-05-02T00:00:00"/>
    <x v="2"/>
    <s v="a6JXt5648869"/>
    <x v="6"/>
    <s v="Jan"/>
    <s v="Manual billing entry issue."/>
    <n v="72"/>
    <x v="0"/>
    <x v="1"/>
    <x v="1"/>
    <x v="1"/>
  </r>
  <r>
    <x v="4"/>
    <s v="TNF Sponsorship 2025"/>
    <s v="Billing Request- 00102337"/>
    <x v="3"/>
    <d v="2025-04-17T00:00:00"/>
    <d v="2025-05-30T00:00:00"/>
    <x v="2"/>
    <s v="a6JHn5125381"/>
    <x v="4"/>
    <s v="Oct"/>
    <s v="Late media plan changes from client."/>
    <n v="43"/>
    <x v="1"/>
    <x v="3"/>
    <x v="4"/>
    <x v="0"/>
  </r>
  <r>
    <x v="0"/>
    <s v="Prime Sports NFL 2025"/>
    <s v="Billing Request- 00102339"/>
    <x v="7"/>
    <d v="2025-10-29T00:00:00"/>
    <d v="2025-12-14T00:00:00"/>
    <x v="0"/>
    <s v="a6JXt6559653"/>
    <x v="4"/>
    <s v="Jan; Feb"/>
    <s v="Finance validation process delay."/>
    <n v="46"/>
    <x v="1"/>
    <x v="5"/>
    <x v="3"/>
    <x v="0"/>
  </r>
  <r>
    <x v="3"/>
    <s v="Retail Media Expansion 2025"/>
    <s v="Billing Request- 00102341"/>
    <x v="1"/>
    <d v="2025-12-06T00:00:00"/>
    <d v="2026-03-01T00:00:00"/>
    <x v="2"/>
    <s v="a6Jat1027018"/>
    <x v="5"/>
    <s v="Jul"/>
    <s v="Agency submitted updated invoice mapping."/>
    <n v="85"/>
    <x v="0"/>
    <x v="11"/>
    <x v="3"/>
    <x v="0"/>
  </r>
  <r>
    <x v="1"/>
    <s v="Streaming Bundle Initiative 2025"/>
    <s v="Billing Request- 00102345"/>
    <x v="2"/>
    <d v="2025-09-08T00:00:00"/>
    <d v="2025-10-14T00:00:00"/>
    <x v="2"/>
    <s v="a6JXt2079949"/>
    <x v="5"/>
    <s v="Jan; Feb"/>
    <s v="Agency submitted updated invoice mapping."/>
    <n v="36"/>
    <x v="1"/>
    <x v="14"/>
    <x v="3"/>
    <x v="0"/>
  </r>
  <r>
    <x v="4"/>
    <s v="Amazon TNF 2024 2025"/>
    <s v="Billing Request- 00102346"/>
    <x v="6"/>
    <d v="2025-06-15T00:00:00"/>
    <d v="2025-09-21T00:00:00"/>
    <x v="2"/>
    <s v="a6JHn5314628"/>
    <x v="4"/>
    <s v="Sep"/>
    <s v="Missing supporting documentation from vendor."/>
    <n v="98"/>
    <x v="0"/>
    <x v="9"/>
    <x v="4"/>
    <x v="0"/>
  </r>
  <r>
    <x v="0"/>
    <s v="DirecTV NASCAR Campaign 2025"/>
    <s v="Billing Request- 00102347"/>
    <x v="8"/>
    <d v="2025-06-12T00:00:00"/>
    <d v="2025-06-22T00:00:00"/>
    <x v="0"/>
    <s v="a6JXt7766294"/>
    <x v="5"/>
    <s v="Mar; Apr"/>
    <s v="Manual billing entry issue."/>
    <n v="10"/>
    <x v="4"/>
    <x v="9"/>
    <x v="0"/>
    <x v="0"/>
  </r>
  <r>
    <x v="0"/>
    <s v="NFL Prime Video 2026"/>
    <s v="Billing Request- 00102348"/>
    <x v="1"/>
    <d v="2026-01-03T00:00:00"/>
    <d v="2026-04-30T00:00:00"/>
    <x v="2"/>
    <s v="a6Jat2023838"/>
    <x v="0"/>
    <s v="Jul"/>
    <s v="Client requested retroactive billing adjustments."/>
    <n v="117"/>
    <x v="0"/>
    <x v="7"/>
    <x v="3"/>
    <x v="1"/>
  </r>
  <r>
    <x v="0"/>
    <s v="Amazon NBA Live Sports 2025"/>
    <s v="Billing Request- 00102350"/>
    <x v="2"/>
    <d v="2025-12-06T00:00:00"/>
    <d v="2026-02-21T00:00:00"/>
    <x v="2"/>
    <s v="a6JXt9722474"/>
    <x v="0"/>
    <s v="Feb"/>
    <s v="Incorrect legal terms delayed PTS."/>
    <n v="77"/>
    <x v="0"/>
    <x v="11"/>
    <x v="2"/>
    <x v="0"/>
  </r>
  <r>
    <x v="0"/>
    <s v="NFL Prime Video 2026"/>
    <s v="Billing Request- 00102351"/>
    <x v="6"/>
    <d v="2026-01-09T00:00:00"/>
    <d v="2026-02-14T00:00:00"/>
    <x v="2"/>
    <s v="a6Jat2207782"/>
    <x v="1"/>
    <s v="Aug"/>
    <s v="Finance validation process delay."/>
    <n v="36"/>
    <x v="1"/>
    <x v="7"/>
    <x v="3"/>
    <x v="1"/>
  </r>
  <r>
    <x v="0"/>
    <s v="Streaming Bundle Initiative 2025"/>
    <s v="Billing Request- 00102352"/>
    <x v="6"/>
    <d v="2025-07-11T00:00:00"/>
    <d v="2025-10-21T00:00:00"/>
    <x v="0"/>
    <s v="a6Jat6803583"/>
    <x v="3"/>
    <s v="Sep"/>
    <s v="Missing supporting documentation from vendor."/>
    <n v="102"/>
    <x v="0"/>
    <x v="12"/>
    <x v="3"/>
    <x v="0"/>
  </r>
  <r>
    <x v="3"/>
    <s v="Retail Media Expansion 2026"/>
    <s v="Billing Request- 00102353"/>
    <x v="2"/>
    <d v="2026-03-30T00:00:00"/>
    <d v="2026-05-01T00:00:00"/>
    <x v="2"/>
    <s v="a6JHn9129496"/>
    <x v="2"/>
    <s v="Jan; Feb"/>
    <s v="Agency submitted updated invoice mapping."/>
    <n v="32"/>
    <x v="1"/>
    <x v="2"/>
    <x v="3"/>
    <x v="1"/>
  </r>
  <r>
    <x v="0"/>
    <s v="DirecTV NASCAR Campaign 2025"/>
    <s v="Billing Request- 00102354"/>
    <x v="1"/>
    <d v="2025-01-25T00:00:00"/>
    <d v="2025-04-16T00:00:00"/>
    <x v="1"/>
    <s v="a6JHn2056402"/>
    <x v="5"/>
    <s v="May"/>
    <s v=""/>
    <n v="81"/>
    <x v="0"/>
    <x v="0"/>
    <x v="0"/>
    <x v="0"/>
  </r>
  <r>
    <x v="0"/>
    <s v="NBA League Pass 2026"/>
    <s v="Billing Request- 00102355"/>
    <x v="6"/>
    <d v="2026-03-31T00:00:00"/>
    <d v="2026-05-06T00:00:00"/>
    <x v="2"/>
    <s v="a6Jat6996458"/>
    <x v="2"/>
    <s v="Jul"/>
    <s v=""/>
    <n v="36"/>
    <x v="1"/>
    <x v="2"/>
    <x v="2"/>
    <x v="1"/>
  </r>
  <r>
    <x v="0"/>
    <s v="Confluence Academy 2026"/>
    <s v="Billing Request- 00102358"/>
    <x v="6"/>
    <d v="2026-03-29T00:00:00"/>
    <d v="2026-04-09T00:00:00"/>
    <x v="2"/>
    <s v="a6JHn7285488"/>
    <x v="6"/>
    <s v="May"/>
    <s v="Late media plan changes from client."/>
    <n v="11"/>
    <x v="4"/>
    <x v="2"/>
    <x v="3"/>
    <x v="1"/>
  </r>
  <r>
    <x v="0"/>
    <s v="NWSL Prime Video 2026"/>
    <s v="Billing Request- 00102360"/>
    <x v="0"/>
    <d v="2026-03-28T00:00:00"/>
    <d v="2026-05-05T00:00:00"/>
    <x v="2"/>
    <s v="a6JHn6355946"/>
    <x v="6"/>
    <s v="Jul; Aug"/>
    <s v="Client requested retroactive billing adjustments."/>
    <n v="38"/>
    <x v="1"/>
    <x v="2"/>
    <x v="1"/>
    <x v="1"/>
  </r>
  <r>
    <x v="0"/>
    <s v="Global Consumer Products 2025"/>
    <s v="Billing Request- 00102361"/>
    <x v="7"/>
    <d v="2025-06-05T00:00:00"/>
    <d v="2025-09-06T00:00:00"/>
    <x v="0"/>
    <s v="a6JXt6132445"/>
    <x v="1"/>
    <s v="Mar; Apr"/>
    <s v=""/>
    <n v="93"/>
    <x v="0"/>
    <x v="9"/>
    <x v="3"/>
    <x v="0"/>
  </r>
  <r>
    <x v="4"/>
    <s v="NASCAR Apex 2025 2025"/>
    <s v="Billing Request- 00102362"/>
    <x v="0"/>
    <d v="2025-09-10T00:00:00"/>
    <d v="2025-09-24T00:00:00"/>
    <x v="2"/>
    <s v="a6Jat1044843"/>
    <x v="3"/>
    <s v="Feb"/>
    <s v="Finance validation process delay."/>
    <n v="14"/>
    <x v="4"/>
    <x v="14"/>
    <x v="0"/>
    <x v="0"/>
  </r>
  <r>
    <x v="0"/>
    <s v="NASCAR P&amp;Q 2025"/>
    <s v="Billing Request- 00102363"/>
    <x v="1"/>
    <d v="2025-12-22T00:00:00"/>
    <d v="2026-01-22T00:00:00"/>
    <x v="2"/>
    <s v="a6JHn8828604"/>
    <x v="6"/>
    <s v="Feb"/>
    <s v="Incorrect legal terms delayed PTS."/>
    <n v="31"/>
    <x v="1"/>
    <x v="11"/>
    <x v="0"/>
    <x v="0"/>
  </r>
  <r>
    <x v="2"/>
    <s v="NBA League Pass 2025"/>
    <s v="Billing Request- 00102365"/>
    <x v="9"/>
    <d v="2025-09-05T00:00:00"/>
    <d v="2025-09-23T00:00:00"/>
    <x v="2"/>
    <s v="a6JXt6650003"/>
    <x v="3"/>
    <s v="Apr"/>
    <s v="Manual billing entry issue."/>
    <n v="18"/>
    <x v="3"/>
    <x v="14"/>
    <x v="2"/>
    <x v="0"/>
  </r>
  <r>
    <x v="0"/>
    <s v="NWSL Prime Video 2025"/>
    <s v="Billing Request- 00102366"/>
    <x v="8"/>
    <d v="2025-11-28T00:00:00"/>
    <d v="2026-03-02T00:00:00"/>
    <x v="2"/>
    <s v="a6JXt7276231"/>
    <x v="4"/>
    <s v="Nov"/>
    <s v="Agency submitted updated invoice mapping."/>
    <n v="94"/>
    <x v="0"/>
    <x v="15"/>
    <x v="1"/>
    <x v="0"/>
  </r>
  <r>
    <x v="0"/>
    <s v="NWSL Prime Video 2025"/>
    <s v="Billing Request- 00102368"/>
    <x v="1"/>
    <d v="2025-09-14T00:00:00"/>
    <d v="2025-09-27T00:00:00"/>
    <x v="0"/>
    <s v="a6JXt5403875"/>
    <x v="1"/>
    <s v="Jul"/>
    <s v="Missing supporting documentation from vendor."/>
    <n v="13"/>
    <x v="4"/>
    <x v="14"/>
    <x v="1"/>
    <x v="0"/>
  </r>
  <r>
    <x v="0"/>
    <s v="NFL Prime Video 2025"/>
    <s v="Billing Request- 00102371"/>
    <x v="4"/>
    <d v="2025-10-20T00:00:00"/>
    <d v="2025-12-03T00:00:00"/>
    <x v="2"/>
    <s v="a6JXt7751520"/>
    <x v="6"/>
    <s v="May; Jun"/>
    <s v="Client requested retroactive billing adjustments."/>
    <n v="44"/>
    <x v="1"/>
    <x v="5"/>
    <x v="3"/>
    <x v="0"/>
  </r>
  <r>
    <x v="0"/>
    <s v="Confluence Academy 2025"/>
    <s v="Billing Request- 00102373"/>
    <x v="3"/>
    <d v="2025-11-27T00:00:00"/>
    <d v="2026-01-01T00:00:00"/>
    <x v="2"/>
    <s v="a6JXt3987988"/>
    <x v="3"/>
    <s v="Nov"/>
    <s v="Incorrect legal terms delayed PTS."/>
    <n v="35"/>
    <x v="1"/>
    <x v="15"/>
    <x v="3"/>
    <x v="0"/>
  </r>
  <r>
    <x v="0"/>
    <s v="TNF Sponsorship 2025"/>
    <s v="Billing Request- 00102374"/>
    <x v="8"/>
    <d v="2025-12-27T00:00:00"/>
    <d v="2026-01-16T00:00:00"/>
    <x v="0"/>
    <s v="a6JXt8117239"/>
    <x v="0"/>
    <s v="Aug"/>
    <s v="Invoice details mismatch with approved campaign."/>
    <n v="20"/>
    <x v="3"/>
    <x v="11"/>
    <x v="4"/>
    <x v="0"/>
  </r>
  <r>
    <x v="4"/>
    <s v="DirecTV NASCAR Campaign 2026"/>
    <s v="Billing Request- 00102375"/>
    <x v="4"/>
    <d v="2026-04-20T00:00:00"/>
    <d v="2026-05-08T00:00:00"/>
    <x v="0"/>
    <s v="a6JXt7837038"/>
    <x v="0"/>
    <s v="Feb"/>
    <s v="Finance validation process delay."/>
    <n v="18"/>
    <x v="3"/>
    <x v="10"/>
    <x v="0"/>
    <x v="1"/>
  </r>
  <r>
    <x v="0"/>
    <s v="NWSL Prime Video 2026"/>
    <s v="Billing Request- 00102378"/>
    <x v="3"/>
    <d v="2026-02-27T00:00:00"/>
    <d v="2026-04-09T00:00:00"/>
    <x v="0"/>
    <s v="a6Jat5496799"/>
    <x v="6"/>
    <s v="Jul"/>
    <s v="Client requested retroactive billing adjustments."/>
    <n v="41"/>
    <x v="1"/>
    <x v="1"/>
    <x v="1"/>
    <x v="1"/>
  </r>
  <r>
    <x v="0"/>
    <s v="NBA League Pass 2025"/>
    <s v="Billing Request- 00102379"/>
    <x v="9"/>
    <d v="2025-08-22T00:00:00"/>
    <d v="2025-11-17T00:00:00"/>
    <x v="2"/>
    <s v="a6JHn3573082"/>
    <x v="1"/>
    <s v="Jan"/>
    <s v=""/>
    <n v="87"/>
    <x v="0"/>
    <x v="8"/>
    <x v="2"/>
    <x v="0"/>
  </r>
  <r>
    <x v="0"/>
    <s v="NFL Prime Video 2025"/>
    <s v="Billing Request- 00102381"/>
    <x v="2"/>
    <d v="2025-10-26T00:00:00"/>
    <d v="2025-11-09T00:00:00"/>
    <x v="1"/>
    <s v="a6Jat2267666"/>
    <x v="2"/>
    <s v="Jun"/>
    <s v="Invoice details mismatch with approved campaign."/>
    <n v="14"/>
    <x v="4"/>
    <x v="5"/>
    <x v="3"/>
    <x v="0"/>
  </r>
  <r>
    <x v="4"/>
    <s v="Prime Sports NFL 2026"/>
    <s v="Billing Request- 00102382"/>
    <x v="0"/>
    <d v="2026-04-07T00:00:00"/>
    <d v="2026-04-18T00:00:00"/>
    <x v="2"/>
    <s v="a6Jat6589274"/>
    <x v="1"/>
    <s v="Oct"/>
    <s v="Missing supporting documentation from vendor."/>
    <n v="11"/>
    <x v="4"/>
    <x v="10"/>
    <x v="3"/>
    <x v="1"/>
  </r>
  <r>
    <x v="3"/>
    <s v="NASCAR Apex 2025 2026"/>
    <s v="Billing Request- 00102383"/>
    <x v="6"/>
    <d v="2026-03-23T00:00:00"/>
    <d v="2026-05-07T00:00:00"/>
    <x v="0"/>
    <s v="a6Jat7287843"/>
    <x v="3"/>
    <s v="Oct"/>
    <s v="Incorrect legal terms delayed PTS."/>
    <n v="45"/>
    <x v="1"/>
    <x v="2"/>
    <x v="0"/>
    <x v="1"/>
  </r>
  <r>
    <x v="0"/>
    <s v="TNF Sponsorship 2026"/>
    <s v="Billing Request- 00102386"/>
    <x v="2"/>
    <d v="2026-03-13T00:00:00"/>
    <d v="2026-05-06T00:00:00"/>
    <x v="2"/>
    <s v="a6Jat2249916"/>
    <x v="2"/>
    <s v="Sep; Oct"/>
    <s v="Manual billing entry issue."/>
    <n v="54"/>
    <x v="1"/>
    <x v="2"/>
    <x v="4"/>
    <x v="1"/>
  </r>
  <r>
    <x v="3"/>
    <s v="NASCAR Apex 2025 2025"/>
    <s v="Billing Request- 00102388"/>
    <x v="9"/>
    <d v="2025-07-22T00:00:00"/>
    <d v="2025-11-17T00:00:00"/>
    <x v="2"/>
    <s v="a6JXt1177286"/>
    <x v="2"/>
    <s v="Jul; Aug"/>
    <s v="Missing supporting documentation from vendor."/>
    <n v="118"/>
    <x v="0"/>
    <x v="12"/>
    <x v="0"/>
    <x v="0"/>
  </r>
  <r>
    <x v="0"/>
    <s v="NWSL Halftime Sponsorship 2025"/>
    <s v="Billing Request- 00102390"/>
    <x v="3"/>
    <d v="2025-04-05T00:00:00"/>
    <d v="2025-04-18T00:00:00"/>
    <x v="2"/>
    <s v="a6JXt7622837"/>
    <x v="6"/>
    <s v="Oct"/>
    <s v="Incorrect legal terms delayed PTS."/>
    <n v="13"/>
    <x v="4"/>
    <x v="3"/>
    <x v="1"/>
    <x v="0"/>
  </r>
  <r>
    <x v="3"/>
    <s v="NFL Prime Video 2025"/>
    <s v="Billing Request- 00102391"/>
    <x v="6"/>
    <d v="2025-10-22T00:00:00"/>
    <d v="2025-11-20T00:00:00"/>
    <x v="0"/>
    <s v="a6JHn5989091"/>
    <x v="1"/>
    <s v="Jan; Feb"/>
    <s v="Late media plan changes from client."/>
    <n v="29"/>
    <x v="3"/>
    <x v="5"/>
    <x v="3"/>
    <x v="0"/>
  </r>
  <r>
    <x v="0"/>
    <s v="Amazon TNF 2024 2025"/>
    <s v="Billing Request- 00102392"/>
    <x v="0"/>
    <d v="2025-08-28T00:00:00"/>
    <d v="2025-10-06T00:00:00"/>
    <x v="2"/>
    <s v="a6JXt4870352"/>
    <x v="2"/>
    <s v="Jan"/>
    <s v="Missing supporting documentation from vendor."/>
    <n v="39"/>
    <x v="1"/>
    <x v="8"/>
    <x v="4"/>
    <x v="0"/>
  </r>
  <r>
    <x v="0"/>
    <s v="Prime Sports NFL 2026"/>
    <s v="Billing Request- 00102393"/>
    <x v="1"/>
    <d v="2026-03-06T00:00:00"/>
    <d v="2026-05-05T00:00:00"/>
    <x v="2"/>
    <s v="a6Jat6642061"/>
    <x v="2"/>
    <s v="May; Jun"/>
    <s v="Client requested retroactive billing adjustments."/>
    <n v="60"/>
    <x v="1"/>
    <x v="2"/>
    <x v="3"/>
    <x v="1"/>
  </r>
  <r>
    <x v="0"/>
    <s v="NASCAR P&amp;Q 2025"/>
    <s v="Billing Request- 00102395"/>
    <x v="6"/>
    <d v="2025-03-31T00:00:00"/>
    <d v="2025-04-16T00:00:00"/>
    <x v="2"/>
    <s v="a6JHn3324436"/>
    <x v="4"/>
    <s v="Jan; Feb"/>
    <s v="Client requested retroactive billing adjustments."/>
    <n v="16"/>
    <x v="3"/>
    <x v="13"/>
    <x v="0"/>
    <x v="0"/>
  </r>
  <r>
    <x v="3"/>
    <s v="NFL Prime Video 2025"/>
    <s v="Billing Request- 00102399"/>
    <x v="6"/>
    <d v="2025-06-05T00:00:00"/>
    <d v="2025-06-12T00:00:00"/>
    <x v="2"/>
    <s v="a6Jat6543511"/>
    <x v="5"/>
    <s v="Jul; Aug"/>
    <s v="Client requested retroactive billing adjustments."/>
    <n v="7"/>
    <x v="2"/>
    <x v="9"/>
    <x v="3"/>
    <x v="0"/>
  </r>
  <r>
    <x v="0"/>
    <s v="NWSL Halftime Sponsorship 2026"/>
    <s v="Billing Request- 00102400"/>
    <x v="7"/>
    <d v="2026-03-28T00:00:00"/>
    <d v="2026-05-05T00:00:00"/>
    <x v="2"/>
    <s v="a6JHn1450060"/>
    <x v="6"/>
    <s v="Dec"/>
    <s v="Missing supporting documentation from vendor."/>
    <n v="38"/>
    <x v="1"/>
    <x v="2"/>
    <x v="1"/>
    <x v="1"/>
  </r>
  <r>
    <x v="0"/>
    <s v="Global Consumer Products 2025"/>
    <s v="Billing Request- 00102401"/>
    <x v="4"/>
    <d v="2025-01-30T00:00:00"/>
    <d v="2025-05-25T00:00:00"/>
    <x v="2"/>
    <s v="a6JXt7408675"/>
    <x v="3"/>
    <s v="Mar"/>
    <s v="Missing supporting documentation from vendor."/>
    <n v="115"/>
    <x v="0"/>
    <x v="0"/>
    <x v="3"/>
    <x v="0"/>
  </r>
  <r>
    <x v="0"/>
    <s v="NWSL Halftime Sponsorship 2026"/>
    <s v="Billing Request- 00102403"/>
    <x v="0"/>
    <d v="2026-04-14T00:00:00"/>
    <d v="2026-05-06T00:00:00"/>
    <x v="2"/>
    <s v="a6JHn6445840"/>
    <x v="1"/>
    <s v="May; Jun"/>
    <s v="Manual billing entry issue."/>
    <n v="22"/>
    <x v="3"/>
    <x v="10"/>
    <x v="1"/>
    <x v="1"/>
  </r>
  <r>
    <x v="0"/>
    <s v="NFL Prime Video 2026"/>
    <s v="Billing Request- 00102404"/>
    <x v="6"/>
    <d v="2026-05-01T00:00:00"/>
    <d v="2026-05-08T00:00:00"/>
    <x v="2"/>
    <s v="a6JHn8569691"/>
    <x v="1"/>
    <s v="Jul; Aug"/>
    <s v="Late media plan changes from client."/>
    <n v="7"/>
    <x v="2"/>
    <x v="16"/>
    <x v="3"/>
    <x v="1"/>
  </r>
  <r>
    <x v="0"/>
    <s v="TNF Sponsorship 2026"/>
    <s v="Billing Request- 00102405"/>
    <x v="8"/>
    <d v="2026-03-29T00:00:00"/>
    <d v="2026-04-13T00:00:00"/>
    <x v="0"/>
    <s v="a6Jat6091391"/>
    <x v="2"/>
    <s v="Jul"/>
    <s v="Incorrect legal terms delayed PTS."/>
    <n v="15"/>
    <x v="3"/>
    <x v="2"/>
    <x v="4"/>
    <x v="1"/>
  </r>
  <r>
    <x v="4"/>
    <s v="TNF Sponsorship 2025"/>
    <s v="Billing Request- 00102406"/>
    <x v="0"/>
    <d v="2025-06-26T00:00:00"/>
    <d v="2025-08-15T00:00:00"/>
    <x v="2"/>
    <s v="a6Jat8633870"/>
    <x v="1"/>
    <s v="Dec"/>
    <s v="Late media plan changes from client."/>
    <n v="50"/>
    <x v="1"/>
    <x v="9"/>
    <x v="4"/>
    <x v="0"/>
  </r>
  <r>
    <x v="0"/>
    <s v="Amazon TNF 2024 2026"/>
    <s v="Billing Request- 00102407"/>
    <x v="9"/>
    <d v="2026-04-16T00:00:00"/>
    <d v="2026-05-09T00:00:00"/>
    <x v="1"/>
    <s v="a6JXt8929859"/>
    <x v="3"/>
    <s v="May; Jun"/>
    <s v="Invoice details mismatch with approved campaign."/>
    <n v="23"/>
    <x v="3"/>
    <x v="10"/>
    <x v="4"/>
    <x v="1"/>
  </r>
  <r>
    <x v="0"/>
    <s v="NFL Prime Video 2025"/>
    <s v="Billing Request- 00102409"/>
    <x v="3"/>
    <d v="2025-05-18T00:00:00"/>
    <d v="2025-08-14T00:00:00"/>
    <x v="2"/>
    <s v="a6JHn7379126"/>
    <x v="1"/>
    <s v="Dec"/>
    <s v="Missing supporting documentation from vendor."/>
    <n v="88"/>
    <x v="0"/>
    <x v="4"/>
    <x v="3"/>
    <x v="0"/>
  </r>
  <r>
    <x v="3"/>
    <s v="Streaming Bundle Initiative 2026"/>
    <s v="Billing Request- 00102411"/>
    <x v="8"/>
    <d v="2026-05-02T00:00:00"/>
    <d v="2026-05-07T00:00:00"/>
    <x v="0"/>
    <s v="a6JHn7284497"/>
    <x v="6"/>
    <s v="Jul"/>
    <s v="Missing supporting documentation from vendor."/>
    <n v="5"/>
    <x v="2"/>
    <x v="16"/>
    <x v="3"/>
    <x v="1"/>
  </r>
  <r>
    <x v="0"/>
    <s v="Streaming Bundle Initiative 2026"/>
    <s v="Billing Request- 00102413"/>
    <x v="3"/>
    <d v="2026-02-01T00:00:00"/>
    <d v="2026-02-18T00:00:00"/>
    <x v="0"/>
    <s v="a6Jat7826089"/>
    <x v="2"/>
    <s v="Jun"/>
    <s v="Late media plan changes from client."/>
    <n v="17"/>
    <x v="3"/>
    <x v="1"/>
    <x v="3"/>
    <x v="1"/>
  </r>
  <r>
    <x v="0"/>
    <s v="NWSL Prime Video 2026"/>
    <s v="Billing Request- 00102415"/>
    <x v="0"/>
    <d v="2026-01-08T00:00:00"/>
    <d v="2026-04-25T00:00:00"/>
    <x v="0"/>
    <s v="a6Jat7691200"/>
    <x v="3"/>
    <s v="May"/>
    <s v="Manual billing entry issue."/>
    <n v="107"/>
    <x v="0"/>
    <x v="7"/>
    <x v="1"/>
    <x v="1"/>
  </r>
  <r>
    <x v="0"/>
    <s v="NWSL Prime Video 2025"/>
    <s v="Billing Request- 00102416"/>
    <x v="3"/>
    <d v="2025-10-03T00:00:00"/>
    <d v="2026-01-24T00:00:00"/>
    <x v="2"/>
    <s v="a6Jat3290763"/>
    <x v="3"/>
    <s v="Aug"/>
    <s v="Finance validation process delay."/>
    <n v="113"/>
    <x v="0"/>
    <x v="5"/>
    <x v="1"/>
    <x v="0"/>
  </r>
  <r>
    <x v="0"/>
    <s v="NWSL Prime Video 2025"/>
    <s v="Billing Request- 00102417"/>
    <x v="2"/>
    <d v="2025-01-25T00:00:00"/>
    <d v="2025-01-30T00:00:00"/>
    <x v="0"/>
    <s v="a6JXt6642710"/>
    <x v="5"/>
    <s v="Jul; Aug"/>
    <s v="Invoice details mismatch with approved campaign."/>
    <n v="5"/>
    <x v="2"/>
    <x v="0"/>
    <x v="1"/>
    <x v="0"/>
  </r>
  <r>
    <x v="0"/>
    <s v="NFL Prime Video 2025"/>
    <s v="Billing Request- 00102420"/>
    <x v="7"/>
    <d v="2025-12-14T00:00:00"/>
    <d v="2026-01-07T00:00:00"/>
    <x v="1"/>
    <s v="a6Jat3052579"/>
    <x v="6"/>
    <s v="Jul; Aug"/>
    <s v="Client requested retroactive billing adjustments."/>
    <n v="24"/>
    <x v="3"/>
    <x v="11"/>
    <x v="3"/>
    <x v="0"/>
  </r>
  <r>
    <x v="0"/>
    <s v="DirecTV NASCAR Campaign 2026"/>
    <s v="Billing Request- 00102421"/>
    <x v="3"/>
    <d v="2026-01-24T00:00:00"/>
    <d v="2026-04-14T00:00:00"/>
    <x v="2"/>
    <s v="a6Jat3209870"/>
    <x v="1"/>
    <s v="Jul; Aug"/>
    <s v=""/>
    <n v="80"/>
    <x v="0"/>
    <x v="7"/>
    <x v="0"/>
    <x v="1"/>
  </r>
  <r>
    <x v="4"/>
    <s v="NWSL Halftime Sponsorship 2026"/>
    <s v="Billing Request- 00102422"/>
    <x v="2"/>
    <d v="2026-02-10T00:00:00"/>
    <d v="2026-05-05T00:00:00"/>
    <x v="0"/>
    <s v="a6JHn3642502"/>
    <x v="5"/>
    <s v="Dec"/>
    <s v="Missing supporting documentation from vendor."/>
    <n v="84"/>
    <x v="0"/>
    <x v="1"/>
    <x v="1"/>
    <x v="1"/>
  </r>
  <r>
    <x v="0"/>
    <s v="Amazon TNF 2024 2025"/>
    <s v="Billing Request- 00102424"/>
    <x v="8"/>
    <d v="2025-01-04T00:00:00"/>
    <d v="2025-03-06T00:00:00"/>
    <x v="0"/>
    <s v="a6Jat9842784"/>
    <x v="3"/>
    <s v="Nov"/>
    <s v="Incorrect legal terms delayed PTS."/>
    <n v="61"/>
    <x v="0"/>
    <x v="0"/>
    <x v="4"/>
    <x v="0"/>
  </r>
  <r>
    <x v="0"/>
    <s v="TNF Sponsorship 2025"/>
    <s v="Billing Request- 00102427"/>
    <x v="2"/>
    <d v="2025-01-10T00:00:00"/>
    <d v="2025-04-20T00:00:00"/>
    <x v="0"/>
    <s v="a6JXt8504725"/>
    <x v="3"/>
    <s v="Jun"/>
    <s v="Client requested retroactive billing adjustments."/>
    <n v="100"/>
    <x v="0"/>
    <x v="0"/>
    <x v="4"/>
    <x v="0"/>
  </r>
  <r>
    <x v="0"/>
    <s v="Retail Media Expansion 2026"/>
    <s v="Billing Request- 00102429"/>
    <x v="4"/>
    <d v="2026-02-06T00:00:00"/>
    <d v="2026-05-08T00:00:00"/>
    <x v="0"/>
    <s v="a6Jat8151198"/>
    <x v="1"/>
    <s v="Mar"/>
    <s v="Late media plan changes from client."/>
    <n v="91"/>
    <x v="0"/>
    <x v="1"/>
    <x v="3"/>
    <x v="1"/>
  </r>
  <r>
    <x v="0"/>
    <s v="NBA Playoffs Campaign 2025"/>
    <s v="Billing Request- 00102430"/>
    <x v="6"/>
    <d v="2025-11-01T00:00:00"/>
    <d v="2025-11-21T00:00:00"/>
    <x v="2"/>
    <s v="a6JXt9917509"/>
    <x v="5"/>
    <s v="Apr"/>
    <s v="Finance validation process delay."/>
    <n v="20"/>
    <x v="3"/>
    <x v="15"/>
    <x v="2"/>
    <x v="0"/>
  </r>
  <r>
    <x v="0"/>
    <s v="Amazon NBA Live Sports 2026"/>
    <s v="Billing Request- 00102433"/>
    <x v="6"/>
    <d v="2026-03-10T00:00:00"/>
    <d v="2026-05-04T00:00:00"/>
    <x v="2"/>
    <s v="a6JXt2730412"/>
    <x v="5"/>
    <s v="Dec"/>
    <s v="Invoice details mismatch with approved campaign."/>
    <n v="55"/>
    <x v="1"/>
    <x v="2"/>
    <x v="2"/>
    <x v="1"/>
  </r>
  <r>
    <x v="0"/>
    <s v="Amazon NBA Live Sports 2026"/>
    <s v="Billing Request- 00102434"/>
    <x v="6"/>
    <d v="2026-01-20T00:00:00"/>
    <d v="2026-03-16T00:00:00"/>
    <x v="2"/>
    <s v="a6Jat8829012"/>
    <x v="1"/>
    <s v="May; Jun"/>
    <s v="Late media plan changes from client."/>
    <n v="55"/>
    <x v="1"/>
    <x v="7"/>
    <x v="2"/>
    <x v="1"/>
  </r>
  <r>
    <x v="0"/>
    <s v="NASCAR P&amp;Q 2025"/>
    <s v="Billing Request- 00102435"/>
    <x v="5"/>
    <d v="2025-02-26T00:00:00"/>
    <d v="2025-06-08T00:00:00"/>
    <x v="0"/>
    <s v="a6Jat7912974"/>
    <x v="0"/>
    <s v="May"/>
    <s v="Invoice details mismatch with approved campaign."/>
    <n v="102"/>
    <x v="0"/>
    <x v="6"/>
    <x v="0"/>
    <x v="0"/>
  </r>
  <r>
    <x v="0"/>
    <s v="Retail Media Expansion 2025"/>
    <s v="Billing Request- 00102436"/>
    <x v="8"/>
    <d v="2025-09-22T00:00:00"/>
    <d v="2026-01-19T00:00:00"/>
    <x v="2"/>
    <s v="a6JXt8882386"/>
    <x v="4"/>
    <s v="Mar; Apr"/>
    <s v="Finance validation process delay."/>
    <n v="119"/>
    <x v="0"/>
    <x v="14"/>
    <x v="3"/>
    <x v="0"/>
  </r>
  <r>
    <x v="0"/>
    <s v="NBA League Pass 2025"/>
    <s v="Billing Request- 00102437"/>
    <x v="3"/>
    <d v="2025-05-13T00:00:00"/>
    <d v="2025-06-21T00:00:00"/>
    <x v="0"/>
    <s v="a6JHn8758452"/>
    <x v="0"/>
    <s v="Jun"/>
    <s v="Missing supporting documentation from vendor."/>
    <n v="39"/>
    <x v="1"/>
    <x v="4"/>
    <x v="2"/>
    <x v="0"/>
  </r>
  <r>
    <x v="0"/>
    <s v="NWSL Prime Video 2025"/>
    <s v="Billing Request- 00102438"/>
    <x v="5"/>
    <d v="2025-02-26T00:00:00"/>
    <d v="2025-04-11T00:00:00"/>
    <x v="2"/>
    <s v="a6JXt1721598"/>
    <x v="5"/>
    <s v="Feb"/>
    <s v="Manual billing entry issue."/>
    <n v="44"/>
    <x v="1"/>
    <x v="6"/>
    <x v="1"/>
    <x v="0"/>
  </r>
  <r>
    <x v="0"/>
    <s v="NFL Prime Video 2025"/>
    <s v="Billing Request- 00102441"/>
    <x v="2"/>
    <d v="2025-11-01T00:00:00"/>
    <d v="2025-11-21T00:00:00"/>
    <x v="2"/>
    <s v="a6Jat2418154"/>
    <x v="1"/>
    <s v="Feb"/>
    <s v="Incorrect legal terms delayed PTS."/>
    <n v="20"/>
    <x v="3"/>
    <x v="15"/>
    <x v="3"/>
    <x v="0"/>
  </r>
  <r>
    <x v="2"/>
    <s v="WNBA Incremental Scatter 2025"/>
    <s v="Billing Request- 00102442"/>
    <x v="5"/>
    <d v="2025-03-17T00:00:00"/>
    <d v="2025-05-16T00:00:00"/>
    <x v="2"/>
    <s v="a6JHn4092823"/>
    <x v="0"/>
    <s v="Oct"/>
    <s v="Incorrect legal terms delayed PTS."/>
    <n v="60"/>
    <x v="1"/>
    <x v="13"/>
    <x v="2"/>
    <x v="0"/>
  </r>
  <r>
    <x v="0"/>
    <s v="NASCAR P&amp;Q 2026"/>
    <s v="Billing Request- 00102444"/>
    <x v="0"/>
    <d v="2026-03-11T00:00:00"/>
    <d v="2026-05-08T00:00:00"/>
    <x v="2"/>
    <s v="a6Jat6419744"/>
    <x v="0"/>
    <s v="Mar; Apr"/>
    <s v="Finance validation process delay."/>
    <n v="58"/>
    <x v="1"/>
    <x v="2"/>
    <x v="0"/>
    <x v="1"/>
  </r>
  <r>
    <x v="4"/>
    <s v="WNBA Incremental Scatter 2026"/>
    <s v="Billing Request- 00102445"/>
    <x v="8"/>
    <d v="2026-01-22T00:00:00"/>
    <d v="2026-03-09T00:00:00"/>
    <x v="2"/>
    <s v="a6Jat6053211"/>
    <x v="2"/>
    <s v="Aug"/>
    <s v="Missing supporting documentation from vendor."/>
    <n v="46"/>
    <x v="1"/>
    <x v="7"/>
    <x v="2"/>
    <x v="1"/>
  </r>
  <r>
    <x v="0"/>
    <s v="NBA Playoffs Campaign 2025"/>
    <s v="Billing Request- 00102446"/>
    <x v="9"/>
    <d v="2025-01-22T00:00:00"/>
    <d v="2025-04-25T00:00:00"/>
    <x v="2"/>
    <s v="a6Jat1932848"/>
    <x v="3"/>
    <s v="May; Jun"/>
    <s v="Missing supporting documentation from vendor."/>
    <n v="93"/>
    <x v="0"/>
    <x v="0"/>
    <x v="2"/>
    <x v="0"/>
  </r>
  <r>
    <x v="0"/>
    <s v="NASCAR P&amp;Q 2026"/>
    <s v="Billing Request- 00102449"/>
    <x v="6"/>
    <d v="2026-02-27T00:00:00"/>
    <d v="2026-05-08T00:00:00"/>
    <x v="2"/>
    <s v="a6Jat5650251"/>
    <x v="1"/>
    <s v="Jul"/>
    <s v="Agency submitted updated invoice mapping."/>
    <n v="70"/>
    <x v="0"/>
    <x v="1"/>
    <x v="0"/>
    <x v="1"/>
  </r>
  <r>
    <x v="0"/>
    <s v="Streaming Bundle Initiative 2026"/>
    <s v="Billing Request- 00102450"/>
    <x v="7"/>
    <d v="2026-03-30T00:00:00"/>
    <d v="2026-04-22T00:00:00"/>
    <x v="2"/>
    <s v="a6JHn4324036"/>
    <x v="1"/>
    <s v="Sep; Oct"/>
    <s v="Incorrect legal terms delayed PTS."/>
    <n v="23"/>
    <x v="3"/>
    <x v="2"/>
    <x v="3"/>
    <x v="1"/>
  </r>
  <r>
    <x v="0"/>
    <s v="NWSL Halftime Sponsorship 2026"/>
    <s v="Billing Request- 00102451"/>
    <x v="4"/>
    <d v="2026-03-05T00:00:00"/>
    <d v="2026-03-08T00:00:00"/>
    <x v="2"/>
    <s v="a6JXt4492872"/>
    <x v="4"/>
    <s v="Aug"/>
    <s v="Missing supporting documentation from vendor."/>
    <n v="3"/>
    <x v="2"/>
    <x v="2"/>
    <x v="1"/>
    <x v="1"/>
  </r>
  <r>
    <x v="2"/>
    <s v="NASCAR Apex 2025 2025"/>
    <s v="Billing Request- 00102452"/>
    <x v="7"/>
    <d v="2025-04-02T00:00:00"/>
    <d v="2025-04-22T00:00:00"/>
    <x v="2"/>
    <s v="a6JXt7279849"/>
    <x v="2"/>
    <s v="May; Jun"/>
    <s v="Agency submitted updated invoice mapping."/>
    <n v="20"/>
    <x v="3"/>
    <x v="3"/>
    <x v="0"/>
    <x v="0"/>
  </r>
  <r>
    <x v="0"/>
    <s v="NASCAR Apex 2025 2025"/>
    <s v="Billing Request- 00102454"/>
    <x v="4"/>
    <d v="2025-02-15T00:00:00"/>
    <d v="2025-04-03T00:00:00"/>
    <x v="2"/>
    <s v="a6JXt5475710"/>
    <x v="3"/>
    <s v="May"/>
    <s v="Agency submitted updated invoice mapping."/>
    <n v="47"/>
    <x v="1"/>
    <x v="6"/>
    <x v="0"/>
    <x v="0"/>
  </r>
  <r>
    <x v="0"/>
    <s v="NWSL Prime Video 2026"/>
    <s v="Billing Request- 00102455"/>
    <x v="6"/>
    <d v="2026-03-18T00:00:00"/>
    <d v="2026-05-01T00:00:00"/>
    <x v="2"/>
    <s v="a6Jat7229979"/>
    <x v="1"/>
    <s v="Mar"/>
    <s v="Agency submitted updated invoice mapping."/>
    <n v="44"/>
    <x v="1"/>
    <x v="2"/>
    <x v="1"/>
    <x v="1"/>
  </r>
  <r>
    <x v="0"/>
    <s v="Prime Sports NFL 2025"/>
    <s v="Billing Request- 00102456"/>
    <x v="6"/>
    <d v="2025-09-19T00:00:00"/>
    <d v="2025-12-31T00:00:00"/>
    <x v="2"/>
    <s v="a6Jat5185348"/>
    <x v="6"/>
    <s v="Dec"/>
    <s v="Manual billing entry issue."/>
    <n v="103"/>
    <x v="0"/>
    <x v="14"/>
    <x v="3"/>
    <x v="0"/>
  </r>
  <r>
    <x v="0"/>
    <s v="NASCAR P&amp;Q 2025"/>
    <s v="Billing Request- 00102457"/>
    <x v="8"/>
    <d v="2025-06-08T00:00:00"/>
    <d v="2025-08-26T00:00:00"/>
    <x v="0"/>
    <s v="a6Jat6589859"/>
    <x v="1"/>
    <s v="Nov"/>
    <s v="Invoice details mismatch with approved campaign."/>
    <n v="79"/>
    <x v="0"/>
    <x v="9"/>
    <x v="0"/>
    <x v="0"/>
  </r>
  <r>
    <x v="4"/>
    <s v="NWSL Prime Video 2025"/>
    <s v="Billing Request- 00102458"/>
    <x v="2"/>
    <d v="2025-03-04T00:00:00"/>
    <d v="2025-06-27T00:00:00"/>
    <x v="2"/>
    <s v="a6JXt3205548"/>
    <x v="0"/>
    <s v="Aug"/>
    <s v="Client requested retroactive billing adjustments."/>
    <n v="115"/>
    <x v="0"/>
    <x v="13"/>
    <x v="1"/>
    <x v="0"/>
  </r>
  <r>
    <x v="4"/>
    <s v="NWSL Halftime Sponsorship 2026"/>
    <s v="Billing Request- 00102459"/>
    <x v="9"/>
    <d v="2026-04-21T00:00:00"/>
    <d v="2026-05-07T00:00:00"/>
    <x v="2"/>
    <s v="a6JXt7118380"/>
    <x v="4"/>
    <s v="Nov"/>
    <s v="Agency submitted updated invoice mapping."/>
    <n v="16"/>
    <x v="3"/>
    <x v="10"/>
    <x v="1"/>
    <x v="1"/>
  </r>
  <r>
    <x v="0"/>
    <s v="NWSL Halftime Sponsorship 2026"/>
    <s v="Billing Request- 00102461"/>
    <x v="4"/>
    <d v="2026-04-18T00:00:00"/>
    <d v="2026-05-06T00:00:00"/>
    <x v="0"/>
    <s v="a6JXt8087672"/>
    <x v="5"/>
    <s v="Feb"/>
    <s v="Client requested retroactive billing adjustments."/>
    <n v="18"/>
    <x v="3"/>
    <x v="10"/>
    <x v="1"/>
    <x v="1"/>
  </r>
  <r>
    <x v="0"/>
    <s v="Retail Media Expansion 2025"/>
    <s v="Billing Request- 00102463"/>
    <x v="9"/>
    <d v="2025-10-13T00:00:00"/>
    <d v="2025-10-26T00:00:00"/>
    <x v="0"/>
    <s v="a6JHn2922336"/>
    <x v="4"/>
    <s v="Nov; Dec"/>
    <s v=""/>
    <n v="13"/>
    <x v="4"/>
    <x v="5"/>
    <x v="3"/>
    <x v="0"/>
  </r>
  <r>
    <x v="0"/>
    <s v="NWSL Halftime Sponsorship 2025"/>
    <s v="Billing Request- 00102465"/>
    <x v="8"/>
    <d v="2025-07-15T00:00:00"/>
    <d v="2025-08-27T00:00:00"/>
    <x v="2"/>
    <s v="a6Jat1201855"/>
    <x v="4"/>
    <s v="Jul; Aug"/>
    <s v="Agency submitted updated invoice mapping."/>
    <n v="43"/>
    <x v="1"/>
    <x v="12"/>
    <x v="1"/>
    <x v="0"/>
  </r>
  <r>
    <x v="0"/>
    <s v="NASCAR Apex 2025 2026"/>
    <s v="Billing Request- 00102466"/>
    <x v="9"/>
    <d v="2026-01-29T00:00:00"/>
    <d v="2026-04-26T00:00:00"/>
    <x v="2"/>
    <s v="a6Jat6900629"/>
    <x v="3"/>
    <s v="Jan"/>
    <s v="Finance validation process delay."/>
    <n v="87"/>
    <x v="0"/>
    <x v="7"/>
    <x v="0"/>
    <x v="1"/>
  </r>
  <r>
    <x v="0"/>
    <s v="NFL Prime Video 2025"/>
    <s v="Billing Request- 00102467"/>
    <x v="0"/>
    <d v="2025-12-31T00:00:00"/>
    <d v="2026-04-10T00:00:00"/>
    <x v="2"/>
    <s v="a6JHn9731347"/>
    <x v="5"/>
    <s v="Dec"/>
    <s v="Incorrect legal terms delayed PTS."/>
    <n v="100"/>
    <x v="0"/>
    <x v="11"/>
    <x v="3"/>
    <x v="0"/>
  </r>
  <r>
    <x v="0"/>
    <s v="Retail Media Expansion 2025"/>
    <s v="Billing Request- 00102468"/>
    <x v="8"/>
    <d v="2025-06-27T00:00:00"/>
    <d v="2025-08-03T00:00:00"/>
    <x v="0"/>
    <s v="a6JHn7501644"/>
    <x v="3"/>
    <s v="Feb"/>
    <s v="Missing supporting documentation from vendor."/>
    <n v="37"/>
    <x v="1"/>
    <x v="9"/>
    <x v="3"/>
    <x v="0"/>
  </r>
  <r>
    <x v="0"/>
    <s v="NWSL Prime Video 2025"/>
    <s v="Billing Request- 00102469"/>
    <x v="1"/>
    <d v="2025-09-21T00:00:00"/>
    <d v="2025-12-23T00:00:00"/>
    <x v="0"/>
    <s v="a6JHn9244717"/>
    <x v="6"/>
    <s v="Mar; Apr"/>
    <s v="Late media plan changes from client."/>
    <n v="93"/>
    <x v="0"/>
    <x v="14"/>
    <x v="1"/>
    <x v="0"/>
  </r>
  <r>
    <x v="4"/>
    <s v="Global Consumer Products 2025"/>
    <s v="Billing Request- 00102470"/>
    <x v="1"/>
    <d v="2025-01-24T00:00:00"/>
    <d v="2025-03-10T00:00:00"/>
    <x v="2"/>
    <s v="a6JHn5176583"/>
    <x v="5"/>
    <s v="Feb"/>
    <s v="Finance validation process delay."/>
    <n v="45"/>
    <x v="1"/>
    <x v="0"/>
    <x v="3"/>
    <x v="0"/>
  </r>
  <r>
    <x v="0"/>
    <s v="NFL Prime Video 2026"/>
    <s v="Billing Request- 00102472"/>
    <x v="1"/>
    <d v="2026-05-03T00:00:00"/>
    <d v="2026-05-08T00:00:00"/>
    <x v="2"/>
    <s v="a6JXt9070367"/>
    <x v="5"/>
    <s v="Jun"/>
    <s v="Missing supporting documentation from vendor."/>
    <n v="5"/>
    <x v="2"/>
    <x v="16"/>
    <x v="3"/>
    <x v="1"/>
  </r>
  <r>
    <x v="0"/>
    <s v="NASCAR Apex 2025 2025"/>
    <s v="Billing Request- 00102474"/>
    <x v="0"/>
    <d v="2025-12-03T00:00:00"/>
    <d v="2025-12-11T00:00:00"/>
    <x v="2"/>
    <s v="a6JXt1611999"/>
    <x v="5"/>
    <s v="Nov; Dec"/>
    <s v="Manual billing entry issue."/>
    <n v="8"/>
    <x v="4"/>
    <x v="11"/>
    <x v="0"/>
    <x v="0"/>
  </r>
  <r>
    <x v="0"/>
    <s v="NWSL Halftime Sponsorship 2025"/>
    <s v="Billing Request- 00102475"/>
    <x v="1"/>
    <d v="2025-09-11T00:00:00"/>
    <d v="2025-11-02T00:00:00"/>
    <x v="2"/>
    <s v="a6JHn7333508"/>
    <x v="0"/>
    <s v="Jul"/>
    <s v="Client requested retroactive billing adjustments."/>
    <n v="52"/>
    <x v="1"/>
    <x v="14"/>
    <x v="1"/>
    <x v="0"/>
  </r>
  <r>
    <x v="0"/>
    <s v="WNBA Incremental Scatter 2025"/>
    <s v="Billing Request- 00102477"/>
    <x v="8"/>
    <d v="2025-11-13T00:00:00"/>
    <d v="2026-03-13T00:00:00"/>
    <x v="1"/>
    <s v="a6JHn2784367"/>
    <x v="5"/>
    <s v="Mar; Apr"/>
    <s v="Invoice details mismatch with approved campaign."/>
    <n v="120"/>
    <x v="0"/>
    <x v="15"/>
    <x v="2"/>
    <x v="0"/>
  </r>
  <r>
    <x v="0"/>
    <s v="Amazon NBA Live Sports 2026"/>
    <s v="Billing Request- 00102478"/>
    <x v="5"/>
    <d v="2026-04-16T00:00:00"/>
    <d v="2026-05-06T00:00:00"/>
    <x v="2"/>
    <s v="a6JXt7334944"/>
    <x v="4"/>
    <s v="Nov"/>
    <s v="Agency submitted updated invoice mapping."/>
    <n v="20"/>
    <x v="3"/>
    <x v="10"/>
    <x v="2"/>
    <x v="1"/>
  </r>
  <r>
    <x v="0"/>
    <s v="NWSL Halftime Sponsorship 2025"/>
    <s v="Billing Request- 00102479"/>
    <x v="7"/>
    <d v="2025-06-17T00:00:00"/>
    <d v="2025-09-06T00:00:00"/>
    <x v="2"/>
    <s v="a6Jat3174986"/>
    <x v="3"/>
    <s v="Feb"/>
    <s v="Invoice details mismatch with approved campaign."/>
    <n v="81"/>
    <x v="0"/>
    <x v="9"/>
    <x v="1"/>
    <x v="0"/>
  </r>
  <r>
    <x v="0"/>
    <s v="NFL Prime Video 2025"/>
    <s v="Billing Request- 00102480"/>
    <x v="2"/>
    <d v="2025-08-28T00:00:00"/>
    <d v="2025-10-25T00:00:00"/>
    <x v="0"/>
    <s v="a6JXt1729471"/>
    <x v="6"/>
    <s v="Sep; Oct"/>
    <s v="Agency submitted updated invoice mapping."/>
    <n v="58"/>
    <x v="1"/>
    <x v="8"/>
    <x v="3"/>
    <x v="0"/>
  </r>
  <r>
    <x v="0"/>
    <s v="Prime Sports NFL 2026"/>
    <s v="Billing Request- 00102481"/>
    <x v="5"/>
    <d v="2026-01-04T00:00:00"/>
    <d v="2026-02-17T00:00:00"/>
    <x v="2"/>
    <s v="a6JXt2925327"/>
    <x v="4"/>
    <s v="May"/>
    <s v="Finance validation process delay."/>
    <n v="44"/>
    <x v="1"/>
    <x v="7"/>
    <x v="3"/>
    <x v="1"/>
  </r>
  <r>
    <x v="0"/>
    <s v="NASCAR Apex 2025 2025"/>
    <s v="Billing Request- 00102482"/>
    <x v="7"/>
    <d v="2025-05-31T00:00:00"/>
    <d v="2025-09-07T00:00:00"/>
    <x v="2"/>
    <s v="a6JXt7402477"/>
    <x v="0"/>
    <s v="Mar"/>
    <s v="Invoice details mismatch with approved campaign."/>
    <n v="99"/>
    <x v="0"/>
    <x v="4"/>
    <x v="0"/>
    <x v="0"/>
  </r>
  <r>
    <x v="2"/>
    <s v="NFL Prime Video 2025"/>
    <s v="Billing Request- 00102485"/>
    <x v="4"/>
    <d v="2025-06-03T00:00:00"/>
    <d v="2025-07-20T00:00:00"/>
    <x v="0"/>
    <s v="a6Jat9942483"/>
    <x v="2"/>
    <s v="May"/>
    <s v="Missing supporting documentation from vendor."/>
    <n v="47"/>
    <x v="1"/>
    <x v="9"/>
    <x v="3"/>
    <x v="0"/>
  </r>
  <r>
    <x v="4"/>
    <s v="TNF Sponsorship 2025"/>
    <s v="Billing Request- 00102486"/>
    <x v="4"/>
    <d v="2025-11-20T00:00:00"/>
    <d v="2026-02-04T00:00:00"/>
    <x v="2"/>
    <s v="a6Jat7857925"/>
    <x v="0"/>
    <s v="Mar"/>
    <s v="Client requested retroactive billing adjustments."/>
    <n v="76"/>
    <x v="0"/>
    <x v="15"/>
    <x v="4"/>
    <x v="0"/>
  </r>
  <r>
    <x v="0"/>
    <s v="Retail Media Expansion 2026"/>
    <s v="Billing Request- 00102488"/>
    <x v="1"/>
    <d v="2026-05-05T00:00:00"/>
    <d v="2026-05-05T00:00:00"/>
    <x v="1"/>
    <s v="a6Jat5392839"/>
    <x v="3"/>
    <s v="Mar"/>
    <s v="Manual billing entry issue."/>
    <n v="0"/>
    <x v="2"/>
    <x v="16"/>
    <x v="3"/>
    <x v="1"/>
  </r>
  <r>
    <x v="0"/>
    <s v="Confluence Academy 2026"/>
    <s v="Billing Request- 00102489"/>
    <x v="7"/>
    <d v="2026-01-27T00:00:00"/>
    <d v="2026-02-11T00:00:00"/>
    <x v="1"/>
    <s v="a6JHn2441563"/>
    <x v="4"/>
    <s v="Nov"/>
    <s v="Incorrect legal terms delayed PTS."/>
    <n v="15"/>
    <x v="3"/>
    <x v="7"/>
    <x v="3"/>
    <x v="1"/>
  </r>
  <r>
    <x v="0"/>
    <s v="TNF Sponsorship 2025"/>
    <s v="Billing Request- 00102490"/>
    <x v="4"/>
    <d v="2025-10-28T00:00:00"/>
    <d v="2026-01-22T00:00:00"/>
    <x v="2"/>
    <s v="a6JHn7946950"/>
    <x v="5"/>
    <s v="Sep"/>
    <s v="Client requested retroactive billing adjustments."/>
    <n v="86"/>
    <x v="0"/>
    <x v="5"/>
    <x v="4"/>
    <x v="0"/>
  </r>
  <r>
    <x v="4"/>
    <s v="DirecTV NASCAR Campaign 2026"/>
    <s v="Billing Request- 00102491"/>
    <x v="4"/>
    <d v="2026-04-09T00:00:00"/>
    <d v="2026-05-09T00:00:00"/>
    <x v="2"/>
    <s v="a6Jat2161133"/>
    <x v="4"/>
    <s v="Apr"/>
    <s v="Late media plan changes from client."/>
    <n v="30"/>
    <x v="3"/>
    <x v="10"/>
    <x v="0"/>
    <x v="1"/>
  </r>
  <r>
    <x v="0"/>
    <s v="NASCAR Apex 2025 2026"/>
    <s v="Billing Request- 00102492"/>
    <x v="6"/>
    <d v="2026-04-01T00:00:00"/>
    <d v="2026-05-06T00:00:00"/>
    <x v="1"/>
    <s v="a6Jat8679345"/>
    <x v="2"/>
    <s v="Jul; Aug"/>
    <s v="Late media plan changes from client."/>
    <n v="35"/>
    <x v="1"/>
    <x v="10"/>
    <x v="0"/>
    <x v="1"/>
  </r>
  <r>
    <x v="0"/>
    <s v="NFL Prime Video 2026"/>
    <s v="Billing Request- 00102493"/>
    <x v="2"/>
    <d v="2026-04-27T00:00:00"/>
    <d v="2026-05-07T00:00:00"/>
    <x v="1"/>
    <s v="a6JHn5454764"/>
    <x v="5"/>
    <s v="Sep; Oct"/>
    <s v="Finance validation process delay."/>
    <n v="10"/>
    <x v="4"/>
    <x v="10"/>
    <x v="3"/>
    <x v="1"/>
  </r>
  <r>
    <x v="0"/>
    <s v="Amazon TNF 2024 2025"/>
    <s v="Billing Request- 00102496"/>
    <x v="6"/>
    <d v="2025-07-23T00:00:00"/>
    <d v="2025-08-23T00:00:00"/>
    <x v="1"/>
    <s v="a6JXt7812327"/>
    <x v="3"/>
    <s v="Mar; Apr"/>
    <s v="Incorrect legal terms delayed PTS."/>
    <n v="31"/>
    <x v="1"/>
    <x v="12"/>
    <x v="4"/>
    <x v="0"/>
  </r>
  <r>
    <x v="0"/>
    <s v="Global Consumer Products 2025"/>
    <s v="Billing Request- 00102498"/>
    <x v="7"/>
    <d v="2025-10-15T00:00:00"/>
    <d v="2025-12-03T00:00:00"/>
    <x v="2"/>
    <s v="a6JHn1203290"/>
    <x v="0"/>
    <s v="Apr"/>
    <s v="Client requested retroactive billing adjustments."/>
    <n v="49"/>
    <x v="1"/>
    <x v="5"/>
    <x v="3"/>
    <x v="0"/>
  </r>
  <r>
    <x v="0"/>
    <s v="Amazon TNF 2024 2026"/>
    <s v="Billing Request- 00102499"/>
    <x v="6"/>
    <d v="2026-04-27T00:00:00"/>
    <d v="2026-05-06T00:00:00"/>
    <x v="1"/>
    <s v="a6Jat9060974"/>
    <x v="5"/>
    <s v="Oct"/>
    <s v="Manual billing entry issue."/>
    <n v="9"/>
    <x v="4"/>
    <x v="10"/>
    <x v="4"/>
    <x v="1"/>
  </r>
  <r>
    <x v="0"/>
    <s v="Confluence Academy 2026"/>
    <s v="Billing Request- 00102500"/>
    <x v="0"/>
    <d v="2026-01-10T00:00:00"/>
    <d v="2026-03-08T00:00:00"/>
    <x v="0"/>
    <s v="a6JHn2788737"/>
    <x v="2"/>
    <s v="Mar; Apr"/>
    <s v="Client requested retroactive billing adjustments."/>
    <n v="57"/>
    <x v="1"/>
    <x v="7"/>
    <x v="3"/>
    <x v="1"/>
  </r>
  <r>
    <x v="0"/>
    <s v="WNBA Incremental Scatter 2026"/>
    <s v="Billing Request- 00102501"/>
    <x v="0"/>
    <d v="2026-03-13T00:00:00"/>
    <d v="2026-05-09T00:00:00"/>
    <x v="2"/>
    <s v="a6JHn6606737"/>
    <x v="0"/>
    <s v="May; Jun"/>
    <s v="Late media plan changes from client."/>
    <n v="57"/>
    <x v="1"/>
    <x v="2"/>
    <x v="2"/>
    <x v="1"/>
  </r>
  <r>
    <x v="0"/>
    <s v="NBA Playoffs Campaign 2025"/>
    <s v="Billing Request- 00102503"/>
    <x v="0"/>
    <d v="2025-12-15T00:00:00"/>
    <d v="2025-12-19T00:00:00"/>
    <x v="0"/>
    <s v="a6Jat6219672"/>
    <x v="2"/>
    <s v="Jun"/>
    <s v="Missing supporting documentation from vendor."/>
    <n v="4"/>
    <x v="2"/>
    <x v="11"/>
    <x v="2"/>
    <x v="0"/>
  </r>
  <r>
    <x v="1"/>
    <s v="NWSL Halftime Sponsorship 2025"/>
    <s v="Billing Request- 00102504"/>
    <x v="7"/>
    <d v="2025-06-28T00:00:00"/>
    <d v="2025-07-26T00:00:00"/>
    <x v="2"/>
    <s v="a6JXt8656484"/>
    <x v="6"/>
    <s v="May; Jun"/>
    <s v="Manual billing entry issue."/>
    <n v="28"/>
    <x v="3"/>
    <x v="9"/>
    <x v="1"/>
    <x v="0"/>
  </r>
  <r>
    <x v="0"/>
    <s v="NBA League Pass 2026"/>
    <s v="Billing Request- 00102505"/>
    <x v="3"/>
    <d v="2026-03-19T00:00:00"/>
    <d v="2026-05-06T00:00:00"/>
    <x v="0"/>
    <s v="a6Jat4289611"/>
    <x v="1"/>
    <s v="Dec"/>
    <s v=""/>
    <n v="48"/>
    <x v="1"/>
    <x v="2"/>
    <x v="2"/>
    <x v="1"/>
  </r>
  <r>
    <x v="3"/>
    <s v="NBA Playoffs Campaign 2025"/>
    <s v="Billing Request- 00102506"/>
    <x v="1"/>
    <d v="2025-06-18T00:00:00"/>
    <d v="2025-09-11T00:00:00"/>
    <x v="0"/>
    <s v="a6JHn8604021"/>
    <x v="3"/>
    <s v="Mar"/>
    <s v="Manual billing entry issue."/>
    <n v="85"/>
    <x v="0"/>
    <x v="9"/>
    <x v="2"/>
    <x v="0"/>
  </r>
  <r>
    <x v="0"/>
    <s v="NBA League Pass 2025"/>
    <s v="Billing Request- 00102508"/>
    <x v="9"/>
    <d v="2025-09-02T00:00:00"/>
    <d v="2025-12-23T00:00:00"/>
    <x v="2"/>
    <s v="a6JXt3037343"/>
    <x v="4"/>
    <s v="Nov"/>
    <s v="Client requested retroactive billing adjustments."/>
    <n v="112"/>
    <x v="0"/>
    <x v="14"/>
    <x v="2"/>
    <x v="0"/>
  </r>
  <r>
    <x v="2"/>
    <s v="Retail Media Expansion 2025"/>
    <s v="Billing Request- 00102509"/>
    <x v="2"/>
    <d v="2025-10-28T00:00:00"/>
    <d v="2026-01-08T00:00:00"/>
    <x v="2"/>
    <s v="a6JHn7595877"/>
    <x v="0"/>
    <s v="Jul"/>
    <s v=""/>
    <n v="72"/>
    <x v="0"/>
    <x v="5"/>
    <x v="3"/>
    <x v="0"/>
  </r>
  <r>
    <x v="0"/>
    <s v="TNF Sponsorship 2025"/>
    <s v="Billing Request- 00102510"/>
    <x v="8"/>
    <d v="2025-08-18T00:00:00"/>
    <d v="2025-08-20T00:00:00"/>
    <x v="0"/>
    <s v="a6JHn7050186"/>
    <x v="6"/>
    <s v="Aug"/>
    <s v="Manual billing entry issue."/>
    <n v="2"/>
    <x v="2"/>
    <x v="8"/>
    <x v="4"/>
    <x v="0"/>
  </r>
  <r>
    <x v="0"/>
    <s v="WNBA Incremental Scatter 2026"/>
    <s v="Billing Request- 00102515"/>
    <x v="8"/>
    <d v="2026-05-03T00:00:00"/>
    <d v="2026-05-08T00:00:00"/>
    <x v="0"/>
    <s v="a6JXt3094953"/>
    <x v="2"/>
    <s v="May; Jun"/>
    <s v="Manual billing entry issue."/>
    <n v="5"/>
    <x v="2"/>
    <x v="16"/>
    <x v="2"/>
    <x v="1"/>
  </r>
  <r>
    <x v="0"/>
    <s v="NASCAR Apex 2025 2025"/>
    <s v="Billing Request- 00102516"/>
    <x v="1"/>
    <d v="2025-07-31T00:00:00"/>
    <d v="2025-11-18T00:00:00"/>
    <x v="2"/>
    <s v="a6Jat3121398"/>
    <x v="1"/>
    <s v="Sep; Oct"/>
    <s v=""/>
    <n v="110"/>
    <x v="0"/>
    <x v="12"/>
    <x v="0"/>
    <x v="0"/>
  </r>
  <r>
    <x v="0"/>
    <s v="WNBA Incremental Scatter 2025"/>
    <s v="Billing Request- 00102518"/>
    <x v="0"/>
    <d v="2025-11-18T00:00:00"/>
    <d v="2026-02-18T00:00:00"/>
    <x v="2"/>
    <s v="a6Jat8320938"/>
    <x v="4"/>
    <s v="Mar; Apr"/>
    <s v=""/>
    <n v="92"/>
    <x v="0"/>
    <x v="15"/>
    <x v="2"/>
    <x v="0"/>
  </r>
  <r>
    <x v="0"/>
    <s v="NBA League Pass 2025"/>
    <s v="Billing Request- 00102520"/>
    <x v="8"/>
    <d v="2025-04-27T00:00:00"/>
    <d v="2025-07-21T00:00:00"/>
    <x v="0"/>
    <s v="a6Jat7749788"/>
    <x v="6"/>
    <s v="Jun"/>
    <s v="Missing supporting documentation from vendor."/>
    <n v="85"/>
    <x v="0"/>
    <x v="3"/>
    <x v="2"/>
    <x v="0"/>
  </r>
  <r>
    <x v="0"/>
    <s v="Global Consumer Products 2026"/>
    <s v="Billing Request- 00102521"/>
    <x v="5"/>
    <d v="2026-03-03T00:00:00"/>
    <d v="2026-05-02T00:00:00"/>
    <x v="0"/>
    <s v="a6JHn3775217"/>
    <x v="3"/>
    <s v="Jun"/>
    <s v="Missing supporting documentation from vendor."/>
    <n v="60"/>
    <x v="1"/>
    <x v="2"/>
    <x v="3"/>
    <x v="1"/>
  </r>
  <r>
    <x v="0"/>
    <s v="Global Consumer Products 2026"/>
    <s v="Billing Request- 00102522"/>
    <x v="3"/>
    <d v="2026-03-08T00:00:00"/>
    <d v="2026-04-16T00:00:00"/>
    <x v="2"/>
    <s v="a6JXt8200858"/>
    <x v="0"/>
    <s v="Sep; Oct"/>
    <s v="Incorrect legal terms delayed PTS."/>
    <n v="39"/>
    <x v="1"/>
    <x v="2"/>
    <x v="3"/>
    <x v="1"/>
  </r>
  <r>
    <x v="0"/>
    <s v="NASCAR P&amp;Q 2026"/>
    <s v="Billing Request- 00102523"/>
    <x v="4"/>
    <d v="2026-01-30T00:00:00"/>
    <d v="2026-02-09T00:00:00"/>
    <x v="2"/>
    <s v="a6Jat9719744"/>
    <x v="3"/>
    <s v="Nov; Dec"/>
    <s v="Finance validation process delay."/>
    <n v="10"/>
    <x v="4"/>
    <x v="7"/>
    <x v="0"/>
    <x v="1"/>
  </r>
  <r>
    <x v="0"/>
    <s v="DirecTV NASCAR Campaign 2025"/>
    <s v="Billing Request- 00102524"/>
    <x v="5"/>
    <d v="2025-06-20T00:00:00"/>
    <d v="2025-07-31T00:00:00"/>
    <x v="0"/>
    <s v="a6Jat7520573"/>
    <x v="1"/>
    <s v="Jul; Aug"/>
    <s v=""/>
    <n v="41"/>
    <x v="1"/>
    <x v="9"/>
    <x v="0"/>
    <x v="0"/>
  </r>
  <r>
    <x v="0"/>
    <s v="NBA League Pass 2025"/>
    <s v="Billing Request- 00102525"/>
    <x v="9"/>
    <d v="2025-11-09T00:00:00"/>
    <d v="2025-11-16T00:00:00"/>
    <x v="0"/>
    <s v="a6Jat5470232"/>
    <x v="4"/>
    <s v="May; Jun"/>
    <s v="Agency submitted updated invoice mapping."/>
    <n v="7"/>
    <x v="2"/>
    <x v="15"/>
    <x v="2"/>
    <x v="0"/>
  </r>
  <r>
    <x v="0"/>
    <s v="NASCAR Apex 2025 2026"/>
    <s v="Billing Request- 00102527"/>
    <x v="7"/>
    <d v="2026-02-14T00:00:00"/>
    <d v="2026-05-05T00:00:00"/>
    <x v="2"/>
    <s v="a6JHn8858567"/>
    <x v="2"/>
    <s v="May; Jun"/>
    <s v="Manual billing entry issue."/>
    <n v="80"/>
    <x v="0"/>
    <x v="1"/>
    <x v="0"/>
    <x v="1"/>
  </r>
  <r>
    <x v="0"/>
    <s v="Global Consumer Products 2025"/>
    <s v="Billing Request- 00102528"/>
    <x v="2"/>
    <d v="2025-07-03T00:00:00"/>
    <d v="2025-09-04T00:00:00"/>
    <x v="2"/>
    <s v="a6JXt3450291"/>
    <x v="2"/>
    <s v="May; Jun"/>
    <s v="Late media plan changes from client."/>
    <n v="63"/>
    <x v="0"/>
    <x v="12"/>
    <x v="3"/>
    <x v="0"/>
  </r>
  <r>
    <x v="1"/>
    <s v="NWSL Halftime Sponsorship 2025"/>
    <s v="Billing Request- 00102529"/>
    <x v="7"/>
    <d v="2025-02-07T00:00:00"/>
    <d v="2025-02-16T00:00:00"/>
    <x v="1"/>
    <s v="a6JHn1198800"/>
    <x v="2"/>
    <s v="Sep; Oct"/>
    <s v="Missing supporting documentation from vendor."/>
    <n v="9"/>
    <x v="4"/>
    <x v="6"/>
    <x v="1"/>
    <x v="0"/>
  </r>
  <r>
    <x v="0"/>
    <s v="NWSL Halftime Sponsorship 2026"/>
    <s v="Billing Request- 00102531"/>
    <x v="0"/>
    <d v="2026-01-11T00:00:00"/>
    <d v="2026-02-27T00:00:00"/>
    <x v="1"/>
    <s v="a6JXt3452038"/>
    <x v="4"/>
    <s v="Sep"/>
    <s v=""/>
    <n v="47"/>
    <x v="1"/>
    <x v="7"/>
    <x v="1"/>
    <x v="1"/>
  </r>
  <r>
    <x v="0"/>
    <s v="NWSL Prime Video 2025"/>
    <s v="Billing Request- 00102533"/>
    <x v="5"/>
    <d v="2025-04-28T00:00:00"/>
    <d v="2025-07-29T00:00:00"/>
    <x v="2"/>
    <s v="a6JHn3505608"/>
    <x v="6"/>
    <s v="Jul; Aug"/>
    <s v="Agency submitted updated invoice mapping."/>
    <n v="92"/>
    <x v="0"/>
    <x v="3"/>
    <x v="1"/>
    <x v="0"/>
  </r>
  <r>
    <x v="0"/>
    <s v="Amazon NBA Live Sports 2025"/>
    <s v="Billing Request- 00102535"/>
    <x v="6"/>
    <d v="2025-08-09T00:00:00"/>
    <d v="2025-11-15T00:00:00"/>
    <x v="2"/>
    <s v="a6JXt6490139"/>
    <x v="3"/>
    <s v="Mar"/>
    <s v="Client requested retroactive billing adjustments."/>
    <n v="98"/>
    <x v="0"/>
    <x v="8"/>
    <x v="2"/>
    <x v="0"/>
  </r>
  <r>
    <x v="4"/>
    <s v="Retail Media Expansion 2025"/>
    <s v="Billing Request- 00102539"/>
    <x v="9"/>
    <d v="2025-08-11T00:00:00"/>
    <d v="2025-11-18T00:00:00"/>
    <x v="2"/>
    <s v="a6JXt2876652"/>
    <x v="2"/>
    <s v="Jan; Feb"/>
    <s v="Manual billing entry issue."/>
    <n v="99"/>
    <x v="0"/>
    <x v="8"/>
    <x v="3"/>
    <x v="0"/>
  </r>
  <r>
    <x v="0"/>
    <s v="NWSL Halftime Sponsorship 2026"/>
    <s v="Billing Request- 00102541"/>
    <x v="4"/>
    <d v="2026-01-17T00:00:00"/>
    <d v="2026-01-20T00:00:00"/>
    <x v="2"/>
    <s v="a6JHn1071876"/>
    <x v="2"/>
    <s v="Nov; Dec"/>
    <s v="Late media plan changes from client."/>
    <n v="3"/>
    <x v="2"/>
    <x v="7"/>
    <x v="1"/>
    <x v="1"/>
  </r>
  <r>
    <x v="0"/>
    <s v="NASCAR P&amp;Q 2025"/>
    <s v="Billing Request- 00102543"/>
    <x v="0"/>
    <d v="2025-10-28T00:00:00"/>
    <d v="2025-11-14T00:00:00"/>
    <x v="2"/>
    <s v="a6Jat7844188"/>
    <x v="5"/>
    <s v="Mar; Apr"/>
    <s v="Incorrect legal terms delayed PTS."/>
    <n v="17"/>
    <x v="3"/>
    <x v="5"/>
    <x v="0"/>
    <x v="0"/>
  </r>
  <r>
    <x v="0"/>
    <s v="NASCAR P&amp;Q 2025"/>
    <s v="Billing Request- 00102544"/>
    <x v="5"/>
    <d v="2025-04-10T00:00:00"/>
    <d v="2025-04-26T00:00:00"/>
    <x v="2"/>
    <s v="a6JXt5102738"/>
    <x v="4"/>
    <s v="Nov; Dec"/>
    <s v="Client requested retroactive billing adjustments."/>
    <n v="16"/>
    <x v="3"/>
    <x v="3"/>
    <x v="0"/>
    <x v="0"/>
  </r>
  <r>
    <x v="0"/>
    <s v="NWSL Prime Video 2025"/>
    <s v="Billing Request- 00102545"/>
    <x v="2"/>
    <d v="2025-10-08T00:00:00"/>
    <d v="2025-11-02T00:00:00"/>
    <x v="2"/>
    <s v="a6JHn1960763"/>
    <x v="0"/>
    <s v="Jan; Feb"/>
    <s v="Agency submitted updated invoice mapping."/>
    <n v="25"/>
    <x v="3"/>
    <x v="5"/>
    <x v="1"/>
    <x v="0"/>
  </r>
  <r>
    <x v="0"/>
    <s v="NASCAR P&amp;Q 2026"/>
    <s v="Billing Request- 00102546"/>
    <x v="6"/>
    <d v="2026-02-20T00:00:00"/>
    <d v="2026-05-08T00:00:00"/>
    <x v="2"/>
    <s v="a6JHn3670217"/>
    <x v="3"/>
    <s v="Sep; Oct"/>
    <s v="Missing supporting documentation from vendor."/>
    <n v="77"/>
    <x v="0"/>
    <x v="1"/>
    <x v="0"/>
    <x v="1"/>
  </r>
  <r>
    <x v="0"/>
    <s v="Retail Media Expansion 2026"/>
    <s v="Billing Request- 00102547"/>
    <x v="3"/>
    <d v="2026-04-29T00:00:00"/>
    <d v="2026-05-04T00:00:00"/>
    <x v="2"/>
    <s v="a6JHn5636557"/>
    <x v="5"/>
    <s v="Jan"/>
    <s v="Manual billing entry issue."/>
    <n v="5"/>
    <x v="2"/>
    <x v="10"/>
    <x v="3"/>
    <x v="1"/>
  </r>
  <r>
    <x v="0"/>
    <s v="Confluence Academy 2025"/>
    <s v="Billing Request- 00102550"/>
    <x v="4"/>
    <d v="2025-08-16T00:00:00"/>
    <d v="2025-10-19T00:00:00"/>
    <x v="2"/>
    <s v="a6JHn4749702"/>
    <x v="2"/>
    <s v="Oct"/>
    <s v="Invoice details mismatch with approved campaign."/>
    <n v="64"/>
    <x v="0"/>
    <x v="8"/>
    <x v="3"/>
    <x v="0"/>
  </r>
  <r>
    <x v="0"/>
    <s v="NASCAR Apex 2025 2025"/>
    <s v="Billing Request- 00102551"/>
    <x v="4"/>
    <d v="2025-03-15T00:00:00"/>
    <d v="2025-05-11T00:00:00"/>
    <x v="0"/>
    <s v="a6Jat7527253"/>
    <x v="5"/>
    <s v="Dec"/>
    <s v=""/>
    <n v="57"/>
    <x v="1"/>
    <x v="13"/>
    <x v="0"/>
    <x v="0"/>
  </r>
  <r>
    <x v="0"/>
    <s v="TNF Sponsorship 2025"/>
    <s v="Billing Request- 00102552"/>
    <x v="7"/>
    <d v="2025-01-20T00:00:00"/>
    <d v="2025-05-03T00:00:00"/>
    <x v="1"/>
    <s v="a6Jat2950950"/>
    <x v="4"/>
    <s v="Jan; Feb"/>
    <s v=""/>
    <n v="103"/>
    <x v="0"/>
    <x v="0"/>
    <x v="4"/>
    <x v="0"/>
  </r>
  <r>
    <x v="0"/>
    <s v="NFL Prime Video 2025"/>
    <s v="Billing Request- 00102553"/>
    <x v="5"/>
    <d v="2025-07-12T00:00:00"/>
    <d v="2025-07-20T00:00:00"/>
    <x v="2"/>
    <s v="a6JXt2180243"/>
    <x v="2"/>
    <s v="Sep; Oct"/>
    <s v=""/>
    <n v="8"/>
    <x v="4"/>
    <x v="12"/>
    <x v="3"/>
    <x v="0"/>
  </r>
  <r>
    <x v="0"/>
    <s v="NWSL Prime Video 2025"/>
    <s v="Billing Request- 00102554"/>
    <x v="0"/>
    <d v="2025-04-27T00:00:00"/>
    <d v="2025-04-28T00:00:00"/>
    <x v="2"/>
    <s v="a6Jat5134187"/>
    <x v="5"/>
    <s v="Jul; Aug"/>
    <s v="Agency submitted updated invoice mapping."/>
    <n v="1"/>
    <x v="2"/>
    <x v="3"/>
    <x v="1"/>
    <x v="0"/>
  </r>
  <r>
    <x v="0"/>
    <s v="DirecTV NASCAR Campaign 2025"/>
    <s v="Billing Request- 00102555"/>
    <x v="3"/>
    <d v="2025-11-21T00:00:00"/>
    <d v="2026-03-18T00:00:00"/>
    <x v="2"/>
    <s v="a6Jat4544080"/>
    <x v="2"/>
    <s v="Jul; Aug"/>
    <s v=""/>
    <n v="117"/>
    <x v="0"/>
    <x v="15"/>
    <x v="0"/>
    <x v="0"/>
  </r>
  <r>
    <x v="0"/>
    <s v="Global Consumer Products 2026"/>
    <s v="Billing Request- 00102556"/>
    <x v="9"/>
    <d v="2026-04-01T00:00:00"/>
    <d v="2026-05-08T00:00:00"/>
    <x v="1"/>
    <s v="a6JXt9591642"/>
    <x v="5"/>
    <s v="Apr"/>
    <s v=""/>
    <n v="37"/>
    <x v="1"/>
    <x v="10"/>
    <x v="3"/>
    <x v="1"/>
  </r>
  <r>
    <x v="0"/>
    <s v="Streaming Bundle Initiative 2026"/>
    <s v="Billing Request- 00102557"/>
    <x v="4"/>
    <d v="2026-03-08T00:00:00"/>
    <d v="2026-05-08T00:00:00"/>
    <x v="2"/>
    <s v="a6JXt1143494"/>
    <x v="0"/>
    <s v="Aug"/>
    <s v="Finance validation process delay."/>
    <n v="61"/>
    <x v="0"/>
    <x v="2"/>
    <x v="3"/>
    <x v="1"/>
  </r>
  <r>
    <x v="4"/>
    <s v="Global Consumer Products 2025"/>
    <s v="Billing Request- 00102558"/>
    <x v="2"/>
    <d v="2025-11-12T00:00:00"/>
    <d v="2026-01-26T00:00:00"/>
    <x v="2"/>
    <s v="a6JXt5238782"/>
    <x v="3"/>
    <s v="Apr"/>
    <s v="Client requested retroactive billing adjustments."/>
    <n v="75"/>
    <x v="0"/>
    <x v="15"/>
    <x v="3"/>
    <x v="0"/>
  </r>
  <r>
    <x v="0"/>
    <s v="Amazon NBA Live Sports 2025"/>
    <s v="Billing Request- 00102559"/>
    <x v="7"/>
    <d v="2025-10-25T00:00:00"/>
    <d v="2026-02-18T00:00:00"/>
    <x v="0"/>
    <s v="a6JHn5778306"/>
    <x v="3"/>
    <s v="May; Jun"/>
    <s v="Invoice details mismatch with approved campaign."/>
    <n v="116"/>
    <x v="0"/>
    <x v="5"/>
    <x v="2"/>
    <x v="0"/>
  </r>
  <r>
    <x v="2"/>
    <s v="NWSL Halftime Sponsorship 2026"/>
    <s v="Billing Request- 00102560"/>
    <x v="0"/>
    <d v="2026-01-28T00:00:00"/>
    <d v="2026-04-27T00:00:00"/>
    <x v="0"/>
    <s v="a6Jat6719060"/>
    <x v="2"/>
    <s v="Sep; Oct"/>
    <s v="Manual billing entry issue."/>
    <n v="89"/>
    <x v="0"/>
    <x v="7"/>
    <x v="1"/>
    <x v="1"/>
  </r>
  <r>
    <x v="0"/>
    <s v="Confluence Academy 2026"/>
    <s v="Billing Request- 00102561"/>
    <x v="6"/>
    <d v="2026-03-26T00:00:00"/>
    <d v="2026-05-04T00:00:00"/>
    <x v="2"/>
    <s v="a6JXt8200668"/>
    <x v="5"/>
    <s v="Nov"/>
    <s v="Finance validation process delay."/>
    <n v="39"/>
    <x v="1"/>
    <x v="2"/>
    <x v="3"/>
    <x v="1"/>
  </r>
  <r>
    <x v="0"/>
    <s v="NWSL Prime Video 2025"/>
    <s v="Billing Request- 00102562"/>
    <x v="9"/>
    <d v="2025-04-25T00:00:00"/>
    <d v="2025-08-22T00:00:00"/>
    <x v="1"/>
    <s v="a6JXt2208687"/>
    <x v="0"/>
    <s v="Sep; Oct"/>
    <s v="Late media plan changes from client."/>
    <n v="119"/>
    <x v="0"/>
    <x v="3"/>
    <x v="1"/>
    <x v="0"/>
  </r>
  <r>
    <x v="4"/>
    <s v="Prime Sports NFL 2026"/>
    <s v="Billing Request- 00102563"/>
    <x v="1"/>
    <d v="2026-02-25T00:00:00"/>
    <d v="2026-04-06T00:00:00"/>
    <x v="0"/>
    <s v="a6Jat8429903"/>
    <x v="1"/>
    <s v="May; Jun"/>
    <s v="Finance validation process delay."/>
    <n v="40"/>
    <x v="1"/>
    <x v="1"/>
    <x v="3"/>
    <x v="1"/>
  </r>
  <r>
    <x v="0"/>
    <s v="NBA League Pass 2026"/>
    <s v="Billing Request- 00102564"/>
    <x v="3"/>
    <d v="2026-01-25T00:00:00"/>
    <d v="2026-05-04T00:00:00"/>
    <x v="0"/>
    <s v="a6Jat9253208"/>
    <x v="5"/>
    <s v="Jul"/>
    <s v="Missing supporting documentation from vendor."/>
    <n v="99"/>
    <x v="0"/>
    <x v="7"/>
    <x v="2"/>
    <x v="1"/>
  </r>
  <r>
    <x v="0"/>
    <s v="NBA League Pass 2025"/>
    <s v="Billing Request- 00102565"/>
    <x v="0"/>
    <d v="2025-03-18T00:00:00"/>
    <d v="2025-04-12T00:00:00"/>
    <x v="2"/>
    <s v="a6Jat7858529"/>
    <x v="5"/>
    <s v="Nov"/>
    <s v="Agency submitted updated invoice mapping."/>
    <n v="25"/>
    <x v="3"/>
    <x v="13"/>
    <x v="2"/>
    <x v="0"/>
  </r>
  <r>
    <x v="0"/>
    <s v="NBA Playoffs Campaign 2026"/>
    <s v="Billing Request- 00102566"/>
    <x v="6"/>
    <d v="2026-03-27T00:00:00"/>
    <d v="2026-05-09T00:00:00"/>
    <x v="1"/>
    <s v="a6Jat7586532"/>
    <x v="4"/>
    <s v="Jun"/>
    <s v="Finance validation process delay."/>
    <n v="43"/>
    <x v="1"/>
    <x v="2"/>
    <x v="2"/>
    <x v="1"/>
  </r>
  <r>
    <x v="0"/>
    <s v="WNBA Incremental Scatter 2025"/>
    <s v="Billing Request- 00102569"/>
    <x v="7"/>
    <d v="2025-01-22T00:00:00"/>
    <d v="2025-05-19T00:00:00"/>
    <x v="2"/>
    <s v="a6JHn2235522"/>
    <x v="0"/>
    <s v="Oct"/>
    <s v="Late media plan changes from client."/>
    <n v="117"/>
    <x v="0"/>
    <x v="0"/>
    <x v="2"/>
    <x v="0"/>
  </r>
  <r>
    <x v="0"/>
    <s v="NWSL Prime Video 2026"/>
    <s v="Billing Request- 00102570"/>
    <x v="0"/>
    <d v="2026-04-03T00:00:00"/>
    <d v="2026-05-07T00:00:00"/>
    <x v="2"/>
    <s v="a6JXt5182250"/>
    <x v="6"/>
    <s v="May"/>
    <s v="Finance validation process delay."/>
    <n v="34"/>
    <x v="1"/>
    <x v="10"/>
    <x v="1"/>
    <x v="1"/>
  </r>
  <r>
    <x v="0"/>
    <s v="NWSL Prime Video 2025"/>
    <s v="Billing Request- 00102571"/>
    <x v="5"/>
    <d v="2025-01-08T00:00:00"/>
    <d v="2025-04-26T00:00:00"/>
    <x v="0"/>
    <s v="a6Jat3580694"/>
    <x v="1"/>
    <s v="May"/>
    <s v=""/>
    <n v="108"/>
    <x v="0"/>
    <x v="0"/>
    <x v="1"/>
    <x v="0"/>
  </r>
  <r>
    <x v="0"/>
    <s v="TNF Sponsorship 2025"/>
    <s v="Billing Request- 00102572"/>
    <x v="7"/>
    <d v="2025-12-02T00:00:00"/>
    <d v="2026-03-03T00:00:00"/>
    <x v="2"/>
    <s v="a6JXt6917343"/>
    <x v="2"/>
    <s v="Jan"/>
    <s v="Late media plan changes from client."/>
    <n v="91"/>
    <x v="0"/>
    <x v="11"/>
    <x v="4"/>
    <x v="0"/>
  </r>
  <r>
    <x v="0"/>
    <s v="DirecTV NASCAR Campaign 2025"/>
    <s v="Billing Request- 00102573"/>
    <x v="6"/>
    <d v="2025-06-15T00:00:00"/>
    <d v="2025-09-27T00:00:00"/>
    <x v="2"/>
    <s v="a6JHn4560896"/>
    <x v="0"/>
    <s v="Jan"/>
    <s v="Finance validation process delay."/>
    <n v="104"/>
    <x v="0"/>
    <x v="9"/>
    <x v="0"/>
    <x v="0"/>
  </r>
  <r>
    <x v="0"/>
    <s v="NASCAR P&amp;Q 2025"/>
    <s v="Billing Request- 00102574"/>
    <x v="0"/>
    <d v="2025-10-03T00:00:00"/>
    <d v="2025-12-20T00:00:00"/>
    <x v="2"/>
    <s v="a6JHn4215960"/>
    <x v="2"/>
    <s v="Feb"/>
    <s v="Late media plan changes from client."/>
    <n v="78"/>
    <x v="0"/>
    <x v="5"/>
    <x v="0"/>
    <x v="0"/>
  </r>
  <r>
    <x v="0"/>
    <s v="NFL Prime Video 2025"/>
    <s v="Billing Request- 00102575"/>
    <x v="5"/>
    <d v="2025-07-30T00:00:00"/>
    <d v="2025-08-04T00:00:00"/>
    <x v="0"/>
    <s v="a6JHn7325508"/>
    <x v="0"/>
    <s v="Jan"/>
    <s v="Agency submitted updated invoice mapping."/>
    <n v="5"/>
    <x v="2"/>
    <x v="12"/>
    <x v="3"/>
    <x v="0"/>
  </r>
  <r>
    <x v="0"/>
    <s v="Prime Sports NFL 2026"/>
    <s v="Billing Request- 00102576"/>
    <x v="1"/>
    <d v="2026-02-17T00:00:00"/>
    <d v="2026-03-09T00:00:00"/>
    <x v="2"/>
    <s v="a6Jat7717783"/>
    <x v="0"/>
    <s v="Feb"/>
    <s v="Missing supporting documentation from vendor."/>
    <n v="20"/>
    <x v="3"/>
    <x v="1"/>
    <x v="3"/>
    <x v="1"/>
  </r>
  <r>
    <x v="0"/>
    <s v="TNF Sponsorship 2025"/>
    <s v="Billing Request- 00102577"/>
    <x v="0"/>
    <d v="2025-08-25T00:00:00"/>
    <d v="2025-08-29T00:00:00"/>
    <x v="2"/>
    <s v="a6Jat4476346"/>
    <x v="1"/>
    <s v="Jul"/>
    <s v="Late media plan changes from client."/>
    <n v="4"/>
    <x v="2"/>
    <x v="8"/>
    <x v="4"/>
    <x v="0"/>
  </r>
  <r>
    <x v="3"/>
    <s v="NWSL Prime Video 2025"/>
    <s v="Billing Request- 00102578"/>
    <x v="1"/>
    <d v="2025-01-17T00:00:00"/>
    <d v="2025-03-17T00:00:00"/>
    <x v="0"/>
    <s v="a6JHn4058847"/>
    <x v="5"/>
    <s v="Jul"/>
    <s v="Manual billing entry issue."/>
    <n v="59"/>
    <x v="1"/>
    <x v="0"/>
    <x v="1"/>
    <x v="0"/>
  </r>
  <r>
    <x v="0"/>
    <s v="NFL Prime Video 2026"/>
    <s v="Billing Request- 00102579"/>
    <x v="1"/>
    <d v="2026-03-01T00:00:00"/>
    <d v="2026-05-04T00:00:00"/>
    <x v="2"/>
    <s v="a6JXt3461317"/>
    <x v="6"/>
    <s v="Nov"/>
    <s v="Manual billing entry issue."/>
    <n v="64"/>
    <x v="0"/>
    <x v="2"/>
    <x v="3"/>
    <x v="1"/>
  </r>
  <r>
    <x v="0"/>
    <s v="NWSL Halftime Sponsorship 2025"/>
    <s v="Billing Request- 00102581"/>
    <x v="3"/>
    <d v="2025-05-24T00:00:00"/>
    <d v="2025-06-17T00:00:00"/>
    <x v="0"/>
    <s v="a6JHn9237538"/>
    <x v="5"/>
    <s v="May; Jun"/>
    <s v="Agency submitted updated invoice mapping."/>
    <n v="24"/>
    <x v="3"/>
    <x v="4"/>
    <x v="1"/>
    <x v="0"/>
  </r>
  <r>
    <x v="0"/>
    <s v="NWSL Halftime Sponsorship 2026"/>
    <s v="Billing Request- 00102582"/>
    <x v="1"/>
    <d v="2026-02-07T00:00:00"/>
    <d v="2026-02-15T00:00:00"/>
    <x v="0"/>
    <s v="a6JXt1432719"/>
    <x v="4"/>
    <s v="Mar; Apr"/>
    <s v=""/>
    <n v="8"/>
    <x v="4"/>
    <x v="1"/>
    <x v="1"/>
    <x v="1"/>
  </r>
  <r>
    <x v="0"/>
    <s v="NWSL Prime Video 2026"/>
    <s v="Billing Request- 00102584"/>
    <x v="5"/>
    <d v="2026-01-05T00:00:00"/>
    <d v="2026-03-29T00:00:00"/>
    <x v="0"/>
    <s v="a6JHn6748566"/>
    <x v="3"/>
    <s v="May; Jun"/>
    <s v="Manual billing entry issue."/>
    <n v="83"/>
    <x v="0"/>
    <x v="7"/>
    <x v="1"/>
    <x v="1"/>
  </r>
  <r>
    <x v="0"/>
    <s v="NASCAR Apex 2025 2025"/>
    <s v="Billing Request- 00102585"/>
    <x v="8"/>
    <d v="2025-08-27T00:00:00"/>
    <d v="2025-11-24T00:00:00"/>
    <x v="0"/>
    <s v="a6JHn1236458"/>
    <x v="6"/>
    <s v="Sep"/>
    <s v="Missing supporting documentation from vendor."/>
    <n v="89"/>
    <x v="0"/>
    <x v="8"/>
    <x v="0"/>
    <x v="0"/>
  </r>
  <r>
    <x v="0"/>
    <s v="Prime Sports NFL 2025"/>
    <s v="Billing Request- 00102586"/>
    <x v="0"/>
    <d v="2025-08-28T00:00:00"/>
    <d v="2025-10-26T00:00:00"/>
    <x v="0"/>
    <s v="a6JXt9390674"/>
    <x v="0"/>
    <s v="May"/>
    <s v=""/>
    <n v="59"/>
    <x v="1"/>
    <x v="8"/>
    <x v="3"/>
    <x v="0"/>
  </r>
  <r>
    <x v="0"/>
    <s v="NFL Prime Video 2025"/>
    <s v="Billing Request- 00102587"/>
    <x v="9"/>
    <d v="2025-07-24T00:00:00"/>
    <d v="2025-09-29T00:00:00"/>
    <x v="1"/>
    <s v="a6JHn2194551"/>
    <x v="3"/>
    <s v="Apr"/>
    <s v="Finance validation process delay."/>
    <n v="67"/>
    <x v="0"/>
    <x v="12"/>
    <x v="3"/>
    <x v="0"/>
  </r>
  <r>
    <x v="0"/>
    <s v="NWSL Prime Video 2025"/>
    <s v="Billing Request- 00102589"/>
    <x v="1"/>
    <d v="2025-04-14T00:00:00"/>
    <d v="2025-04-24T00:00:00"/>
    <x v="2"/>
    <s v="a6JXt7168683"/>
    <x v="4"/>
    <s v="May; Jun"/>
    <s v=""/>
    <n v="10"/>
    <x v="4"/>
    <x v="3"/>
    <x v="1"/>
    <x v="0"/>
  </r>
  <r>
    <x v="0"/>
    <s v="WNBA Incremental Scatter 2025"/>
    <s v="Billing Request- 00102592"/>
    <x v="8"/>
    <d v="2025-02-22T00:00:00"/>
    <d v="2025-04-10T00:00:00"/>
    <x v="0"/>
    <s v="a6JXt1919627"/>
    <x v="1"/>
    <s v="Oct"/>
    <s v="Client requested retroactive billing adjustments."/>
    <n v="47"/>
    <x v="1"/>
    <x v="6"/>
    <x v="2"/>
    <x v="0"/>
  </r>
  <r>
    <x v="0"/>
    <s v="Amazon TNF 2024 2025"/>
    <s v="Billing Request- 00102594"/>
    <x v="3"/>
    <d v="2025-02-04T00:00:00"/>
    <d v="2025-02-16T00:00:00"/>
    <x v="2"/>
    <s v="a6Jat9327575"/>
    <x v="2"/>
    <s v="Dec"/>
    <s v="Client requested retroactive billing adjustments."/>
    <n v="12"/>
    <x v="4"/>
    <x v="6"/>
    <x v="4"/>
    <x v="0"/>
  </r>
  <r>
    <x v="0"/>
    <s v="NFL Prime Video 2025"/>
    <s v="Billing Request- 00102595"/>
    <x v="7"/>
    <d v="2025-01-07T00:00:00"/>
    <d v="2025-02-24T00:00:00"/>
    <x v="2"/>
    <s v="a6JHn3742610"/>
    <x v="2"/>
    <s v="Jun"/>
    <s v="Client requested retroactive billing adjustments."/>
    <n v="48"/>
    <x v="1"/>
    <x v="0"/>
    <x v="3"/>
    <x v="0"/>
  </r>
  <r>
    <x v="3"/>
    <s v="DirecTV NASCAR Campaign 2025"/>
    <s v="Billing Request- 00102597"/>
    <x v="2"/>
    <d v="2025-11-03T00:00:00"/>
    <d v="2025-12-28T00:00:00"/>
    <x v="1"/>
    <s v="a6JXt6188053"/>
    <x v="1"/>
    <s v="Jun"/>
    <s v="Invoice details mismatch with approved campaign."/>
    <n v="55"/>
    <x v="1"/>
    <x v="15"/>
    <x v="0"/>
    <x v="0"/>
  </r>
  <r>
    <x v="2"/>
    <s v="NASCAR P&amp;Q 2026"/>
    <s v="Billing Request- 00102599"/>
    <x v="7"/>
    <d v="2026-02-24T00:00:00"/>
    <d v="2026-04-22T00:00:00"/>
    <x v="0"/>
    <s v="a6JHn2558866"/>
    <x v="4"/>
    <s v="May; Jun"/>
    <s v="Manual billing entry issue."/>
    <n v="57"/>
    <x v="1"/>
    <x v="1"/>
    <x v="0"/>
    <x v="1"/>
  </r>
  <r>
    <x v="0"/>
    <s v="Streaming Bundle Initiative 2026"/>
    <s v="Billing Request- 00102600"/>
    <x v="4"/>
    <d v="2026-04-19T00:00:00"/>
    <d v="2026-05-06T00:00:00"/>
    <x v="2"/>
    <s v="a6JXt7320381"/>
    <x v="1"/>
    <s v="Sep; Oct"/>
    <s v="Invoice details mismatch with approved campaign."/>
    <n v="17"/>
    <x v="3"/>
    <x v="10"/>
    <x v="3"/>
    <x v="1"/>
  </r>
  <r>
    <x v="0"/>
    <s v="NWSL Prime Video 2025"/>
    <s v="Billing Request- 00102601"/>
    <x v="2"/>
    <d v="2025-02-15T00:00:00"/>
    <d v="2025-05-30T00:00:00"/>
    <x v="2"/>
    <s v="a6JHn9740342"/>
    <x v="5"/>
    <s v="Jan; Feb"/>
    <s v=""/>
    <n v="104"/>
    <x v="0"/>
    <x v="6"/>
    <x v="1"/>
    <x v="0"/>
  </r>
  <r>
    <x v="0"/>
    <s v="Confluence Academy 2025"/>
    <s v="Billing Request- 00102602"/>
    <x v="9"/>
    <d v="2025-05-21T00:00:00"/>
    <d v="2025-06-25T00:00:00"/>
    <x v="2"/>
    <s v="a6JHn9444237"/>
    <x v="4"/>
    <s v="Oct"/>
    <s v="Client requested retroactive billing adjustments."/>
    <n v="35"/>
    <x v="1"/>
    <x v="4"/>
    <x v="3"/>
    <x v="0"/>
  </r>
  <r>
    <x v="0"/>
    <s v="NASCAR Apex 2025 2025"/>
    <s v="Billing Request- 00102603"/>
    <x v="7"/>
    <d v="2025-08-16T00:00:00"/>
    <d v="2025-09-18T00:00:00"/>
    <x v="2"/>
    <s v="a6JXt8327108"/>
    <x v="4"/>
    <s v="Sep"/>
    <s v="Invoice details mismatch with approved campaign."/>
    <n v="33"/>
    <x v="1"/>
    <x v="8"/>
    <x v="0"/>
    <x v="0"/>
  </r>
  <r>
    <x v="0"/>
    <s v="NWSL Halftime Sponsorship 2026"/>
    <s v="Billing Request- 00102604"/>
    <x v="3"/>
    <d v="2026-03-23T00:00:00"/>
    <d v="2026-04-11T00:00:00"/>
    <x v="2"/>
    <s v="a6JXt1952169"/>
    <x v="3"/>
    <s v="Mar"/>
    <s v=""/>
    <n v="19"/>
    <x v="3"/>
    <x v="2"/>
    <x v="1"/>
    <x v="1"/>
  </r>
  <r>
    <x v="0"/>
    <s v="NWSL Halftime Sponsorship 2025"/>
    <s v="Billing Request- 00102606"/>
    <x v="4"/>
    <d v="2025-04-18T00:00:00"/>
    <d v="2025-04-25T00:00:00"/>
    <x v="0"/>
    <s v="a6JXt1139487"/>
    <x v="4"/>
    <s v="May"/>
    <s v="Missing supporting documentation from vendor."/>
    <n v="7"/>
    <x v="2"/>
    <x v="3"/>
    <x v="1"/>
    <x v="0"/>
  </r>
  <r>
    <x v="1"/>
    <s v="NASCAR Apex 2025 2026"/>
    <s v="Billing Request- 00102608"/>
    <x v="8"/>
    <d v="2026-02-06T00:00:00"/>
    <d v="2026-02-15T00:00:00"/>
    <x v="2"/>
    <s v="a6JXt5698305"/>
    <x v="3"/>
    <s v="Jan; Feb"/>
    <s v="Client requested retroactive billing adjustments."/>
    <n v="9"/>
    <x v="4"/>
    <x v="1"/>
    <x v="0"/>
    <x v="1"/>
  </r>
  <r>
    <x v="2"/>
    <s v="Streaming Bundle Initiative 2025"/>
    <s v="Billing Request- 00102611"/>
    <x v="3"/>
    <d v="2025-11-13T00:00:00"/>
    <d v="2026-01-11T00:00:00"/>
    <x v="2"/>
    <s v="a6JHn6526237"/>
    <x v="3"/>
    <s v="May; Jun"/>
    <s v="Late media plan changes from client."/>
    <n v="59"/>
    <x v="1"/>
    <x v="15"/>
    <x v="3"/>
    <x v="0"/>
  </r>
  <r>
    <x v="3"/>
    <s v="Amazon TNF 2024 2026"/>
    <s v="Billing Request- 00102612"/>
    <x v="9"/>
    <d v="2026-03-02T00:00:00"/>
    <d v="2026-04-07T00:00:00"/>
    <x v="1"/>
    <s v="a6Jat4574029"/>
    <x v="6"/>
    <s v="Nov"/>
    <s v="Missing supporting documentation from vendor."/>
    <n v="36"/>
    <x v="1"/>
    <x v="2"/>
    <x v="4"/>
    <x v="1"/>
  </r>
  <r>
    <x v="3"/>
    <s v="NBA Playoffs Campaign 2025"/>
    <s v="Billing Request- 00102615"/>
    <x v="9"/>
    <d v="2025-07-25T00:00:00"/>
    <d v="2025-08-12T00:00:00"/>
    <x v="2"/>
    <s v="a6JHn1473501"/>
    <x v="3"/>
    <s v="Sep"/>
    <s v=""/>
    <n v="18"/>
    <x v="3"/>
    <x v="12"/>
    <x v="2"/>
    <x v="0"/>
  </r>
  <r>
    <x v="0"/>
    <s v="NWSL Halftime Sponsorship 2026"/>
    <s v="Billing Request- 00102617"/>
    <x v="2"/>
    <d v="2026-02-15T00:00:00"/>
    <d v="2026-05-04T00:00:00"/>
    <x v="0"/>
    <s v="a6Jat5769239"/>
    <x v="0"/>
    <s v="Dec"/>
    <s v="Missing supporting documentation from vendor."/>
    <n v="78"/>
    <x v="0"/>
    <x v="1"/>
    <x v="1"/>
    <x v="1"/>
  </r>
  <r>
    <x v="0"/>
    <s v="NWSL Prime Video 2026"/>
    <s v="Billing Request- 00102619"/>
    <x v="0"/>
    <d v="2026-01-13T00:00:00"/>
    <d v="2026-05-09T00:00:00"/>
    <x v="0"/>
    <s v="a6JHn6816943"/>
    <x v="1"/>
    <s v="Sep; Oct"/>
    <s v="Invoice details mismatch with approved campaign."/>
    <n v="116"/>
    <x v="0"/>
    <x v="7"/>
    <x v="1"/>
    <x v="1"/>
  </r>
  <r>
    <x v="0"/>
    <s v="NASCAR Apex 2025 2025"/>
    <s v="Billing Request- 00102620"/>
    <x v="4"/>
    <d v="2025-07-12T00:00:00"/>
    <d v="2025-08-11T00:00:00"/>
    <x v="0"/>
    <s v="a6Jat9772560"/>
    <x v="4"/>
    <s v="Nov; Dec"/>
    <s v=""/>
    <n v="30"/>
    <x v="3"/>
    <x v="12"/>
    <x v="0"/>
    <x v="0"/>
  </r>
  <r>
    <x v="0"/>
    <s v="NBA Playoffs Campaign 2026"/>
    <s v="Billing Request- 00102623"/>
    <x v="9"/>
    <d v="2026-04-28T00:00:00"/>
    <d v="2026-05-04T00:00:00"/>
    <x v="0"/>
    <s v="a6Jat8257668"/>
    <x v="5"/>
    <s v="Mar; Apr"/>
    <s v="Late media plan changes from client."/>
    <n v="6"/>
    <x v="2"/>
    <x v="10"/>
    <x v="2"/>
    <x v="1"/>
  </r>
  <r>
    <x v="0"/>
    <s v="NBA Playoffs Campaign 2025"/>
    <s v="Billing Request- 00102625"/>
    <x v="3"/>
    <d v="2025-07-13T00:00:00"/>
    <d v="2025-07-17T00:00:00"/>
    <x v="1"/>
    <s v="a6JHn8530215"/>
    <x v="4"/>
    <s v="Sep"/>
    <s v="Finance validation process delay."/>
    <n v="4"/>
    <x v="2"/>
    <x v="12"/>
    <x v="2"/>
    <x v="0"/>
  </r>
  <r>
    <x v="4"/>
    <s v="NBA Playoffs Campaign 2026"/>
    <s v="Billing Request- 00102626"/>
    <x v="6"/>
    <d v="2026-01-02T00:00:00"/>
    <d v="2026-02-24T00:00:00"/>
    <x v="2"/>
    <s v="a6JXt6821001"/>
    <x v="0"/>
    <s v="Aug"/>
    <s v="Invoice details mismatch with approved campaign."/>
    <n v="53"/>
    <x v="1"/>
    <x v="7"/>
    <x v="2"/>
    <x v="1"/>
  </r>
  <r>
    <x v="0"/>
    <s v="Amazon NBA Live Sports 2026"/>
    <s v="Billing Request- 00102627"/>
    <x v="2"/>
    <d v="2026-02-14T00:00:00"/>
    <d v="2026-03-11T00:00:00"/>
    <x v="0"/>
    <s v="a6Jat1938428"/>
    <x v="3"/>
    <s v="Jul"/>
    <s v="Invoice details mismatch with approved campaign."/>
    <n v="25"/>
    <x v="3"/>
    <x v="1"/>
    <x v="2"/>
    <x v="1"/>
  </r>
  <r>
    <x v="0"/>
    <s v="NWSL Halftime Sponsorship 2025"/>
    <s v="Billing Request- 00102628"/>
    <x v="5"/>
    <d v="2025-12-28T00:00:00"/>
    <d v="2026-03-13T00:00:00"/>
    <x v="2"/>
    <s v="a6JHn4701496"/>
    <x v="4"/>
    <s v="Nov; Dec"/>
    <s v="Invoice details mismatch with approved campaign."/>
    <n v="75"/>
    <x v="0"/>
    <x v="11"/>
    <x v="1"/>
    <x v="0"/>
  </r>
  <r>
    <x v="0"/>
    <s v="DirecTV NASCAR Campaign 2026"/>
    <s v="Billing Request- 00102629"/>
    <x v="6"/>
    <d v="2026-04-25T00:00:00"/>
    <d v="2026-05-09T00:00:00"/>
    <x v="2"/>
    <s v="a6JXt3556730"/>
    <x v="3"/>
    <s v="Nov"/>
    <s v="Late media plan changes from client."/>
    <n v="14"/>
    <x v="4"/>
    <x v="10"/>
    <x v="0"/>
    <x v="1"/>
  </r>
  <r>
    <x v="0"/>
    <s v="NWSL Halftime Sponsorship 2026"/>
    <s v="Billing Request- 00102630"/>
    <x v="6"/>
    <d v="2026-02-27T00:00:00"/>
    <d v="2026-05-06T00:00:00"/>
    <x v="2"/>
    <s v="a6JHn2160153"/>
    <x v="1"/>
    <s v="Mar; Apr"/>
    <s v="Late media plan changes from client."/>
    <n v="68"/>
    <x v="0"/>
    <x v="1"/>
    <x v="1"/>
    <x v="1"/>
  </r>
  <r>
    <x v="4"/>
    <s v="Amazon NBA Live Sports 2025"/>
    <s v="Billing Request- 00102631"/>
    <x v="0"/>
    <d v="2025-11-27T00:00:00"/>
    <d v="2026-01-25T00:00:00"/>
    <x v="1"/>
    <s v="a6JHn7377248"/>
    <x v="6"/>
    <s v="Oct"/>
    <s v="Late media plan changes from client."/>
    <n v="59"/>
    <x v="1"/>
    <x v="15"/>
    <x v="2"/>
    <x v="0"/>
  </r>
  <r>
    <x v="0"/>
    <s v="NWSL Prime Video 2025"/>
    <s v="Billing Request- 00102632"/>
    <x v="0"/>
    <d v="2025-05-16T00:00:00"/>
    <d v="2025-08-20T00:00:00"/>
    <x v="2"/>
    <s v="a6JXt3991642"/>
    <x v="1"/>
    <s v="Mar"/>
    <s v="Agency submitted updated invoice mapping."/>
    <n v="96"/>
    <x v="0"/>
    <x v="4"/>
    <x v="1"/>
    <x v="0"/>
  </r>
  <r>
    <x v="0"/>
    <s v="NWSL Prime Video 2026"/>
    <s v="Billing Request- 00102634"/>
    <x v="7"/>
    <d v="2026-03-13T00:00:00"/>
    <d v="2026-04-03T00:00:00"/>
    <x v="2"/>
    <s v="a6JXt6419560"/>
    <x v="6"/>
    <s v="Mar"/>
    <s v="Agency submitted updated invoice mapping."/>
    <n v="21"/>
    <x v="3"/>
    <x v="2"/>
    <x v="1"/>
    <x v="1"/>
  </r>
  <r>
    <x v="0"/>
    <s v="WNBA Incremental Scatter 2026"/>
    <s v="Billing Request- 00102635"/>
    <x v="1"/>
    <d v="2026-01-13T00:00:00"/>
    <d v="2026-02-11T00:00:00"/>
    <x v="2"/>
    <s v="a6JXt9368459"/>
    <x v="1"/>
    <s v="Jan; Feb"/>
    <s v="Agency submitted updated invoice mapping."/>
    <n v="29"/>
    <x v="3"/>
    <x v="7"/>
    <x v="2"/>
    <x v="1"/>
  </r>
  <r>
    <x v="0"/>
    <s v="NWSL Halftime Sponsorship 2025"/>
    <s v="Billing Request- 00102636"/>
    <x v="3"/>
    <d v="2025-05-07T00:00:00"/>
    <d v="2025-06-22T00:00:00"/>
    <x v="0"/>
    <s v="a6Jat1640737"/>
    <x v="2"/>
    <s v="Jan"/>
    <s v="Incorrect legal terms delayed PTS."/>
    <n v="46"/>
    <x v="1"/>
    <x v="4"/>
    <x v="1"/>
    <x v="0"/>
  </r>
  <r>
    <x v="4"/>
    <s v="NWSL Prime Video 2025"/>
    <s v="Billing Request- 00102637"/>
    <x v="4"/>
    <d v="2025-04-22T00:00:00"/>
    <d v="2025-05-19T00:00:00"/>
    <x v="2"/>
    <s v="a6JHn8690410"/>
    <x v="4"/>
    <s v="May; Jun"/>
    <s v="Finance validation process delay."/>
    <n v="27"/>
    <x v="3"/>
    <x v="3"/>
    <x v="1"/>
    <x v="0"/>
  </r>
  <r>
    <x v="1"/>
    <s v="Global Consumer Products 2026"/>
    <s v="Billing Request- 00102639"/>
    <x v="7"/>
    <d v="2026-03-29T00:00:00"/>
    <d v="2026-05-07T00:00:00"/>
    <x v="2"/>
    <s v="a6JHn6439343"/>
    <x v="2"/>
    <s v="Jan; Feb"/>
    <s v="Agency submitted updated invoice mapping."/>
    <n v="39"/>
    <x v="1"/>
    <x v="2"/>
    <x v="3"/>
    <x v="1"/>
  </r>
  <r>
    <x v="0"/>
    <s v="NWSL Halftime Sponsorship 2025"/>
    <s v="Billing Request- 00102640"/>
    <x v="3"/>
    <d v="2025-11-20T00:00:00"/>
    <d v="2025-12-01T00:00:00"/>
    <x v="2"/>
    <s v="a6JHn2246659"/>
    <x v="4"/>
    <s v="Dec"/>
    <s v="Agency submitted updated invoice mapping."/>
    <n v="11"/>
    <x v="4"/>
    <x v="15"/>
    <x v="1"/>
    <x v="0"/>
  </r>
  <r>
    <x v="4"/>
    <s v="NASCAR P&amp;Q 2025"/>
    <s v="Billing Request- 00102641"/>
    <x v="3"/>
    <d v="2025-03-09T00:00:00"/>
    <d v="2025-06-12T00:00:00"/>
    <x v="2"/>
    <s v="a6JHn9885104"/>
    <x v="4"/>
    <s v="Mar"/>
    <s v="Missing supporting documentation from vendor."/>
    <n v="95"/>
    <x v="0"/>
    <x v="13"/>
    <x v="0"/>
    <x v="0"/>
  </r>
  <r>
    <x v="0"/>
    <s v="NFL Prime Video 2025"/>
    <s v="Billing Request- 00102642"/>
    <x v="2"/>
    <d v="2025-02-19T00:00:00"/>
    <d v="2025-06-11T00:00:00"/>
    <x v="0"/>
    <s v="a6JHn9244760"/>
    <x v="2"/>
    <s v="Oct"/>
    <s v="Invoice details mismatch with approved campaign."/>
    <n v="112"/>
    <x v="0"/>
    <x v="6"/>
    <x v="3"/>
    <x v="0"/>
  </r>
  <r>
    <x v="4"/>
    <s v="DirecTV NASCAR Campaign 2025"/>
    <s v="Billing Request- 00102645"/>
    <x v="1"/>
    <d v="2025-08-12T00:00:00"/>
    <d v="2025-09-11T00:00:00"/>
    <x v="0"/>
    <s v="a6JXt5202935"/>
    <x v="4"/>
    <s v="Mar"/>
    <s v=""/>
    <n v="30"/>
    <x v="3"/>
    <x v="8"/>
    <x v="0"/>
    <x v="0"/>
  </r>
  <r>
    <x v="0"/>
    <s v="NBA League Pass 2026"/>
    <s v="Billing Request- 00102646"/>
    <x v="4"/>
    <d v="2026-04-03T00:00:00"/>
    <d v="2026-05-04T00:00:00"/>
    <x v="2"/>
    <s v="a6JXt2025601"/>
    <x v="3"/>
    <s v="Jul; Aug"/>
    <s v="Late media plan changes from client."/>
    <n v="31"/>
    <x v="1"/>
    <x v="10"/>
    <x v="2"/>
    <x v="1"/>
  </r>
  <r>
    <x v="4"/>
    <s v="NBA League Pass 2025"/>
    <s v="Billing Request- 00102649"/>
    <x v="4"/>
    <d v="2025-04-06T00:00:00"/>
    <d v="2025-06-09T00:00:00"/>
    <x v="2"/>
    <s v="a6Jat3528952"/>
    <x v="1"/>
    <s v="Jun"/>
    <s v="Incorrect legal terms delayed PTS."/>
    <n v="64"/>
    <x v="0"/>
    <x v="3"/>
    <x v="2"/>
    <x v="0"/>
  </r>
  <r>
    <x v="0"/>
    <s v="NFL Prime Video 2026"/>
    <s v="Billing Request- 00102650"/>
    <x v="5"/>
    <d v="2026-02-22T00:00:00"/>
    <d v="2026-04-28T00:00:00"/>
    <x v="2"/>
    <s v="a6JHn1576629"/>
    <x v="5"/>
    <s v="Sep; Oct"/>
    <s v="Client requested retroactive billing adjustments."/>
    <n v="65"/>
    <x v="0"/>
    <x v="1"/>
    <x v="3"/>
    <x v="1"/>
  </r>
  <r>
    <x v="0"/>
    <s v="Prime Sports NFL 2025"/>
    <s v="Billing Request- 00102651"/>
    <x v="7"/>
    <d v="2025-11-27T00:00:00"/>
    <d v="2026-02-03T00:00:00"/>
    <x v="2"/>
    <s v="a6JHn3647164"/>
    <x v="6"/>
    <s v="Apr"/>
    <s v="Client requested retroactive billing adjustments."/>
    <n v="68"/>
    <x v="0"/>
    <x v="15"/>
    <x v="3"/>
    <x v="0"/>
  </r>
  <r>
    <x v="0"/>
    <s v="NBA Playoffs Campaign 2025"/>
    <s v="Billing Request- 00102652"/>
    <x v="1"/>
    <d v="2025-02-05T00:00:00"/>
    <d v="2025-05-02T00:00:00"/>
    <x v="1"/>
    <s v="a6JXt4471157"/>
    <x v="0"/>
    <s v="May"/>
    <s v="Manual billing entry issue."/>
    <n v="86"/>
    <x v="0"/>
    <x v="6"/>
    <x v="2"/>
    <x v="0"/>
  </r>
  <r>
    <x v="3"/>
    <s v="DirecTV NASCAR Campaign 2026"/>
    <s v="Billing Request- 00102653"/>
    <x v="4"/>
    <d v="2026-04-13T00:00:00"/>
    <d v="2026-05-09T00:00:00"/>
    <x v="1"/>
    <s v="a6JHn2427340"/>
    <x v="1"/>
    <s v="Jul"/>
    <s v=""/>
    <n v="26"/>
    <x v="3"/>
    <x v="10"/>
    <x v="0"/>
    <x v="1"/>
  </r>
  <r>
    <x v="0"/>
    <s v="Prime Sports NFL 2026"/>
    <s v="Billing Request- 00102654"/>
    <x v="7"/>
    <d v="2026-01-24T00:00:00"/>
    <d v="2026-04-14T00:00:00"/>
    <x v="2"/>
    <s v="a6Jat2879291"/>
    <x v="2"/>
    <s v="Jul"/>
    <s v="Agency submitted updated invoice mapping."/>
    <n v="80"/>
    <x v="0"/>
    <x v="7"/>
    <x v="3"/>
    <x v="1"/>
  </r>
  <r>
    <x v="0"/>
    <s v="DirecTV NASCAR Campaign 2025"/>
    <s v="Billing Request- 00102656"/>
    <x v="5"/>
    <d v="2025-09-11T00:00:00"/>
    <d v="2025-11-09T00:00:00"/>
    <x v="0"/>
    <s v="a6JXt8704605"/>
    <x v="4"/>
    <s v="Mar"/>
    <s v="Missing supporting documentation from vendor."/>
    <n v="59"/>
    <x v="1"/>
    <x v="14"/>
    <x v="0"/>
    <x v="0"/>
  </r>
  <r>
    <x v="4"/>
    <s v="NWSL Halftime Sponsorship 2026"/>
    <s v="Billing Request- 00102657"/>
    <x v="1"/>
    <d v="2026-02-23T00:00:00"/>
    <d v="2026-03-11T00:00:00"/>
    <x v="0"/>
    <s v="a6JXt9452839"/>
    <x v="6"/>
    <s v="Feb"/>
    <s v="Invoice details mismatch with approved campaign."/>
    <n v="16"/>
    <x v="3"/>
    <x v="1"/>
    <x v="1"/>
    <x v="1"/>
  </r>
  <r>
    <x v="4"/>
    <s v="Amazon NBA Live Sports 2026"/>
    <s v="Billing Request- 00102658"/>
    <x v="8"/>
    <d v="2026-04-23T00:00:00"/>
    <d v="2026-05-09T00:00:00"/>
    <x v="2"/>
    <s v="a6JHn7693058"/>
    <x v="6"/>
    <s v="Jan"/>
    <s v="Invoice details mismatch with approved campaign."/>
    <n v="16"/>
    <x v="3"/>
    <x v="10"/>
    <x v="2"/>
    <x v="1"/>
  </r>
  <r>
    <x v="0"/>
    <s v="Streaming Bundle Initiative 2025"/>
    <s v="Billing Request- 00102659"/>
    <x v="7"/>
    <d v="2025-05-24T00:00:00"/>
    <d v="2025-07-15T00:00:00"/>
    <x v="2"/>
    <s v="a6JXt3297217"/>
    <x v="4"/>
    <s v="May; Jun"/>
    <s v="Client requested retroactive billing adjustments."/>
    <n v="52"/>
    <x v="1"/>
    <x v="4"/>
    <x v="3"/>
    <x v="0"/>
  </r>
  <r>
    <x v="0"/>
    <s v="NBA League Pass 2025"/>
    <s v="Billing Request- 00102661"/>
    <x v="3"/>
    <d v="2025-05-08T00:00:00"/>
    <d v="2025-06-01T00:00:00"/>
    <x v="2"/>
    <s v="a6JHn6664747"/>
    <x v="1"/>
    <s v="Jul; Aug"/>
    <s v="Late media plan changes from client."/>
    <n v="24"/>
    <x v="3"/>
    <x v="4"/>
    <x v="2"/>
    <x v="0"/>
  </r>
  <r>
    <x v="0"/>
    <s v="Amazon NBA Live Sports 2025"/>
    <s v="Billing Request- 00102665"/>
    <x v="5"/>
    <d v="2025-10-15T00:00:00"/>
    <d v="2026-02-09T00:00:00"/>
    <x v="0"/>
    <s v="a6JXt4229757"/>
    <x v="4"/>
    <s v="Nov; Dec"/>
    <s v="Client requested retroactive billing adjustments."/>
    <n v="117"/>
    <x v="0"/>
    <x v="5"/>
    <x v="2"/>
    <x v="0"/>
  </r>
  <r>
    <x v="0"/>
    <s v="NWSL Halftime Sponsorship 2026"/>
    <s v="Billing Request- 00102667"/>
    <x v="7"/>
    <d v="2026-03-10T00:00:00"/>
    <d v="2026-03-23T00:00:00"/>
    <x v="2"/>
    <s v="a6Jat7716334"/>
    <x v="6"/>
    <s v="May; Jun"/>
    <s v="Invoice details mismatch with approved campaign."/>
    <n v="13"/>
    <x v="4"/>
    <x v="2"/>
    <x v="1"/>
    <x v="1"/>
  </r>
  <r>
    <x v="0"/>
    <s v="NWSL Prime Video 2025"/>
    <s v="Billing Request- 00102668"/>
    <x v="2"/>
    <d v="2025-03-28T00:00:00"/>
    <d v="2025-06-10T00:00:00"/>
    <x v="2"/>
    <s v="a6JHn9613180"/>
    <x v="6"/>
    <s v="Sep; Oct"/>
    <s v="Incorrect legal terms delayed PTS."/>
    <n v="74"/>
    <x v="0"/>
    <x v="13"/>
    <x v="1"/>
    <x v="0"/>
  </r>
  <r>
    <x v="0"/>
    <s v="NASCAR Apex 2025 2025"/>
    <s v="Billing Request- 00102671"/>
    <x v="2"/>
    <d v="2025-01-12T00:00:00"/>
    <d v="2025-04-23T00:00:00"/>
    <x v="0"/>
    <s v="a6JHn6882664"/>
    <x v="4"/>
    <s v="Jan; Feb"/>
    <s v=""/>
    <n v="101"/>
    <x v="0"/>
    <x v="0"/>
    <x v="0"/>
    <x v="0"/>
  </r>
  <r>
    <x v="0"/>
    <s v="Amazon NBA Live Sports 2026"/>
    <s v="Billing Request- 00102672"/>
    <x v="2"/>
    <d v="2026-04-08T00:00:00"/>
    <d v="2026-05-07T00:00:00"/>
    <x v="1"/>
    <s v="a6Jat4328676"/>
    <x v="1"/>
    <s v="Sep"/>
    <s v="Invoice details mismatch with approved campaign."/>
    <n v="29"/>
    <x v="3"/>
    <x v="10"/>
    <x v="2"/>
    <x v="1"/>
  </r>
  <r>
    <x v="0"/>
    <s v="NBA Playoffs Campaign 2025"/>
    <s v="Billing Request- 00102674"/>
    <x v="9"/>
    <d v="2025-07-31T00:00:00"/>
    <d v="2025-10-22T00:00:00"/>
    <x v="2"/>
    <s v="a6Jat9768768"/>
    <x v="1"/>
    <s v="Jul; Aug"/>
    <s v="Late media plan changes from client."/>
    <n v="83"/>
    <x v="0"/>
    <x v="12"/>
    <x v="2"/>
    <x v="0"/>
  </r>
  <r>
    <x v="0"/>
    <s v="NWSL Halftime Sponsorship 2025"/>
    <s v="Billing Request- 00102675"/>
    <x v="4"/>
    <d v="2025-12-20T00:00:00"/>
    <d v="2026-01-02T00:00:00"/>
    <x v="2"/>
    <s v="a6JXt7168151"/>
    <x v="5"/>
    <s v="Nov"/>
    <s v="Finance validation process delay."/>
    <n v="13"/>
    <x v="4"/>
    <x v="11"/>
    <x v="1"/>
    <x v="0"/>
  </r>
  <r>
    <x v="4"/>
    <s v="NWSL Halftime Sponsorship 2026"/>
    <s v="Billing Request- 00102678"/>
    <x v="1"/>
    <d v="2026-01-09T00:00:00"/>
    <d v="2026-01-11T00:00:00"/>
    <x v="1"/>
    <s v="a6JHn6626809"/>
    <x v="3"/>
    <s v="Jun"/>
    <s v="Invoice details mismatch with approved campaign."/>
    <n v="2"/>
    <x v="2"/>
    <x v="7"/>
    <x v="1"/>
    <x v="1"/>
  </r>
  <r>
    <x v="0"/>
    <s v="Amazon TNF 2024 2025"/>
    <s v="Billing Request- 00102680"/>
    <x v="8"/>
    <d v="2025-03-28T00:00:00"/>
    <d v="2025-06-01T00:00:00"/>
    <x v="1"/>
    <s v="a6JXt2121337"/>
    <x v="4"/>
    <s v="Sep"/>
    <s v="Late media plan changes from client."/>
    <n v="65"/>
    <x v="0"/>
    <x v="13"/>
    <x v="4"/>
    <x v="0"/>
  </r>
  <r>
    <x v="0"/>
    <s v="DirecTV NASCAR Campaign 2025"/>
    <s v="Billing Request- 00102681"/>
    <x v="1"/>
    <d v="2025-12-06T00:00:00"/>
    <d v="2026-03-17T00:00:00"/>
    <x v="2"/>
    <s v="a6Jat6252015"/>
    <x v="1"/>
    <s v="Mar; Apr"/>
    <s v="Manual billing entry issue."/>
    <n v="101"/>
    <x v="0"/>
    <x v="11"/>
    <x v="0"/>
    <x v="0"/>
  </r>
  <r>
    <x v="0"/>
    <s v="DirecTV NASCAR Campaign 2025"/>
    <s v="Billing Request- 00102682"/>
    <x v="4"/>
    <d v="2025-03-25T00:00:00"/>
    <d v="2025-05-19T00:00:00"/>
    <x v="2"/>
    <s v="a6Jat1774820"/>
    <x v="6"/>
    <s v="May; Jun"/>
    <s v="Client requested retroactive billing adjustments."/>
    <n v="55"/>
    <x v="1"/>
    <x v="13"/>
    <x v="0"/>
    <x v="0"/>
  </r>
  <r>
    <x v="0"/>
    <s v="Global Consumer Products 2025"/>
    <s v="Billing Request- 00102683"/>
    <x v="7"/>
    <d v="2025-02-22T00:00:00"/>
    <d v="2025-03-11T00:00:00"/>
    <x v="2"/>
    <s v="a6JHn2256482"/>
    <x v="6"/>
    <s v="Sep"/>
    <s v="Late media plan changes from client."/>
    <n v="17"/>
    <x v="3"/>
    <x v="6"/>
    <x v="3"/>
    <x v="0"/>
  </r>
  <r>
    <x v="0"/>
    <s v="NASCAR P&amp;Q 2025"/>
    <s v="Billing Request- 00102684"/>
    <x v="6"/>
    <d v="2025-02-16T00:00:00"/>
    <d v="2025-05-17T00:00:00"/>
    <x v="0"/>
    <s v="a6Jat6257631"/>
    <x v="1"/>
    <s v="May"/>
    <s v=""/>
    <n v="90"/>
    <x v="0"/>
    <x v="6"/>
    <x v="0"/>
    <x v="0"/>
  </r>
  <r>
    <x v="1"/>
    <s v="Prime Sports NFL 2025"/>
    <s v="Billing Request- 00102687"/>
    <x v="1"/>
    <d v="2025-03-08T00:00:00"/>
    <d v="2025-06-30T00:00:00"/>
    <x v="0"/>
    <s v="a6JXt5657275"/>
    <x v="2"/>
    <s v="Jan"/>
    <s v="Finance validation process delay."/>
    <n v="114"/>
    <x v="0"/>
    <x v="13"/>
    <x v="3"/>
    <x v="0"/>
  </r>
  <r>
    <x v="0"/>
    <s v="NWSL Halftime Sponsorship 2025"/>
    <s v="Billing Request- 00102688"/>
    <x v="9"/>
    <d v="2025-03-03T00:00:00"/>
    <d v="2025-03-18T00:00:00"/>
    <x v="1"/>
    <s v="a6JHn5271120"/>
    <x v="2"/>
    <s v="Mar"/>
    <s v="Incorrect legal terms delayed PTS."/>
    <n v="15"/>
    <x v="3"/>
    <x v="13"/>
    <x v="1"/>
    <x v="0"/>
  </r>
  <r>
    <x v="0"/>
    <s v="Streaming Bundle Initiative 2026"/>
    <s v="Billing Request- 00102689"/>
    <x v="8"/>
    <d v="2026-03-03T00:00:00"/>
    <d v="2026-03-11T00:00:00"/>
    <x v="2"/>
    <s v="a6JXt6066277"/>
    <x v="4"/>
    <s v="Sep; Oct"/>
    <s v=""/>
    <n v="8"/>
    <x v="4"/>
    <x v="2"/>
    <x v="3"/>
    <x v="1"/>
  </r>
  <r>
    <x v="1"/>
    <s v="Amazon NBA Live Sports 2026"/>
    <s v="Billing Request- 00102690"/>
    <x v="8"/>
    <d v="2026-03-28T00:00:00"/>
    <d v="2026-05-08T00:00:00"/>
    <x v="0"/>
    <s v="a6JHn9314402"/>
    <x v="6"/>
    <s v="Feb"/>
    <s v="Finance validation process delay."/>
    <n v="41"/>
    <x v="1"/>
    <x v="2"/>
    <x v="2"/>
    <x v="1"/>
  </r>
  <r>
    <x v="0"/>
    <s v="NBA League Pass 2025"/>
    <s v="Billing Request- 00102691"/>
    <x v="1"/>
    <d v="2025-03-03T00:00:00"/>
    <d v="2025-05-23T00:00:00"/>
    <x v="2"/>
    <s v="a6Jat3631072"/>
    <x v="1"/>
    <s v="Nov; Dec"/>
    <s v="Client requested retroactive billing adjustments."/>
    <n v="81"/>
    <x v="0"/>
    <x v="13"/>
    <x v="2"/>
    <x v="0"/>
  </r>
  <r>
    <x v="0"/>
    <s v="Amazon NBA Live Sports 2025"/>
    <s v="Billing Request- 00102692"/>
    <x v="9"/>
    <d v="2025-03-25T00:00:00"/>
    <d v="2025-06-30T00:00:00"/>
    <x v="1"/>
    <s v="a6Jat7863551"/>
    <x v="0"/>
    <s v="Jan"/>
    <s v="Agency submitted updated invoice mapping."/>
    <n v="97"/>
    <x v="0"/>
    <x v="13"/>
    <x v="2"/>
    <x v="0"/>
  </r>
  <r>
    <x v="4"/>
    <s v="NBA Playoffs Campaign 2025"/>
    <s v="Billing Request- 00102693"/>
    <x v="1"/>
    <d v="2025-07-04T00:00:00"/>
    <d v="2025-10-29T00:00:00"/>
    <x v="0"/>
    <s v="a6JHn8707020"/>
    <x v="0"/>
    <s v="Oct"/>
    <s v="Missing supporting documentation from vendor."/>
    <n v="117"/>
    <x v="0"/>
    <x v="12"/>
    <x v="2"/>
    <x v="0"/>
  </r>
  <r>
    <x v="0"/>
    <s v="Amazon TNF 2024 2026"/>
    <s v="Billing Request- 00102694"/>
    <x v="0"/>
    <d v="2026-02-04T00:00:00"/>
    <d v="2026-02-18T00:00:00"/>
    <x v="1"/>
    <s v="a6JHn1161501"/>
    <x v="1"/>
    <s v="Jan"/>
    <s v="Finance validation process delay."/>
    <n v="14"/>
    <x v="4"/>
    <x v="1"/>
    <x v="4"/>
    <x v="1"/>
  </r>
  <r>
    <x v="0"/>
    <s v="Amazon NBA Live Sports 2025"/>
    <s v="Billing Request- 00102697"/>
    <x v="6"/>
    <d v="2025-07-29T00:00:00"/>
    <d v="2025-11-26T00:00:00"/>
    <x v="0"/>
    <s v="a6JHn5513430"/>
    <x v="0"/>
    <s v="Nov"/>
    <s v="Finance validation process delay."/>
    <n v="120"/>
    <x v="0"/>
    <x v="12"/>
    <x v="2"/>
    <x v="0"/>
  </r>
  <r>
    <x v="0"/>
    <s v="Amazon TNF 2024 2025"/>
    <s v="Billing Request- 00102699"/>
    <x v="4"/>
    <d v="2025-10-23T00:00:00"/>
    <d v="2025-12-07T00:00:00"/>
    <x v="2"/>
    <s v="a6Jat3502581"/>
    <x v="4"/>
    <s v="Mar; Apr"/>
    <s v="Agency submitted updated invoice mapping."/>
    <n v="45"/>
    <x v="1"/>
    <x v="5"/>
    <x v="4"/>
    <x v="0"/>
  </r>
  <r>
    <x v="4"/>
    <s v="NBA Playoffs Campaign 2025"/>
    <s v="Billing Request- 00102700"/>
    <x v="5"/>
    <d v="2025-04-26T00:00:00"/>
    <d v="2025-05-04T00:00:00"/>
    <x v="2"/>
    <s v="a6JHn6793395"/>
    <x v="3"/>
    <s v="May; Jun"/>
    <s v="Manual billing entry issue."/>
    <n v="8"/>
    <x v="4"/>
    <x v="3"/>
    <x v="2"/>
    <x v="0"/>
  </r>
  <r>
    <x v="0"/>
    <s v="NBA League Pass 2025"/>
    <s v="Billing Request- 00102702"/>
    <x v="5"/>
    <d v="2025-03-17T00:00:00"/>
    <d v="2025-06-08T00:00:00"/>
    <x v="0"/>
    <s v="a6JHn3049700"/>
    <x v="3"/>
    <s v="Nov; Dec"/>
    <s v="Manual billing entry issue."/>
    <n v="83"/>
    <x v="0"/>
    <x v="13"/>
    <x v="2"/>
    <x v="0"/>
  </r>
  <r>
    <x v="0"/>
    <s v="Confluence Academy 2025"/>
    <s v="Billing Request- 00102703"/>
    <x v="9"/>
    <d v="2025-11-21T00:00:00"/>
    <d v="2026-02-03T00:00:00"/>
    <x v="0"/>
    <s v="a6Jat7701498"/>
    <x v="5"/>
    <s v="Jul"/>
    <s v="Manual billing entry issue."/>
    <n v="74"/>
    <x v="0"/>
    <x v="15"/>
    <x v="3"/>
    <x v="0"/>
  </r>
  <r>
    <x v="0"/>
    <s v="NBA Playoffs Campaign 2025"/>
    <s v="Billing Request- 00102705"/>
    <x v="7"/>
    <d v="2025-04-23T00:00:00"/>
    <d v="2025-06-26T00:00:00"/>
    <x v="2"/>
    <s v="a6Jat1592991"/>
    <x v="1"/>
    <s v="Aug"/>
    <s v="Finance validation process delay."/>
    <n v="64"/>
    <x v="0"/>
    <x v="3"/>
    <x v="2"/>
    <x v="0"/>
  </r>
  <r>
    <x v="0"/>
    <s v="Global Consumer Products 2026"/>
    <s v="Billing Request- 00102706"/>
    <x v="8"/>
    <d v="2026-01-14T00:00:00"/>
    <d v="2026-01-15T00:00:00"/>
    <x v="2"/>
    <s v="a6Jat4429497"/>
    <x v="6"/>
    <s v="Sep"/>
    <s v="Manual billing entry issue."/>
    <n v="1"/>
    <x v="2"/>
    <x v="7"/>
    <x v="3"/>
    <x v="1"/>
  </r>
  <r>
    <x v="0"/>
    <s v="NWSL Halftime Sponsorship 2025"/>
    <s v="Billing Request- 00102708"/>
    <x v="1"/>
    <d v="2025-01-07T00:00:00"/>
    <d v="2025-02-11T00:00:00"/>
    <x v="2"/>
    <s v="a6JXt7235831"/>
    <x v="0"/>
    <s v="Mar; Apr"/>
    <s v="Missing supporting documentation from vendor."/>
    <n v="35"/>
    <x v="1"/>
    <x v="0"/>
    <x v="1"/>
    <x v="0"/>
  </r>
  <r>
    <x v="0"/>
    <s v="NWSL Prime Video 2025"/>
    <s v="Billing Request- 00102709"/>
    <x v="5"/>
    <d v="2025-12-01T00:00:00"/>
    <d v="2026-02-20T00:00:00"/>
    <x v="0"/>
    <s v="a6JHn6074298"/>
    <x v="6"/>
    <s v="Dec"/>
    <s v="Finance validation process delay."/>
    <n v="81"/>
    <x v="0"/>
    <x v="11"/>
    <x v="1"/>
    <x v="0"/>
  </r>
  <r>
    <x v="0"/>
    <s v="Amazon NBA Live Sports 2025"/>
    <s v="Billing Request- 00102710"/>
    <x v="6"/>
    <d v="2025-10-04T00:00:00"/>
    <d v="2026-01-14T00:00:00"/>
    <x v="2"/>
    <s v="a6JHn1505286"/>
    <x v="4"/>
    <s v="May"/>
    <s v="Finance validation process delay."/>
    <n v="102"/>
    <x v="0"/>
    <x v="5"/>
    <x v="2"/>
    <x v="0"/>
  </r>
  <r>
    <x v="3"/>
    <s v="Streaming Bundle Initiative 2025"/>
    <s v="Billing Request- 00102712"/>
    <x v="7"/>
    <d v="2025-11-11T00:00:00"/>
    <d v="2026-03-08T00:00:00"/>
    <x v="0"/>
    <s v="a6JXt4652279"/>
    <x v="6"/>
    <s v="Dec"/>
    <s v="Client requested retroactive billing adjustments."/>
    <n v="117"/>
    <x v="0"/>
    <x v="15"/>
    <x v="3"/>
    <x v="0"/>
  </r>
  <r>
    <x v="4"/>
    <s v="TNF Sponsorship 2026"/>
    <s v="Billing Request- 00102715"/>
    <x v="7"/>
    <d v="2026-05-07T00:00:00"/>
    <d v="2026-05-06T00:00:00"/>
    <x v="2"/>
    <s v="a6JXt8190079"/>
    <x v="4"/>
    <s v="Nov; Dec"/>
    <s v="Invoice details mismatch with approved campaign."/>
    <n v="-1"/>
    <x v="2"/>
    <x v="16"/>
    <x v="4"/>
    <x v="1"/>
  </r>
  <r>
    <x v="0"/>
    <s v="NFL Prime Video 2025"/>
    <s v="Billing Request- 00102716"/>
    <x v="9"/>
    <d v="2025-02-15T00:00:00"/>
    <d v="2025-06-09T00:00:00"/>
    <x v="2"/>
    <s v="a6Jat8880304"/>
    <x v="4"/>
    <s v="May"/>
    <s v="Incorrect legal terms delayed PTS."/>
    <n v="114"/>
    <x v="0"/>
    <x v="6"/>
    <x v="3"/>
    <x v="0"/>
  </r>
  <r>
    <x v="3"/>
    <s v="NWSL Halftime Sponsorship 2025"/>
    <s v="Billing Request- 00102717"/>
    <x v="7"/>
    <d v="2025-10-17T00:00:00"/>
    <d v="2026-01-23T00:00:00"/>
    <x v="2"/>
    <s v="a6Jat7956373"/>
    <x v="5"/>
    <s v="Sep"/>
    <s v="Invoice details mismatch with approved campaign."/>
    <n v="98"/>
    <x v="0"/>
    <x v="5"/>
    <x v="1"/>
    <x v="0"/>
  </r>
  <r>
    <x v="0"/>
    <s v="NBA League Pass 2026"/>
    <s v="Billing Request- 00102718"/>
    <x v="9"/>
    <d v="2026-03-15T00:00:00"/>
    <d v="2026-03-16T00:00:00"/>
    <x v="0"/>
    <s v="a6JHn7078282"/>
    <x v="1"/>
    <s v="Dec"/>
    <s v="Manual billing entry issue."/>
    <n v="1"/>
    <x v="2"/>
    <x v="2"/>
    <x v="2"/>
    <x v="1"/>
  </r>
  <r>
    <x v="0"/>
    <s v="NBA League Pass 2025"/>
    <s v="Billing Request- 00102720"/>
    <x v="5"/>
    <d v="2025-07-12T00:00:00"/>
    <d v="2025-08-10T00:00:00"/>
    <x v="0"/>
    <s v="a6JHn4437446"/>
    <x v="4"/>
    <s v="Jul"/>
    <s v="Late media plan changes from client."/>
    <n v="29"/>
    <x v="3"/>
    <x v="12"/>
    <x v="2"/>
    <x v="0"/>
  </r>
  <r>
    <x v="0"/>
    <s v="WNBA Incremental Scatter 2026"/>
    <s v="Billing Request- 00102721"/>
    <x v="4"/>
    <d v="2026-04-26T00:00:00"/>
    <d v="2026-05-05T00:00:00"/>
    <x v="2"/>
    <s v="a6Jat3077730"/>
    <x v="5"/>
    <s v="Jan"/>
    <s v="Late media plan changes from client."/>
    <n v="9"/>
    <x v="4"/>
    <x v="10"/>
    <x v="2"/>
    <x v="1"/>
  </r>
  <r>
    <x v="0"/>
    <s v="Prime Sports NFL 2025"/>
    <s v="Billing Request- 00102722"/>
    <x v="2"/>
    <d v="2025-08-09T00:00:00"/>
    <d v="2025-09-29T00:00:00"/>
    <x v="0"/>
    <s v="a6Jat7934867"/>
    <x v="3"/>
    <s v="May; Jun"/>
    <s v=""/>
    <n v="51"/>
    <x v="1"/>
    <x v="8"/>
    <x v="3"/>
    <x v="0"/>
  </r>
  <r>
    <x v="0"/>
    <s v="Global Consumer Products 2026"/>
    <s v="Billing Request- 00102723"/>
    <x v="8"/>
    <d v="2026-02-20T00:00:00"/>
    <d v="2026-05-06T00:00:00"/>
    <x v="0"/>
    <s v="a6JHn2532862"/>
    <x v="0"/>
    <s v="Feb"/>
    <s v="Client requested retroactive billing adjustments."/>
    <n v="75"/>
    <x v="0"/>
    <x v="1"/>
    <x v="3"/>
    <x v="1"/>
  </r>
  <r>
    <x v="3"/>
    <s v="NWSL Prime Video 2025"/>
    <s v="Billing Request- 00102724"/>
    <x v="3"/>
    <d v="2025-09-11T00:00:00"/>
    <d v="2025-09-24T00:00:00"/>
    <x v="0"/>
    <s v="a6JXt7136216"/>
    <x v="6"/>
    <s v="Jan"/>
    <s v="Late media plan changes from client."/>
    <n v="13"/>
    <x v="4"/>
    <x v="14"/>
    <x v="1"/>
    <x v="0"/>
  </r>
  <r>
    <x v="0"/>
    <s v="NBA League Pass 2025"/>
    <s v="Billing Request- 00102725"/>
    <x v="8"/>
    <d v="2025-09-09T00:00:00"/>
    <d v="2025-12-23T00:00:00"/>
    <x v="1"/>
    <s v="a6JHn5277210"/>
    <x v="1"/>
    <s v="Jul"/>
    <s v="Manual billing entry issue."/>
    <n v="105"/>
    <x v="0"/>
    <x v="14"/>
    <x v="2"/>
    <x v="0"/>
  </r>
  <r>
    <x v="0"/>
    <s v="TNF Sponsorship 2025"/>
    <s v="Billing Request- 00102726"/>
    <x v="9"/>
    <d v="2025-10-09T00:00:00"/>
    <d v="2026-01-30T00:00:00"/>
    <x v="1"/>
    <s v="a6Jat6565925"/>
    <x v="0"/>
    <s v="Dec"/>
    <s v="Incorrect legal terms delayed PTS."/>
    <n v="113"/>
    <x v="0"/>
    <x v="5"/>
    <x v="4"/>
    <x v="0"/>
  </r>
  <r>
    <x v="0"/>
    <s v="DirecTV NASCAR Campaign 2025"/>
    <s v="Billing Request- 00102727"/>
    <x v="7"/>
    <d v="2025-08-15T00:00:00"/>
    <d v="2025-10-24T00:00:00"/>
    <x v="2"/>
    <s v="a6JXt9429827"/>
    <x v="0"/>
    <s v="Sep"/>
    <s v="Manual billing entry issue."/>
    <n v="70"/>
    <x v="0"/>
    <x v="8"/>
    <x v="0"/>
    <x v="0"/>
  </r>
  <r>
    <x v="0"/>
    <s v="Streaming Bundle Initiative 2026"/>
    <s v="Billing Request- 00102728"/>
    <x v="9"/>
    <d v="2026-04-01T00:00:00"/>
    <d v="2026-04-07T00:00:00"/>
    <x v="2"/>
    <s v="a6JXt1680765"/>
    <x v="4"/>
    <s v="Nov"/>
    <s v="Client requested retroactive billing adjustments."/>
    <n v="6"/>
    <x v="2"/>
    <x v="10"/>
    <x v="3"/>
    <x v="1"/>
  </r>
  <r>
    <x v="0"/>
    <s v="Global Consumer Products 2025"/>
    <s v="Billing Request- 00102730"/>
    <x v="9"/>
    <d v="2025-09-28T00:00:00"/>
    <d v="2025-11-19T00:00:00"/>
    <x v="2"/>
    <s v="a6Jat6967140"/>
    <x v="6"/>
    <s v="Aug"/>
    <s v=""/>
    <n v="52"/>
    <x v="1"/>
    <x v="14"/>
    <x v="3"/>
    <x v="0"/>
  </r>
  <r>
    <x v="0"/>
    <s v="Confluence Academy 2025"/>
    <s v="Billing Request- 00102731"/>
    <x v="9"/>
    <d v="2025-01-03T00:00:00"/>
    <d v="2025-03-11T00:00:00"/>
    <x v="0"/>
    <s v="a6JHn5877764"/>
    <x v="0"/>
    <s v="Jan"/>
    <s v="Late media plan changes from client."/>
    <n v="67"/>
    <x v="0"/>
    <x v="0"/>
    <x v="3"/>
    <x v="0"/>
  </r>
  <r>
    <x v="0"/>
    <s v="NWSL Prime Video 2025"/>
    <s v="Billing Request- 00102732"/>
    <x v="1"/>
    <d v="2025-01-31T00:00:00"/>
    <d v="2025-02-28T00:00:00"/>
    <x v="2"/>
    <s v="a6JHn3055639"/>
    <x v="0"/>
    <s v="Mar"/>
    <s v="Agency submitted updated invoice mapping."/>
    <n v="28"/>
    <x v="3"/>
    <x v="0"/>
    <x v="1"/>
    <x v="0"/>
  </r>
  <r>
    <x v="0"/>
    <s v="Amazon TNF 2024 2026"/>
    <s v="Billing Request- 00102736"/>
    <x v="1"/>
    <d v="2026-01-03T00:00:00"/>
    <d v="2026-01-17T00:00:00"/>
    <x v="2"/>
    <s v="a6JHn8813111"/>
    <x v="5"/>
    <s v="Mar"/>
    <s v="Invoice details mismatch with approved campaign."/>
    <n v="14"/>
    <x v="4"/>
    <x v="7"/>
    <x v="4"/>
    <x v="1"/>
  </r>
  <r>
    <x v="0"/>
    <s v="TNF Sponsorship 2025"/>
    <s v="Billing Request- 00102737"/>
    <x v="9"/>
    <d v="2025-07-17T00:00:00"/>
    <d v="2025-10-21T00:00:00"/>
    <x v="0"/>
    <s v="a6Jat4182516"/>
    <x v="2"/>
    <s v="Dec"/>
    <s v="Client requested retroactive billing adjustments."/>
    <n v="96"/>
    <x v="0"/>
    <x v="12"/>
    <x v="4"/>
    <x v="0"/>
  </r>
  <r>
    <x v="0"/>
    <s v="Confluence Academy 2026"/>
    <s v="Billing Request- 00102738"/>
    <x v="0"/>
    <d v="2026-03-28T00:00:00"/>
    <d v="2026-04-13T00:00:00"/>
    <x v="0"/>
    <s v="a6JXt4734796"/>
    <x v="0"/>
    <s v="Nov; Dec"/>
    <s v="Finance validation process delay."/>
    <n v="16"/>
    <x v="3"/>
    <x v="2"/>
    <x v="3"/>
    <x v="1"/>
  </r>
  <r>
    <x v="0"/>
    <s v="NWSL Halftime Sponsorship 2026"/>
    <s v="Billing Request- 00102740"/>
    <x v="7"/>
    <d v="2026-04-04T00:00:00"/>
    <d v="2026-04-07T00:00:00"/>
    <x v="2"/>
    <s v="a6JXt4691041"/>
    <x v="1"/>
    <s v="May"/>
    <s v="Incorrect legal terms delayed PTS."/>
    <n v="3"/>
    <x v="2"/>
    <x v="10"/>
    <x v="1"/>
    <x v="1"/>
  </r>
  <r>
    <x v="0"/>
    <s v="NBA Playoffs Campaign 2026"/>
    <s v="Billing Request- 00102741"/>
    <x v="4"/>
    <d v="2026-03-13T00:00:00"/>
    <d v="2026-05-07T00:00:00"/>
    <x v="0"/>
    <s v="a6JHn1693713"/>
    <x v="1"/>
    <s v="Jul"/>
    <s v="Finance validation process delay."/>
    <n v="55"/>
    <x v="1"/>
    <x v="2"/>
    <x v="2"/>
    <x v="1"/>
  </r>
  <r>
    <x v="0"/>
    <s v="NWSL Prime Video 2026"/>
    <s v="Billing Request- 00102742"/>
    <x v="2"/>
    <d v="2026-01-19T00:00:00"/>
    <d v="2026-05-06T00:00:00"/>
    <x v="2"/>
    <s v="a6Jat8532396"/>
    <x v="5"/>
    <s v="Jan"/>
    <s v="Missing supporting documentation from vendor."/>
    <n v="107"/>
    <x v="0"/>
    <x v="7"/>
    <x v="1"/>
    <x v="1"/>
  </r>
  <r>
    <x v="4"/>
    <s v="Amazon NBA Live Sports 2025"/>
    <s v="Billing Request- 00102743"/>
    <x v="7"/>
    <d v="2025-02-04T00:00:00"/>
    <d v="2025-05-04T00:00:00"/>
    <x v="0"/>
    <s v="a6JXt1550711"/>
    <x v="6"/>
    <s v="Jan; Feb"/>
    <s v="Invoice details mismatch with approved campaign."/>
    <n v="89"/>
    <x v="0"/>
    <x v="6"/>
    <x v="2"/>
    <x v="0"/>
  </r>
  <r>
    <x v="0"/>
    <s v="NFL Prime Video 2026"/>
    <s v="Billing Request- 00102744"/>
    <x v="3"/>
    <d v="2026-04-20T00:00:00"/>
    <d v="2026-05-06T00:00:00"/>
    <x v="2"/>
    <s v="a6Jat2064889"/>
    <x v="6"/>
    <s v="Apr"/>
    <s v="Agency submitted updated invoice mapping."/>
    <n v="16"/>
    <x v="3"/>
    <x v="10"/>
    <x v="3"/>
    <x v="1"/>
  </r>
  <r>
    <x v="0"/>
    <s v="Retail Media Expansion 2026"/>
    <s v="Billing Request- 00102745"/>
    <x v="8"/>
    <d v="2026-02-28T00:00:00"/>
    <d v="2026-05-04T00:00:00"/>
    <x v="2"/>
    <s v="a6JHn9522296"/>
    <x v="5"/>
    <s v="May"/>
    <s v="Client requested retroactive billing adjustments."/>
    <n v="65"/>
    <x v="0"/>
    <x v="1"/>
    <x v="3"/>
    <x v="1"/>
  </r>
  <r>
    <x v="4"/>
    <s v="TNF Sponsorship 2025"/>
    <s v="Billing Request- 00102746"/>
    <x v="0"/>
    <d v="2025-03-19T00:00:00"/>
    <d v="2025-04-17T00:00:00"/>
    <x v="2"/>
    <s v="a6JHn9470736"/>
    <x v="1"/>
    <s v="Apr"/>
    <s v="Client requested retroactive billing adjustments."/>
    <n v="29"/>
    <x v="3"/>
    <x v="13"/>
    <x v="4"/>
    <x v="0"/>
  </r>
  <r>
    <x v="3"/>
    <s v="Streaming Bundle Initiative 2026"/>
    <s v="Billing Request- 00102747"/>
    <x v="4"/>
    <d v="2026-04-10T00:00:00"/>
    <d v="2026-05-09T00:00:00"/>
    <x v="2"/>
    <s v="a6JHn7028224"/>
    <x v="3"/>
    <s v="Jun"/>
    <s v="Incorrect legal terms delayed PTS."/>
    <n v="29"/>
    <x v="3"/>
    <x v="10"/>
    <x v="3"/>
    <x v="1"/>
  </r>
  <r>
    <x v="0"/>
    <s v="NASCAR P&amp;Q 2025"/>
    <s v="Billing Request- 00102752"/>
    <x v="0"/>
    <d v="2025-01-21T00:00:00"/>
    <d v="2025-03-25T00:00:00"/>
    <x v="2"/>
    <s v="a6JHn3400403"/>
    <x v="2"/>
    <s v="Jan"/>
    <s v="Late media plan changes from client."/>
    <n v="63"/>
    <x v="0"/>
    <x v="0"/>
    <x v="0"/>
    <x v="0"/>
  </r>
  <r>
    <x v="0"/>
    <s v="NWSL Prime Video 2025"/>
    <s v="Billing Request- 00102753"/>
    <x v="2"/>
    <d v="2025-08-21T00:00:00"/>
    <d v="2025-12-19T00:00:00"/>
    <x v="0"/>
    <s v="a6JXt9953228"/>
    <x v="0"/>
    <s v="Jan; Feb"/>
    <s v="Missing supporting documentation from vendor."/>
    <n v="120"/>
    <x v="0"/>
    <x v="8"/>
    <x v="1"/>
    <x v="0"/>
  </r>
  <r>
    <x v="0"/>
    <s v="NASCAR P&amp;Q 2025"/>
    <s v="Billing Request- 00102754"/>
    <x v="5"/>
    <d v="2025-11-04T00:00:00"/>
    <d v="2026-02-16T00:00:00"/>
    <x v="2"/>
    <s v="a6JHn9310913"/>
    <x v="5"/>
    <s v="Jan; Feb"/>
    <s v="Incorrect legal terms delayed PTS."/>
    <n v="104"/>
    <x v="0"/>
    <x v="15"/>
    <x v="0"/>
    <x v="0"/>
  </r>
  <r>
    <x v="0"/>
    <s v="NWSL Prime Video 2025"/>
    <s v="Billing Request- 00102755"/>
    <x v="5"/>
    <d v="2025-05-31T00:00:00"/>
    <d v="2025-08-26T00:00:00"/>
    <x v="2"/>
    <s v="a6JXt7499837"/>
    <x v="5"/>
    <s v="May; Jun"/>
    <s v="Missing supporting documentation from vendor."/>
    <n v="87"/>
    <x v="0"/>
    <x v="4"/>
    <x v="1"/>
    <x v="0"/>
  </r>
  <r>
    <x v="0"/>
    <s v="NWSL Prime Video 2025"/>
    <s v="Billing Request- 00102757"/>
    <x v="5"/>
    <d v="2025-11-20T00:00:00"/>
    <d v="2026-03-01T00:00:00"/>
    <x v="2"/>
    <s v="a6JHn7349822"/>
    <x v="1"/>
    <s v="Jul; Aug"/>
    <s v="Finance validation process delay."/>
    <n v="101"/>
    <x v="0"/>
    <x v="15"/>
    <x v="1"/>
    <x v="0"/>
  </r>
  <r>
    <x v="3"/>
    <s v="WNBA Incremental Scatter 2026"/>
    <s v="Billing Request- 00102758"/>
    <x v="7"/>
    <d v="2026-03-17T00:00:00"/>
    <d v="2026-03-23T00:00:00"/>
    <x v="0"/>
    <s v="a6JHn3216888"/>
    <x v="6"/>
    <s v="May"/>
    <s v="Invoice details mismatch with approved campaign."/>
    <n v="6"/>
    <x v="2"/>
    <x v="2"/>
    <x v="2"/>
    <x v="1"/>
  </r>
  <r>
    <x v="0"/>
    <s v="WNBA Incremental Scatter 2025"/>
    <s v="Billing Request- 00102760"/>
    <x v="4"/>
    <d v="2025-02-02T00:00:00"/>
    <d v="2025-04-01T00:00:00"/>
    <x v="0"/>
    <s v="a6JHn3519917"/>
    <x v="2"/>
    <s v="Dec"/>
    <s v="Manual billing entry issue."/>
    <n v="58"/>
    <x v="1"/>
    <x v="6"/>
    <x v="2"/>
    <x v="0"/>
  </r>
  <r>
    <x v="0"/>
    <s v="TNF Sponsorship 2025"/>
    <s v="Billing Request- 00102761"/>
    <x v="2"/>
    <d v="2025-02-14T00:00:00"/>
    <d v="2025-03-11T00:00:00"/>
    <x v="2"/>
    <s v="a6JHn4857678"/>
    <x v="2"/>
    <s v="May"/>
    <s v="Manual billing entry issue."/>
    <n v="25"/>
    <x v="3"/>
    <x v="6"/>
    <x v="4"/>
    <x v="0"/>
  </r>
  <r>
    <x v="3"/>
    <s v="TNF Sponsorship 2026"/>
    <s v="Billing Request- 00102763"/>
    <x v="3"/>
    <d v="2026-03-12T00:00:00"/>
    <d v="2026-05-04T00:00:00"/>
    <x v="0"/>
    <s v="a6JXt9144961"/>
    <x v="4"/>
    <s v="Sep"/>
    <s v="Manual billing entry issue."/>
    <n v="53"/>
    <x v="1"/>
    <x v="2"/>
    <x v="4"/>
    <x v="1"/>
  </r>
  <r>
    <x v="0"/>
    <s v="NWSL Halftime Sponsorship 2025"/>
    <s v="Billing Request- 00102764"/>
    <x v="1"/>
    <d v="2025-11-22T00:00:00"/>
    <d v="2026-01-21T00:00:00"/>
    <x v="2"/>
    <s v="a6Jat2621834"/>
    <x v="0"/>
    <s v="Sep; Oct"/>
    <s v="Agency submitted updated invoice mapping."/>
    <n v="60"/>
    <x v="1"/>
    <x v="15"/>
    <x v="1"/>
    <x v="0"/>
  </r>
  <r>
    <x v="4"/>
    <s v="Streaming Bundle Initiative 2026"/>
    <s v="Billing Request- 00102766"/>
    <x v="8"/>
    <d v="2026-03-30T00:00:00"/>
    <d v="2026-05-05T00:00:00"/>
    <x v="0"/>
    <s v="a6JHn9454622"/>
    <x v="0"/>
    <s v="Oct"/>
    <s v="Invoice details mismatch with approved campaign."/>
    <n v="36"/>
    <x v="1"/>
    <x v="2"/>
    <x v="3"/>
    <x v="1"/>
  </r>
  <r>
    <x v="0"/>
    <s v="DirecTV NASCAR Campaign 2026"/>
    <s v="Billing Request- 00102767"/>
    <x v="5"/>
    <d v="2026-04-17T00:00:00"/>
    <d v="2026-05-04T00:00:00"/>
    <x v="2"/>
    <s v="a6Jat9287783"/>
    <x v="3"/>
    <s v="Oct"/>
    <s v="Late media plan changes from client."/>
    <n v="17"/>
    <x v="3"/>
    <x v="10"/>
    <x v="0"/>
    <x v="1"/>
  </r>
  <r>
    <x v="0"/>
    <s v="NASCAR P&amp;Q 2025"/>
    <s v="Billing Request- 00102768"/>
    <x v="3"/>
    <d v="2025-03-07T00:00:00"/>
    <d v="2025-05-28T00:00:00"/>
    <x v="2"/>
    <s v="a6JHn9831302"/>
    <x v="1"/>
    <s v="Jun"/>
    <s v=""/>
    <n v="82"/>
    <x v="0"/>
    <x v="13"/>
    <x v="0"/>
    <x v="0"/>
  </r>
  <r>
    <x v="3"/>
    <s v="NWSL Prime Video 2026"/>
    <s v="Billing Request- 00102770"/>
    <x v="3"/>
    <d v="2026-04-23T00:00:00"/>
    <d v="2026-05-06T00:00:00"/>
    <x v="0"/>
    <s v="a6JXt3155940"/>
    <x v="5"/>
    <s v="Jul; Aug"/>
    <s v="Late media plan changes from client."/>
    <n v="13"/>
    <x v="4"/>
    <x v="10"/>
    <x v="1"/>
    <x v="1"/>
  </r>
  <r>
    <x v="0"/>
    <s v="Streaming Bundle Initiative 2025"/>
    <s v="Billing Request- 00102771"/>
    <x v="6"/>
    <d v="2025-12-23T00:00:00"/>
    <d v="2026-04-08T00:00:00"/>
    <x v="0"/>
    <s v="a6Jat8929550"/>
    <x v="4"/>
    <s v="Mar"/>
    <s v="Manual billing entry issue."/>
    <n v="106"/>
    <x v="0"/>
    <x v="11"/>
    <x v="3"/>
    <x v="0"/>
  </r>
  <r>
    <x v="0"/>
    <s v="DirecTV NASCAR Campaign 2025"/>
    <s v="Billing Request- 00102772"/>
    <x v="9"/>
    <d v="2025-07-19T00:00:00"/>
    <d v="2025-09-29T00:00:00"/>
    <x v="2"/>
    <s v="a6JXt3286132"/>
    <x v="4"/>
    <s v="Apr"/>
    <s v="Client requested retroactive billing adjustments."/>
    <n v="72"/>
    <x v="0"/>
    <x v="12"/>
    <x v="0"/>
    <x v="0"/>
  </r>
  <r>
    <x v="4"/>
    <s v="TNF Sponsorship 2025"/>
    <s v="Billing Request- 00102773"/>
    <x v="4"/>
    <d v="2025-06-01T00:00:00"/>
    <d v="2025-09-01T00:00:00"/>
    <x v="2"/>
    <s v="a6Jat3043149"/>
    <x v="1"/>
    <s v="Jan; Feb"/>
    <s v="Incorrect legal terms delayed PTS."/>
    <n v="92"/>
    <x v="0"/>
    <x v="9"/>
    <x v="4"/>
    <x v="0"/>
  </r>
  <r>
    <x v="4"/>
    <s v="NWSL Halftime Sponsorship 2025"/>
    <s v="Billing Request- 00102775"/>
    <x v="7"/>
    <d v="2025-11-10T00:00:00"/>
    <d v="2026-02-27T00:00:00"/>
    <x v="0"/>
    <s v="a6JHn4804764"/>
    <x v="1"/>
    <s v="Aug"/>
    <s v="Late media plan changes from client."/>
    <n v="109"/>
    <x v="0"/>
    <x v="15"/>
    <x v="1"/>
    <x v="0"/>
  </r>
  <r>
    <x v="0"/>
    <s v="NWSL Prime Video 2026"/>
    <s v="Billing Request- 00102776"/>
    <x v="2"/>
    <d v="2026-04-26T00:00:00"/>
    <d v="2026-05-05T00:00:00"/>
    <x v="2"/>
    <s v="a6Jat4456472"/>
    <x v="4"/>
    <s v="Oct"/>
    <s v="Late media plan changes from client."/>
    <n v="9"/>
    <x v="4"/>
    <x v="10"/>
    <x v="1"/>
    <x v="1"/>
  </r>
  <r>
    <x v="4"/>
    <s v="Global Consumer Products 2025"/>
    <s v="Billing Request- 00102777"/>
    <x v="3"/>
    <d v="2025-09-12T00:00:00"/>
    <d v="2025-10-29T00:00:00"/>
    <x v="0"/>
    <s v="a6JXt2154595"/>
    <x v="5"/>
    <s v="Sep; Oct"/>
    <s v="Incorrect legal terms delayed PTS."/>
    <n v="47"/>
    <x v="1"/>
    <x v="14"/>
    <x v="3"/>
    <x v="0"/>
  </r>
  <r>
    <x v="0"/>
    <s v="NFL Prime Video 2026"/>
    <s v="Billing Request- 00102778"/>
    <x v="0"/>
    <d v="2026-05-02T00:00:00"/>
    <d v="2026-05-06T00:00:00"/>
    <x v="2"/>
    <s v="a6Jat9374197"/>
    <x v="3"/>
    <s v="Jul"/>
    <s v="Finance validation process delay."/>
    <n v="4"/>
    <x v="2"/>
    <x v="16"/>
    <x v="3"/>
    <x v="1"/>
  </r>
  <r>
    <x v="3"/>
    <s v="Amazon NBA Live Sports 2025"/>
    <s v="Billing Request- 00102779"/>
    <x v="7"/>
    <d v="2025-04-23T00:00:00"/>
    <d v="2025-06-28T00:00:00"/>
    <x v="2"/>
    <s v="a6Jat4534222"/>
    <x v="6"/>
    <s v="Jun"/>
    <s v="Agency submitted updated invoice mapping."/>
    <n v="66"/>
    <x v="0"/>
    <x v="3"/>
    <x v="2"/>
    <x v="0"/>
  </r>
  <r>
    <x v="0"/>
    <s v="NWSL Prime Video 2025"/>
    <s v="Billing Request- 00102781"/>
    <x v="4"/>
    <d v="2025-09-26T00:00:00"/>
    <d v="2025-10-24T00:00:00"/>
    <x v="2"/>
    <s v="a6JHn5292254"/>
    <x v="0"/>
    <s v="Jan"/>
    <s v="Manual billing entry issue."/>
    <n v="28"/>
    <x v="3"/>
    <x v="14"/>
    <x v="1"/>
    <x v="0"/>
  </r>
  <r>
    <x v="0"/>
    <s v="NASCAR Apex 2025 2025"/>
    <s v="Billing Request- 00102782"/>
    <x v="5"/>
    <d v="2025-07-30T00:00:00"/>
    <d v="2025-11-18T00:00:00"/>
    <x v="0"/>
    <s v="a6JHn7335498"/>
    <x v="4"/>
    <s v="Nov; Dec"/>
    <s v="Agency submitted updated invoice mapping."/>
    <n v="111"/>
    <x v="0"/>
    <x v="12"/>
    <x v="0"/>
    <x v="0"/>
  </r>
  <r>
    <x v="0"/>
    <s v="NWSL Halftime Sponsorship 2025"/>
    <s v="Billing Request- 00102784"/>
    <x v="7"/>
    <d v="2025-05-14T00:00:00"/>
    <d v="2025-08-20T00:00:00"/>
    <x v="0"/>
    <s v="a6Jat4455946"/>
    <x v="1"/>
    <s v="Jan"/>
    <s v="Late media plan changes from client."/>
    <n v="98"/>
    <x v="0"/>
    <x v="4"/>
    <x v="1"/>
    <x v="0"/>
  </r>
  <r>
    <x v="0"/>
    <s v="Streaming Bundle Initiative 2025"/>
    <s v="Billing Request- 00102785"/>
    <x v="9"/>
    <d v="2025-07-04T00:00:00"/>
    <d v="2025-09-25T00:00:00"/>
    <x v="0"/>
    <s v="a6Jat7749412"/>
    <x v="2"/>
    <s v="Jan; Feb"/>
    <s v="Client requested retroactive billing adjustments."/>
    <n v="83"/>
    <x v="0"/>
    <x v="12"/>
    <x v="3"/>
    <x v="0"/>
  </r>
  <r>
    <x v="0"/>
    <s v="NFL Prime Video 2026"/>
    <s v="Billing Request- 00102786"/>
    <x v="6"/>
    <d v="2026-04-01T00:00:00"/>
    <d v="2026-05-01T00:00:00"/>
    <x v="0"/>
    <s v="a6JHn4449126"/>
    <x v="5"/>
    <s v="Sep"/>
    <s v=""/>
    <n v="30"/>
    <x v="3"/>
    <x v="10"/>
    <x v="3"/>
    <x v="1"/>
  </r>
  <r>
    <x v="0"/>
    <s v="NWSL Halftime Sponsorship 2025"/>
    <s v="Billing Request- 00102788"/>
    <x v="2"/>
    <d v="2025-12-16T00:00:00"/>
    <d v="2025-12-28T00:00:00"/>
    <x v="0"/>
    <s v="a6Jat7312675"/>
    <x v="2"/>
    <s v="Sep; Oct"/>
    <s v="Incorrect legal terms delayed PTS."/>
    <n v="12"/>
    <x v="4"/>
    <x v="11"/>
    <x v="1"/>
    <x v="0"/>
  </r>
  <r>
    <x v="0"/>
    <s v="WNBA Incremental Scatter 2025"/>
    <s v="Billing Request- 00102790"/>
    <x v="6"/>
    <d v="2025-09-13T00:00:00"/>
    <d v="2025-11-26T00:00:00"/>
    <x v="0"/>
    <s v="a6Jat7608160"/>
    <x v="5"/>
    <s v="Jul; Aug"/>
    <s v="Agency submitted updated invoice mapping."/>
    <n v="74"/>
    <x v="0"/>
    <x v="14"/>
    <x v="2"/>
    <x v="0"/>
  </r>
  <r>
    <x v="0"/>
    <s v="Streaming Bundle Initiative 2025"/>
    <s v="Billing Request- 00102791"/>
    <x v="3"/>
    <d v="2025-08-25T00:00:00"/>
    <d v="2025-10-19T00:00:00"/>
    <x v="2"/>
    <s v="a6Jat7054562"/>
    <x v="0"/>
    <s v="Mar"/>
    <s v="Manual billing entry issue."/>
    <n v="55"/>
    <x v="1"/>
    <x v="8"/>
    <x v="3"/>
    <x v="0"/>
  </r>
  <r>
    <x v="1"/>
    <s v="NWSL Prime Video 2026"/>
    <s v="Billing Request- 00102792"/>
    <x v="3"/>
    <d v="2026-03-21T00:00:00"/>
    <d v="2026-04-02T00:00:00"/>
    <x v="2"/>
    <s v="a6JHn4691974"/>
    <x v="6"/>
    <s v="Nov; Dec"/>
    <s v=""/>
    <n v="12"/>
    <x v="4"/>
    <x v="2"/>
    <x v="1"/>
    <x v="1"/>
  </r>
  <r>
    <x v="0"/>
    <s v="NWSL Halftime Sponsorship 2026"/>
    <s v="Billing Request- 00102793"/>
    <x v="9"/>
    <d v="2026-02-15T00:00:00"/>
    <d v="2026-04-12T00:00:00"/>
    <x v="2"/>
    <s v="a6Jat9220978"/>
    <x v="6"/>
    <s v="Dec"/>
    <s v="Client requested retroactive billing adjustments."/>
    <n v="56"/>
    <x v="1"/>
    <x v="1"/>
    <x v="1"/>
    <x v="1"/>
  </r>
  <r>
    <x v="1"/>
    <s v="TNF Sponsorship 2026"/>
    <s v="Billing Request- 00102795"/>
    <x v="3"/>
    <d v="2026-05-08T00:00:00"/>
    <d v="2026-05-08T00:00:00"/>
    <x v="2"/>
    <s v="a6Jat1042543"/>
    <x v="0"/>
    <s v="Apr"/>
    <s v="Missing supporting documentation from vendor."/>
    <n v="0"/>
    <x v="2"/>
    <x v="16"/>
    <x v="4"/>
    <x v="1"/>
  </r>
  <r>
    <x v="0"/>
    <s v="Confluence Academy 2026"/>
    <s v="Billing Request- 00102796"/>
    <x v="6"/>
    <d v="2026-03-06T00:00:00"/>
    <d v="2026-05-06T00:00:00"/>
    <x v="0"/>
    <s v="a6JXt2502609"/>
    <x v="0"/>
    <s v="Aug"/>
    <s v=""/>
    <n v="61"/>
    <x v="0"/>
    <x v="2"/>
    <x v="3"/>
    <x v="1"/>
  </r>
  <r>
    <x v="0"/>
    <s v="NWSL Prime Video 2025"/>
    <s v="Billing Request- 00102797"/>
    <x v="4"/>
    <d v="2025-01-14T00:00:00"/>
    <d v="2025-03-04T00:00:00"/>
    <x v="2"/>
    <s v="a6JHn4045186"/>
    <x v="5"/>
    <s v="Jan; Feb"/>
    <s v="Incorrect legal terms delayed PTS."/>
    <n v="49"/>
    <x v="1"/>
    <x v="0"/>
    <x v="1"/>
    <x v="0"/>
  </r>
  <r>
    <x v="0"/>
    <s v="NASCAR Apex 2025 2025"/>
    <s v="Billing Request- 00102799"/>
    <x v="6"/>
    <d v="2025-08-13T00:00:00"/>
    <d v="2025-09-03T00:00:00"/>
    <x v="2"/>
    <s v="a6JXt7107511"/>
    <x v="2"/>
    <s v="May; Jun"/>
    <s v="Manual billing entry issue."/>
    <n v="21"/>
    <x v="3"/>
    <x v="8"/>
    <x v="0"/>
    <x v="0"/>
  </r>
  <r>
    <x v="4"/>
    <s v="NWSL Halftime Sponsorship 2025"/>
    <s v="Billing Request- 00102801"/>
    <x v="9"/>
    <d v="2025-04-04T00:00:00"/>
    <d v="2025-07-07T00:00:00"/>
    <x v="2"/>
    <s v="a6JXt6709818"/>
    <x v="5"/>
    <s v="Nov; Dec"/>
    <s v=""/>
    <n v="94"/>
    <x v="0"/>
    <x v="3"/>
    <x v="1"/>
    <x v="0"/>
  </r>
  <r>
    <x v="0"/>
    <s v="TNF Sponsorship 2026"/>
    <s v="Billing Request- 00102802"/>
    <x v="9"/>
    <d v="2026-04-18T00:00:00"/>
    <d v="2026-05-09T00:00:00"/>
    <x v="2"/>
    <s v="a6JHn9404621"/>
    <x v="0"/>
    <s v="Oct"/>
    <s v="Manual billing entry issue."/>
    <n v="21"/>
    <x v="3"/>
    <x v="10"/>
    <x v="4"/>
    <x v="1"/>
  </r>
  <r>
    <x v="3"/>
    <s v="NASCAR Apex 2025 2026"/>
    <s v="Billing Request- 00102803"/>
    <x v="5"/>
    <d v="2026-02-19T00:00:00"/>
    <d v="2026-05-06T00:00:00"/>
    <x v="2"/>
    <s v="a6JHn4368270"/>
    <x v="0"/>
    <s v="Jan; Feb"/>
    <s v="Finance validation process delay."/>
    <n v="76"/>
    <x v="0"/>
    <x v="1"/>
    <x v="0"/>
    <x v="1"/>
  </r>
  <r>
    <x v="0"/>
    <s v="NWSL Prime Video 2025"/>
    <s v="Billing Request- 00102804"/>
    <x v="9"/>
    <d v="2025-06-29T00:00:00"/>
    <d v="2025-09-14T00:00:00"/>
    <x v="2"/>
    <s v="a6JXt7496909"/>
    <x v="5"/>
    <s v="Sep"/>
    <s v="Late media plan changes from client."/>
    <n v="77"/>
    <x v="0"/>
    <x v="9"/>
    <x v="1"/>
    <x v="0"/>
  </r>
  <r>
    <x v="4"/>
    <s v="DirecTV NASCAR Campaign 2026"/>
    <s v="Billing Request- 00102805"/>
    <x v="6"/>
    <d v="2026-01-21T00:00:00"/>
    <d v="2026-03-07T00:00:00"/>
    <x v="2"/>
    <s v="a6JHn5240300"/>
    <x v="2"/>
    <s v="Feb"/>
    <s v="Agency submitted updated invoice mapping."/>
    <n v="45"/>
    <x v="1"/>
    <x v="7"/>
    <x v="0"/>
    <x v="1"/>
  </r>
  <r>
    <x v="0"/>
    <s v="NFL Prime Video 2026"/>
    <s v="Billing Request- 00102807"/>
    <x v="8"/>
    <d v="2026-03-08T00:00:00"/>
    <d v="2026-04-20T00:00:00"/>
    <x v="0"/>
    <s v="a6JHn1545899"/>
    <x v="5"/>
    <s v="Jan"/>
    <s v="Invoice details mismatch with approved campaign."/>
    <n v="43"/>
    <x v="1"/>
    <x v="2"/>
    <x v="3"/>
    <x v="1"/>
  </r>
  <r>
    <x v="0"/>
    <s v="NASCAR P&amp;Q 2026"/>
    <s v="Billing Request- 00102809"/>
    <x v="1"/>
    <d v="2026-01-11T00:00:00"/>
    <d v="2026-04-11T00:00:00"/>
    <x v="2"/>
    <s v="a6Jat5610990"/>
    <x v="3"/>
    <s v="Jan"/>
    <s v="Missing supporting documentation from vendor."/>
    <n v="90"/>
    <x v="0"/>
    <x v="7"/>
    <x v="0"/>
    <x v="1"/>
  </r>
  <r>
    <x v="3"/>
    <s v="NBA Playoffs Campaign 2025"/>
    <s v="Billing Request- 00102811"/>
    <x v="9"/>
    <d v="2025-10-25T00:00:00"/>
    <d v="2025-12-20T00:00:00"/>
    <x v="1"/>
    <s v="a6JHn5716623"/>
    <x v="3"/>
    <s v="Jan; Feb"/>
    <s v="Missing supporting documentation from vendor."/>
    <n v="56"/>
    <x v="1"/>
    <x v="5"/>
    <x v="2"/>
    <x v="0"/>
  </r>
  <r>
    <x v="0"/>
    <s v="Amazon NBA Live Sports 2025"/>
    <s v="Billing Request- 00102812"/>
    <x v="2"/>
    <d v="2025-05-07T00:00:00"/>
    <d v="2025-06-04T00:00:00"/>
    <x v="0"/>
    <s v="a6JXt8961410"/>
    <x v="6"/>
    <s v="Nov"/>
    <s v="Agency submitted updated invoice mapping."/>
    <n v="28"/>
    <x v="3"/>
    <x v="4"/>
    <x v="2"/>
    <x v="0"/>
  </r>
  <r>
    <x v="0"/>
    <s v="Amazon TNF 2024 2026"/>
    <s v="Billing Request- 00102813"/>
    <x v="8"/>
    <d v="2026-03-14T00:00:00"/>
    <d v="2026-05-09T00:00:00"/>
    <x v="0"/>
    <s v="a6JHn1753643"/>
    <x v="1"/>
    <s v="Nov; Dec"/>
    <s v="Incorrect legal terms delayed PTS."/>
    <n v="56"/>
    <x v="1"/>
    <x v="2"/>
    <x v="4"/>
    <x v="1"/>
  </r>
  <r>
    <x v="0"/>
    <s v="Prime Sports NFL 2025"/>
    <s v="Billing Request- 00102814"/>
    <x v="8"/>
    <d v="2025-11-02T00:00:00"/>
    <d v="2025-12-14T00:00:00"/>
    <x v="2"/>
    <s v="a6JXt8742414"/>
    <x v="5"/>
    <s v="Jul; Aug"/>
    <s v="Manual billing entry issue."/>
    <n v="42"/>
    <x v="1"/>
    <x v="15"/>
    <x v="3"/>
    <x v="0"/>
  </r>
  <r>
    <x v="0"/>
    <s v="Prime Sports NFL 2025"/>
    <s v="Billing Request- 00102815"/>
    <x v="6"/>
    <d v="2025-05-01T00:00:00"/>
    <d v="2025-08-20T00:00:00"/>
    <x v="2"/>
    <s v="a6JHn8502556"/>
    <x v="3"/>
    <s v="Jul; Aug"/>
    <s v=""/>
    <n v="111"/>
    <x v="0"/>
    <x v="4"/>
    <x v="3"/>
    <x v="0"/>
  </r>
  <r>
    <x v="0"/>
    <s v="DirecTV NASCAR Campaign 2025"/>
    <s v="Billing Request- 00102816"/>
    <x v="4"/>
    <d v="2025-06-24T00:00:00"/>
    <d v="2025-06-27T00:00:00"/>
    <x v="0"/>
    <s v="a6Jat7876886"/>
    <x v="4"/>
    <s v="May; Jun"/>
    <s v="Client requested retroactive billing adjustments."/>
    <n v="3"/>
    <x v="2"/>
    <x v="9"/>
    <x v="0"/>
    <x v="0"/>
  </r>
  <r>
    <x v="0"/>
    <s v="NASCAR Apex 2025 2025"/>
    <s v="Billing Request- 00102817"/>
    <x v="5"/>
    <d v="2025-09-28T00:00:00"/>
    <d v="2025-11-28T00:00:00"/>
    <x v="2"/>
    <s v="a6Jat3009073"/>
    <x v="5"/>
    <s v="Jun"/>
    <s v="Manual billing entry issue."/>
    <n v="61"/>
    <x v="0"/>
    <x v="14"/>
    <x v="0"/>
    <x v="0"/>
  </r>
  <r>
    <x v="0"/>
    <s v="WNBA Incremental Scatter 2026"/>
    <s v="Billing Request- 00102818"/>
    <x v="0"/>
    <d v="2026-04-13T00:00:00"/>
    <d v="2026-05-09T00:00:00"/>
    <x v="2"/>
    <s v="a6JHn7105489"/>
    <x v="2"/>
    <s v="Sep; Oct"/>
    <s v="Late media plan changes from client."/>
    <n v="26"/>
    <x v="3"/>
    <x v="10"/>
    <x v="2"/>
    <x v="1"/>
  </r>
  <r>
    <x v="0"/>
    <s v="NBA Playoffs Campaign 2026"/>
    <s v="Billing Request- 00102819"/>
    <x v="6"/>
    <d v="2026-01-27T00:00:00"/>
    <d v="2026-04-27T00:00:00"/>
    <x v="1"/>
    <s v="a6JHn1150685"/>
    <x v="2"/>
    <s v="Sep; Oct"/>
    <s v="Client requested retroactive billing adjustments."/>
    <n v="90"/>
    <x v="0"/>
    <x v="7"/>
    <x v="2"/>
    <x v="1"/>
  </r>
  <r>
    <x v="4"/>
    <s v="Prime Sports NFL 2025"/>
    <s v="Billing Request- 00102820"/>
    <x v="2"/>
    <d v="2025-02-03T00:00:00"/>
    <d v="2025-05-12T00:00:00"/>
    <x v="2"/>
    <s v="a6Jat8169169"/>
    <x v="6"/>
    <s v="Jul; Aug"/>
    <s v="Client requested retroactive billing adjustments."/>
    <n v="98"/>
    <x v="0"/>
    <x v="6"/>
    <x v="3"/>
    <x v="0"/>
  </r>
  <r>
    <x v="0"/>
    <s v="NASCAR Apex 2025 2026"/>
    <s v="Billing Request- 00102821"/>
    <x v="7"/>
    <d v="2026-02-22T00:00:00"/>
    <d v="2026-05-05T00:00:00"/>
    <x v="2"/>
    <s v="a6Jat1178342"/>
    <x v="3"/>
    <s v="Sep; Oct"/>
    <s v="Invoice details mismatch with approved campaign."/>
    <n v="72"/>
    <x v="0"/>
    <x v="1"/>
    <x v="0"/>
    <x v="1"/>
  </r>
  <r>
    <x v="0"/>
    <s v="DirecTV NASCAR Campaign 2025"/>
    <s v="Billing Request- 00102822"/>
    <x v="0"/>
    <d v="2025-08-10T00:00:00"/>
    <d v="2025-12-08T00:00:00"/>
    <x v="0"/>
    <s v="a6JHn5401001"/>
    <x v="4"/>
    <s v="Jul; Aug"/>
    <s v="Agency submitted updated invoice mapping."/>
    <n v="120"/>
    <x v="0"/>
    <x v="8"/>
    <x v="0"/>
    <x v="0"/>
  </r>
  <r>
    <x v="3"/>
    <s v="WNBA Incremental Scatter 2025"/>
    <s v="Billing Request- 00102823"/>
    <x v="9"/>
    <d v="2025-11-11T00:00:00"/>
    <d v="2025-11-13T00:00:00"/>
    <x v="2"/>
    <s v="a6JXt5108037"/>
    <x v="1"/>
    <s v="Sep"/>
    <s v="Manual billing entry issue."/>
    <n v="2"/>
    <x v="2"/>
    <x v="15"/>
    <x v="2"/>
    <x v="0"/>
  </r>
  <r>
    <x v="0"/>
    <s v="NWSL Prime Video 2025"/>
    <s v="Billing Request- 00102824"/>
    <x v="2"/>
    <d v="2025-02-12T00:00:00"/>
    <d v="2025-04-08T00:00:00"/>
    <x v="2"/>
    <s v="a6JHn5380404"/>
    <x v="6"/>
    <s v="Nov; Dec"/>
    <s v=""/>
    <n v="55"/>
    <x v="1"/>
    <x v="6"/>
    <x v="1"/>
    <x v="0"/>
  </r>
  <r>
    <x v="0"/>
    <s v="Retail Media Expansion 2025"/>
    <s v="Billing Request- 00102825"/>
    <x v="8"/>
    <d v="2025-06-11T00:00:00"/>
    <d v="2025-09-15T00:00:00"/>
    <x v="1"/>
    <s v="a6JXt1564961"/>
    <x v="2"/>
    <s v="Dec"/>
    <s v="Missing supporting documentation from vendor."/>
    <n v="96"/>
    <x v="0"/>
    <x v="9"/>
    <x v="3"/>
    <x v="0"/>
  </r>
  <r>
    <x v="1"/>
    <s v="WNBA Incremental Scatter 2026"/>
    <s v="Billing Request- 00102827"/>
    <x v="6"/>
    <d v="2026-04-13T00:00:00"/>
    <d v="2026-05-08T00:00:00"/>
    <x v="0"/>
    <s v="a6Jat5125311"/>
    <x v="1"/>
    <s v="Jan; Feb"/>
    <s v="Invoice details mismatch with approved campaign."/>
    <n v="25"/>
    <x v="3"/>
    <x v="10"/>
    <x v="2"/>
    <x v="1"/>
  </r>
  <r>
    <x v="3"/>
    <s v="NFL Prime Video 2025"/>
    <s v="Billing Request- 00102831"/>
    <x v="3"/>
    <d v="2025-03-05T00:00:00"/>
    <d v="2025-06-14T00:00:00"/>
    <x v="2"/>
    <s v="a6JHn5988230"/>
    <x v="3"/>
    <s v="May; Jun"/>
    <s v="Manual billing entry issue."/>
    <n v="101"/>
    <x v="0"/>
    <x v="13"/>
    <x v="3"/>
    <x v="0"/>
  </r>
  <r>
    <x v="3"/>
    <s v="Streaming Bundle Initiative 2026"/>
    <s v="Billing Request- 00102832"/>
    <x v="2"/>
    <d v="2026-04-02T00:00:00"/>
    <d v="2026-05-06T00:00:00"/>
    <x v="2"/>
    <s v="a6JXt3522637"/>
    <x v="1"/>
    <s v="Nov"/>
    <s v="Invoice details mismatch with approved campaign."/>
    <n v="34"/>
    <x v="1"/>
    <x v="10"/>
    <x v="3"/>
    <x v="1"/>
  </r>
  <r>
    <x v="3"/>
    <s v="NASCAR P&amp;Q 2025"/>
    <s v="Billing Request- 00102834"/>
    <x v="3"/>
    <d v="2025-02-20T00:00:00"/>
    <d v="2025-04-26T00:00:00"/>
    <x v="2"/>
    <s v="a6JHn8026343"/>
    <x v="1"/>
    <s v="Sep; Oct"/>
    <s v="Incorrect legal terms delayed PTS."/>
    <n v="65"/>
    <x v="0"/>
    <x v="6"/>
    <x v="0"/>
    <x v="0"/>
  </r>
  <r>
    <x v="0"/>
    <s v="NFL Prime Video 2025"/>
    <s v="Billing Request- 00102835"/>
    <x v="0"/>
    <d v="2025-06-23T00:00:00"/>
    <d v="2025-09-07T00:00:00"/>
    <x v="2"/>
    <s v="a6JXt8100485"/>
    <x v="3"/>
    <s v="Oct"/>
    <s v="Late media plan changes from client."/>
    <n v="76"/>
    <x v="0"/>
    <x v="9"/>
    <x v="3"/>
    <x v="0"/>
  </r>
  <r>
    <x v="0"/>
    <s v="TNF Sponsorship 2025"/>
    <s v="Billing Request- 00102836"/>
    <x v="3"/>
    <d v="2025-08-21T00:00:00"/>
    <d v="2025-10-10T00:00:00"/>
    <x v="0"/>
    <s v="a6JHn9598302"/>
    <x v="3"/>
    <s v="Apr"/>
    <s v="Invoice details mismatch with approved campaign."/>
    <n v="50"/>
    <x v="1"/>
    <x v="8"/>
    <x v="4"/>
    <x v="0"/>
  </r>
  <r>
    <x v="0"/>
    <s v="NBA League Pass 2025"/>
    <s v="Billing Request- 00102837"/>
    <x v="6"/>
    <d v="2025-09-19T00:00:00"/>
    <d v="2025-12-02T00:00:00"/>
    <x v="0"/>
    <s v="a6Jat4981687"/>
    <x v="6"/>
    <s v="May; Jun"/>
    <s v="Missing supporting documentation from vendor."/>
    <n v="74"/>
    <x v="0"/>
    <x v="14"/>
    <x v="2"/>
    <x v="0"/>
  </r>
  <r>
    <x v="0"/>
    <s v="DirecTV NASCAR Campaign 2025"/>
    <s v="Billing Request- 00102838"/>
    <x v="6"/>
    <d v="2025-07-04T00:00:00"/>
    <d v="2025-08-18T00:00:00"/>
    <x v="0"/>
    <s v="a6Jat7178499"/>
    <x v="5"/>
    <s v="Sep; Oct"/>
    <s v="Incorrect legal terms delayed PTS."/>
    <n v="45"/>
    <x v="1"/>
    <x v="12"/>
    <x v="0"/>
    <x v="0"/>
  </r>
  <r>
    <x v="0"/>
    <s v="Amazon NBA Live Sports 2026"/>
    <s v="Billing Request- 00102839"/>
    <x v="8"/>
    <d v="2026-02-04T00:00:00"/>
    <d v="2026-04-30T00:00:00"/>
    <x v="2"/>
    <s v="a6JHn8583737"/>
    <x v="0"/>
    <s v="Sep"/>
    <s v="Invoice details mismatch with approved campaign."/>
    <n v="85"/>
    <x v="0"/>
    <x v="1"/>
    <x v="2"/>
    <x v="1"/>
  </r>
  <r>
    <x v="0"/>
    <s v="DirecTV NASCAR Campaign 2025"/>
    <s v="Billing Request- 00102840"/>
    <x v="2"/>
    <d v="2025-04-03T00:00:00"/>
    <d v="2025-05-21T00:00:00"/>
    <x v="2"/>
    <s v="a6JHn3489483"/>
    <x v="2"/>
    <s v="Aug"/>
    <s v="Finance validation process delay."/>
    <n v="48"/>
    <x v="1"/>
    <x v="3"/>
    <x v="0"/>
    <x v="0"/>
  </r>
  <r>
    <x v="0"/>
    <s v="Prime Sports NFL 2025"/>
    <s v="Billing Request- 00102841"/>
    <x v="0"/>
    <d v="2025-11-12T00:00:00"/>
    <d v="2025-11-17T00:00:00"/>
    <x v="2"/>
    <s v="a6JHn7110062"/>
    <x v="3"/>
    <s v="Nov; Dec"/>
    <s v="Late media plan changes from client."/>
    <n v="5"/>
    <x v="2"/>
    <x v="15"/>
    <x v="3"/>
    <x v="0"/>
  </r>
  <r>
    <x v="4"/>
    <s v="DirecTV NASCAR Campaign 2025"/>
    <s v="Billing Request- 00102842"/>
    <x v="7"/>
    <d v="2025-08-02T00:00:00"/>
    <d v="2025-10-01T00:00:00"/>
    <x v="2"/>
    <s v="a6JHn3224186"/>
    <x v="2"/>
    <s v="Nov"/>
    <s v="Missing supporting documentation from vendor."/>
    <n v="60"/>
    <x v="1"/>
    <x v="8"/>
    <x v="0"/>
    <x v="0"/>
  </r>
  <r>
    <x v="0"/>
    <s v="NBA League Pass 2025"/>
    <s v="Billing Request- 00102843"/>
    <x v="8"/>
    <d v="2025-09-08T00:00:00"/>
    <d v="2025-09-24T00:00:00"/>
    <x v="2"/>
    <s v="a6Jat3831255"/>
    <x v="0"/>
    <s v="May; Jun"/>
    <s v="Late media plan changes from client."/>
    <n v="16"/>
    <x v="3"/>
    <x v="14"/>
    <x v="2"/>
    <x v="0"/>
  </r>
  <r>
    <x v="4"/>
    <s v="NASCAR P&amp;Q 2025"/>
    <s v="Billing Request- 00102844"/>
    <x v="5"/>
    <d v="2025-01-11T00:00:00"/>
    <d v="2025-03-01T00:00:00"/>
    <x v="0"/>
    <s v="a6Jat9234577"/>
    <x v="2"/>
    <s v="Jul; Aug"/>
    <s v="Missing supporting documentation from vendor."/>
    <n v="49"/>
    <x v="1"/>
    <x v="0"/>
    <x v="0"/>
    <x v="0"/>
  </r>
  <r>
    <x v="0"/>
    <s v="NASCAR P&amp;Q 2025"/>
    <s v="Billing Request- 00102845"/>
    <x v="4"/>
    <d v="2025-02-02T00:00:00"/>
    <d v="2025-03-11T00:00:00"/>
    <x v="2"/>
    <s v="a6Jat9328820"/>
    <x v="6"/>
    <s v="Nov"/>
    <s v="Late media plan changes from client."/>
    <n v="37"/>
    <x v="1"/>
    <x v="6"/>
    <x v="0"/>
    <x v="0"/>
  </r>
  <r>
    <x v="0"/>
    <s v="NASCAR Apex 2025 2026"/>
    <s v="Billing Request- 00102846"/>
    <x v="5"/>
    <d v="2026-03-28T00:00:00"/>
    <d v="2026-05-08T00:00:00"/>
    <x v="1"/>
    <s v="a6JHn8300462"/>
    <x v="6"/>
    <s v="Mar; Apr"/>
    <s v=""/>
    <n v="41"/>
    <x v="1"/>
    <x v="2"/>
    <x v="0"/>
    <x v="1"/>
  </r>
  <r>
    <x v="0"/>
    <s v="DirecTV NASCAR Campaign 2026"/>
    <s v="Billing Request- 00102847"/>
    <x v="3"/>
    <d v="2026-02-24T00:00:00"/>
    <d v="2026-03-23T00:00:00"/>
    <x v="1"/>
    <s v="a6JHn7958538"/>
    <x v="6"/>
    <s v="Nov; Dec"/>
    <s v="Invoice details mismatch with approved campaign."/>
    <n v="27"/>
    <x v="3"/>
    <x v="1"/>
    <x v="0"/>
    <x v="1"/>
  </r>
  <r>
    <x v="0"/>
    <s v="Confluence Academy 2026"/>
    <s v="Billing Request- 00102848"/>
    <x v="2"/>
    <d v="2026-03-19T00:00:00"/>
    <d v="2026-05-04T00:00:00"/>
    <x v="2"/>
    <s v="a6JXt1852536"/>
    <x v="4"/>
    <s v="Mar"/>
    <s v="Finance validation process delay."/>
    <n v="46"/>
    <x v="1"/>
    <x v="2"/>
    <x v="3"/>
    <x v="1"/>
  </r>
  <r>
    <x v="3"/>
    <s v="Retail Media Expansion 2025"/>
    <s v="Billing Request- 00102850"/>
    <x v="3"/>
    <d v="2025-01-24T00:00:00"/>
    <d v="2025-05-04T00:00:00"/>
    <x v="0"/>
    <s v="a6JHn1604765"/>
    <x v="5"/>
    <s v="Sep; Oct"/>
    <s v=""/>
    <n v="100"/>
    <x v="0"/>
    <x v="0"/>
    <x v="3"/>
    <x v="0"/>
  </r>
  <r>
    <x v="0"/>
    <s v="Amazon TNF 2024 2025"/>
    <s v="Billing Request- 00102851"/>
    <x v="0"/>
    <d v="2025-11-27T00:00:00"/>
    <d v="2026-02-22T00:00:00"/>
    <x v="2"/>
    <s v="a6JXt4303493"/>
    <x v="6"/>
    <s v="Mar"/>
    <s v="Incorrect legal terms delayed PTS."/>
    <n v="87"/>
    <x v="0"/>
    <x v="15"/>
    <x v="4"/>
    <x v="0"/>
  </r>
  <r>
    <x v="0"/>
    <s v="NFL Prime Video 2025"/>
    <s v="Billing Request- 00102852"/>
    <x v="7"/>
    <d v="2025-04-15T00:00:00"/>
    <d v="2025-05-08T00:00:00"/>
    <x v="2"/>
    <s v="a6JXt4185312"/>
    <x v="2"/>
    <s v="Jul"/>
    <s v="Missing supporting documentation from vendor."/>
    <n v="23"/>
    <x v="3"/>
    <x v="3"/>
    <x v="3"/>
    <x v="0"/>
  </r>
  <r>
    <x v="1"/>
    <s v="NASCAR Apex 2025 2025"/>
    <s v="Billing Request- 00102854"/>
    <x v="8"/>
    <d v="2025-04-19T00:00:00"/>
    <d v="2025-06-26T00:00:00"/>
    <x v="2"/>
    <s v="a6Jat7915805"/>
    <x v="0"/>
    <s v="Jan; Feb"/>
    <s v="Manual billing entry issue."/>
    <n v="68"/>
    <x v="0"/>
    <x v="3"/>
    <x v="0"/>
    <x v="0"/>
  </r>
  <r>
    <x v="0"/>
    <s v="WNBA Incremental Scatter 2025"/>
    <s v="Billing Request- 00102855"/>
    <x v="5"/>
    <d v="2025-05-20T00:00:00"/>
    <d v="2025-09-10T00:00:00"/>
    <x v="2"/>
    <s v="a6JXt2555332"/>
    <x v="3"/>
    <s v="Jun"/>
    <s v="Missing supporting documentation from vendor."/>
    <n v="113"/>
    <x v="0"/>
    <x v="4"/>
    <x v="2"/>
    <x v="0"/>
  </r>
  <r>
    <x v="0"/>
    <s v="Amazon NBA Live Sports 2025"/>
    <s v="Billing Request- 00102856"/>
    <x v="3"/>
    <d v="2025-09-04T00:00:00"/>
    <d v="2025-10-10T00:00:00"/>
    <x v="0"/>
    <s v="a6JHn8769529"/>
    <x v="4"/>
    <s v="Jun"/>
    <s v="Finance validation process delay."/>
    <n v="36"/>
    <x v="1"/>
    <x v="14"/>
    <x v="2"/>
    <x v="0"/>
  </r>
  <r>
    <x v="0"/>
    <s v="Amazon NBA Live Sports 2025"/>
    <s v="Billing Request- 00102857"/>
    <x v="3"/>
    <d v="2025-08-11T00:00:00"/>
    <d v="2025-10-03T00:00:00"/>
    <x v="0"/>
    <s v="a6JXt2559012"/>
    <x v="0"/>
    <s v="May; Jun"/>
    <s v="Late media plan changes from client."/>
    <n v="53"/>
    <x v="1"/>
    <x v="8"/>
    <x v="2"/>
    <x v="0"/>
  </r>
  <r>
    <x v="0"/>
    <s v="NWSL Prime Video 2026"/>
    <s v="Billing Request- 00102860"/>
    <x v="1"/>
    <d v="2026-04-07T00:00:00"/>
    <d v="2026-05-05T00:00:00"/>
    <x v="1"/>
    <s v="a6JXt2071668"/>
    <x v="2"/>
    <s v="Nov; Dec"/>
    <s v="Agency submitted updated invoice mapping."/>
    <n v="28"/>
    <x v="3"/>
    <x v="10"/>
    <x v="1"/>
    <x v="1"/>
  </r>
  <r>
    <x v="0"/>
    <s v="NBA League Pass 2026"/>
    <s v="Billing Request- 00102861"/>
    <x v="7"/>
    <d v="2026-02-07T00:00:00"/>
    <d v="2026-03-11T00:00:00"/>
    <x v="2"/>
    <s v="a6Jat1880007"/>
    <x v="0"/>
    <s v="Jul"/>
    <s v="Manual billing entry issue."/>
    <n v="32"/>
    <x v="1"/>
    <x v="1"/>
    <x v="2"/>
    <x v="1"/>
  </r>
  <r>
    <x v="1"/>
    <s v="NASCAR P&amp;Q 2025"/>
    <s v="Billing Request- 00102862"/>
    <x v="3"/>
    <d v="2025-10-13T00:00:00"/>
    <d v="2026-01-21T00:00:00"/>
    <x v="0"/>
    <s v="a6Jat4418401"/>
    <x v="0"/>
    <s v="Jul; Aug"/>
    <s v="Late media plan changes from client."/>
    <n v="100"/>
    <x v="0"/>
    <x v="5"/>
    <x v="0"/>
    <x v="0"/>
  </r>
  <r>
    <x v="0"/>
    <s v="NWSL Halftime Sponsorship 2025"/>
    <s v="Billing Request- 00102863"/>
    <x v="0"/>
    <d v="2025-09-24T00:00:00"/>
    <d v="2025-11-05T00:00:00"/>
    <x v="2"/>
    <s v="a6JHn6500544"/>
    <x v="0"/>
    <s v="Nov"/>
    <s v="Finance validation process delay."/>
    <n v="42"/>
    <x v="1"/>
    <x v="14"/>
    <x v="1"/>
    <x v="0"/>
  </r>
  <r>
    <x v="0"/>
    <s v="NASCAR Apex 2025 2025"/>
    <s v="Billing Request- 00102864"/>
    <x v="6"/>
    <d v="2025-11-30T00:00:00"/>
    <d v="2026-03-15T00:00:00"/>
    <x v="2"/>
    <s v="a6Jat1907844"/>
    <x v="3"/>
    <s v="Mar"/>
    <s v="Agency submitted updated invoice mapping."/>
    <n v="105"/>
    <x v="0"/>
    <x v="15"/>
    <x v="0"/>
    <x v="0"/>
  </r>
  <r>
    <x v="0"/>
    <s v="DirecTV NASCAR Campaign 2026"/>
    <s v="Billing Request- 00102865"/>
    <x v="7"/>
    <d v="2026-05-03T00:00:00"/>
    <d v="2026-05-06T00:00:00"/>
    <x v="2"/>
    <s v="a6Jat7949644"/>
    <x v="4"/>
    <s v="May; Jun"/>
    <s v="Client requested retroactive billing adjustments."/>
    <n v="3"/>
    <x v="2"/>
    <x v="16"/>
    <x v="0"/>
    <x v="1"/>
  </r>
  <r>
    <x v="0"/>
    <s v="NWSL Prime Video 2025"/>
    <s v="Billing Request- 00102866"/>
    <x v="4"/>
    <d v="2025-02-24T00:00:00"/>
    <d v="2025-03-29T00:00:00"/>
    <x v="2"/>
    <s v="a6JHn3979157"/>
    <x v="6"/>
    <s v="Oct"/>
    <s v="Agency submitted updated invoice mapping."/>
    <n v="33"/>
    <x v="1"/>
    <x v="6"/>
    <x v="1"/>
    <x v="0"/>
  </r>
  <r>
    <x v="0"/>
    <s v="Global Consumer Products 2025"/>
    <s v="Billing Request- 00102868"/>
    <x v="6"/>
    <d v="2025-02-17T00:00:00"/>
    <d v="2025-05-02T00:00:00"/>
    <x v="0"/>
    <s v="a6JHn7859329"/>
    <x v="2"/>
    <s v="Apr"/>
    <s v="Manual billing entry issue."/>
    <n v="74"/>
    <x v="0"/>
    <x v="6"/>
    <x v="3"/>
    <x v="0"/>
  </r>
  <r>
    <x v="0"/>
    <s v="NWSL Halftime Sponsorship 2025"/>
    <s v="Billing Request- 00102870"/>
    <x v="4"/>
    <d v="2025-04-15T00:00:00"/>
    <d v="2025-05-09T00:00:00"/>
    <x v="2"/>
    <s v="a6Jat2607065"/>
    <x v="0"/>
    <s v="Feb"/>
    <s v=""/>
    <n v="24"/>
    <x v="3"/>
    <x v="3"/>
    <x v="1"/>
    <x v="0"/>
  </r>
  <r>
    <x v="0"/>
    <s v="NWSL Halftime Sponsorship 2025"/>
    <s v="Billing Request- 00102871"/>
    <x v="3"/>
    <d v="2025-02-09T00:00:00"/>
    <d v="2025-05-15T00:00:00"/>
    <x v="2"/>
    <s v="a6JXt2367704"/>
    <x v="3"/>
    <s v="Dec"/>
    <s v="Finance validation process delay."/>
    <n v="95"/>
    <x v="0"/>
    <x v="6"/>
    <x v="1"/>
    <x v="0"/>
  </r>
  <r>
    <x v="0"/>
    <s v="DirecTV NASCAR Campaign 2026"/>
    <s v="Billing Request- 00102872"/>
    <x v="4"/>
    <d v="2026-03-17T00:00:00"/>
    <d v="2026-05-06T00:00:00"/>
    <x v="2"/>
    <s v="a6Jat8936991"/>
    <x v="2"/>
    <s v="Jun"/>
    <s v="Invoice details mismatch with approved campaign."/>
    <n v="50"/>
    <x v="1"/>
    <x v="2"/>
    <x v="0"/>
    <x v="1"/>
  </r>
  <r>
    <x v="0"/>
    <s v="TNF Sponsorship 2025"/>
    <s v="Billing Request- 00102873"/>
    <x v="4"/>
    <d v="2025-08-08T00:00:00"/>
    <d v="2025-08-21T00:00:00"/>
    <x v="0"/>
    <s v="a6JXt4250427"/>
    <x v="3"/>
    <s v="Jan"/>
    <s v="Finance validation process delay."/>
    <n v="13"/>
    <x v="4"/>
    <x v="8"/>
    <x v="4"/>
    <x v="0"/>
  </r>
  <r>
    <x v="0"/>
    <s v="WNBA Incremental Scatter 2025"/>
    <s v="Billing Request- 00102874"/>
    <x v="1"/>
    <d v="2025-07-07T00:00:00"/>
    <d v="2025-07-23T00:00:00"/>
    <x v="2"/>
    <s v="a6Jat3347697"/>
    <x v="0"/>
    <s v="Nov; Dec"/>
    <s v="Finance validation process delay."/>
    <n v="16"/>
    <x v="3"/>
    <x v="12"/>
    <x v="2"/>
    <x v="0"/>
  </r>
  <r>
    <x v="0"/>
    <s v="NFL Prime Video 2025"/>
    <s v="Billing Request- 00102876"/>
    <x v="5"/>
    <d v="2025-05-08T00:00:00"/>
    <d v="2025-08-19T00:00:00"/>
    <x v="2"/>
    <s v="a6JHn1725375"/>
    <x v="4"/>
    <s v="Jul"/>
    <s v="Missing supporting documentation from vendor."/>
    <n v="103"/>
    <x v="0"/>
    <x v="4"/>
    <x v="3"/>
    <x v="0"/>
  </r>
  <r>
    <x v="0"/>
    <s v="NFL Prime Video 2025"/>
    <s v="Billing Request- 00102878"/>
    <x v="5"/>
    <d v="2025-03-13T00:00:00"/>
    <d v="2025-07-06T00:00:00"/>
    <x v="0"/>
    <s v="a6JXt1963734"/>
    <x v="0"/>
    <s v="Nov"/>
    <s v="Incorrect legal terms delayed PTS."/>
    <n v="115"/>
    <x v="0"/>
    <x v="13"/>
    <x v="3"/>
    <x v="0"/>
  </r>
  <r>
    <x v="0"/>
    <s v="NASCAR Apex 2025 2026"/>
    <s v="Billing Request- 00102881"/>
    <x v="1"/>
    <d v="2026-03-01T00:00:00"/>
    <d v="2026-03-04T00:00:00"/>
    <x v="0"/>
    <s v="a6JXt6363202"/>
    <x v="1"/>
    <s v="Mar; Apr"/>
    <s v="Invoice details mismatch with approved campaign."/>
    <n v="3"/>
    <x v="2"/>
    <x v="2"/>
    <x v="0"/>
    <x v="1"/>
  </r>
  <r>
    <x v="0"/>
    <s v="NWSL Prime Video 2025"/>
    <s v="Billing Request- 00102882"/>
    <x v="7"/>
    <d v="2025-01-29T00:00:00"/>
    <d v="2025-05-24T00:00:00"/>
    <x v="0"/>
    <s v="a6JXt9858588"/>
    <x v="6"/>
    <s v="May"/>
    <s v="Late media plan changes from client."/>
    <n v="115"/>
    <x v="0"/>
    <x v="0"/>
    <x v="1"/>
    <x v="0"/>
  </r>
  <r>
    <x v="0"/>
    <s v="TNF Sponsorship 2025"/>
    <s v="Billing Request- 00102884"/>
    <x v="1"/>
    <d v="2025-12-01T00:00:00"/>
    <d v="2026-03-27T00:00:00"/>
    <x v="2"/>
    <s v="a6Jat6302655"/>
    <x v="6"/>
    <s v="Aug"/>
    <s v="Manual billing entry issue."/>
    <n v="116"/>
    <x v="0"/>
    <x v="11"/>
    <x v="4"/>
    <x v="0"/>
  </r>
  <r>
    <x v="4"/>
    <s v="WNBA Incremental Scatter 2025"/>
    <s v="Billing Request- 00102887"/>
    <x v="8"/>
    <d v="2025-08-18T00:00:00"/>
    <d v="2025-08-23T00:00:00"/>
    <x v="2"/>
    <s v="a6JXt5522374"/>
    <x v="6"/>
    <s v="Apr"/>
    <s v="Agency submitted updated invoice mapping."/>
    <n v="5"/>
    <x v="2"/>
    <x v="8"/>
    <x v="2"/>
    <x v="0"/>
  </r>
  <r>
    <x v="0"/>
    <s v="Retail Media Expansion 2025"/>
    <s v="Billing Request- 00102888"/>
    <x v="0"/>
    <d v="2025-12-25T00:00:00"/>
    <d v="2026-04-16T00:00:00"/>
    <x v="0"/>
    <s v="a6Jat4559613"/>
    <x v="2"/>
    <s v="Jul; Aug"/>
    <s v="Incorrect legal terms delayed PTS."/>
    <n v="112"/>
    <x v="0"/>
    <x v="11"/>
    <x v="3"/>
    <x v="0"/>
  </r>
  <r>
    <x v="0"/>
    <s v="NWSL Halftime Sponsorship 2025"/>
    <s v="Billing Request- 00102889"/>
    <x v="6"/>
    <d v="2025-10-04T00:00:00"/>
    <d v="2025-11-21T00:00:00"/>
    <x v="2"/>
    <s v="a6JHn1617571"/>
    <x v="5"/>
    <s v="Apr"/>
    <s v="Finance validation process delay."/>
    <n v="48"/>
    <x v="1"/>
    <x v="5"/>
    <x v="1"/>
    <x v="0"/>
  </r>
  <r>
    <x v="0"/>
    <s v="WNBA Incremental Scatter 2026"/>
    <s v="Billing Request- 00102890"/>
    <x v="6"/>
    <d v="2026-03-02T00:00:00"/>
    <d v="2026-05-05T00:00:00"/>
    <x v="2"/>
    <s v="a6Jat6824399"/>
    <x v="1"/>
    <s v="Mar"/>
    <s v="Missing supporting documentation from vendor."/>
    <n v="64"/>
    <x v="0"/>
    <x v="2"/>
    <x v="2"/>
    <x v="1"/>
  </r>
  <r>
    <x v="0"/>
    <s v="WNBA Incremental Scatter 2025"/>
    <s v="Billing Request- 00102891"/>
    <x v="8"/>
    <d v="2025-10-08T00:00:00"/>
    <d v="2025-11-02T00:00:00"/>
    <x v="2"/>
    <s v="a6JHn5823825"/>
    <x v="6"/>
    <s v="Sep; Oct"/>
    <s v="Late media plan changes from client."/>
    <n v="25"/>
    <x v="3"/>
    <x v="5"/>
    <x v="2"/>
    <x v="0"/>
  </r>
  <r>
    <x v="0"/>
    <s v="DirecTV NASCAR Campaign 2025"/>
    <s v="Billing Request- 00102892"/>
    <x v="6"/>
    <d v="2025-01-23T00:00:00"/>
    <d v="2025-03-14T00:00:00"/>
    <x v="0"/>
    <s v="a6JHn3503866"/>
    <x v="5"/>
    <s v="Jul"/>
    <s v="Invoice details mismatch with approved campaign."/>
    <n v="50"/>
    <x v="1"/>
    <x v="0"/>
    <x v="0"/>
    <x v="0"/>
  </r>
  <r>
    <x v="0"/>
    <s v="NWSL Prime Video 2025"/>
    <s v="Billing Request- 00102893"/>
    <x v="8"/>
    <d v="2025-12-06T00:00:00"/>
    <d v="2026-02-08T00:00:00"/>
    <x v="2"/>
    <s v="a6Jat1207198"/>
    <x v="5"/>
    <s v="Nov"/>
    <s v="Missing supporting documentation from vendor."/>
    <n v="64"/>
    <x v="0"/>
    <x v="11"/>
    <x v="1"/>
    <x v="0"/>
  </r>
  <r>
    <x v="1"/>
    <s v="Amazon TNF 2024 2025"/>
    <s v="Billing Request- 00102895"/>
    <x v="4"/>
    <d v="2025-01-11T00:00:00"/>
    <d v="2025-04-16T00:00:00"/>
    <x v="0"/>
    <s v="a6Jat8314955"/>
    <x v="5"/>
    <s v="Mar"/>
    <s v="Late media plan changes from client."/>
    <n v="95"/>
    <x v="0"/>
    <x v="0"/>
    <x v="4"/>
    <x v="0"/>
  </r>
  <r>
    <x v="0"/>
    <s v="Confluence Academy 2026"/>
    <s v="Billing Request- 00102896"/>
    <x v="8"/>
    <d v="2026-01-01T00:00:00"/>
    <d v="2026-04-16T00:00:00"/>
    <x v="2"/>
    <s v="a6Jat3280594"/>
    <x v="2"/>
    <s v="Jan; Feb"/>
    <s v="Agency submitted updated invoice mapping."/>
    <n v="105"/>
    <x v="0"/>
    <x v="7"/>
    <x v="3"/>
    <x v="1"/>
  </r>
  <r>
    <x v="0"/>
    <s v="Streaming Bundle Initiative 2025"/>
    <s v="Billing Request- 00102897"/>
    <x v="1"/>
    <d v="2025-06-26T00:00:00"/>
    <d v="2025-10-23T00:00:00"/>
    <x v="2"/>
    <s v="a6JHn1834708"/>
    <x v="3"/>
    <s v="May; Jun"/>
    <s v="Agency submitted updated invoice mapping."/>
    <n v="119"/>
    <x v="0"/>
    <x v="9"/>
    <x v="3"/>
    <x v="0"/>
  </r>
  <r>
    <x v="0"/>
    <s v="Amazon TNF 2024 2025"/>
    <s v="Billing Request- 00102898"/>
    <x v="2"/>
    <d v="2025-09-17T00:00:00"/>
    <d v="2025-10-04T00:00:00"/>
    <x v="2"/>
    <s v="a6JXt7731559"/>
    <x v="0"/>
    <s v="Jan"/>
    <s v="Finance validation process delay."/>
    <n v="17"/>
    <x v="3"/>
    <x v="14"/>
    <x v="4"/>
    <x v="0"/>
  </r>
  <r>
    <x v="0"/>
    <s v="Global Consumer Products 2025"/>
    <s v="Billing Request- 00102899"/>
    <x v="0"/>
    <d v="2025-11-22T00:00:00"/>
    <d v="2026-01-02T00:00:00"/>
    <x v="0"/>
    <s v="a6JXt2880198"/>
    <x v="1"/>
    <s v="Jun"/>
    <s v="Agency submitted updated invoice mapping."/>
    <n v="41"/>
    <x v="1"/>
    <x v="15"/>
    <x v="3"/>
    <x v="0"/>
  </r>
  <r>
    <x v="0"/>
    <s v="NASCAR P&amp;Q 2025"/>
    <s v="Billing Request- 00102901"/>
    <x v="9"/>
    <d v="2025-01-25T00:00:00"/>
    <d v="2025-03-30T00:00:00"/>
    <x v="0"/>
    <s v="a6JXt9807052"/>
    <x v="2"/>
    <s v="Jul; Aug"/>
    <s v="Manual billing entry issue."/>
    <n v="64"/>
    <x v="0"/>
    <x v="0"/>
    <x v="0"/>
    <x v="0"/>
  </r>
  <r>
    <x v="0"/>
    <s v="WNBA Incremental Scatter 2025"/>
    <s v="Billing Request- 00102902"/>
    <x v="2"/>
    <d v="2025-03-03T00:00:00"/>
    <d v="2025-05-13T00:00:00"/>
    <x v="2"/>
    <s v="a6JXt8537577"/>
    <x v="0"/>
    <s v="May; Jun"/>
    <s v="Manual billing entry issue."/>
    <n v="71"/>
    <x v="0"/>
    <x v="13"/>
    <x v="2"/>
    <x v="0"/>
  </r>
  <r>
    <x v="0"/>
    <s v="Global Consumer Products 2025"/>
    <s v="Billing Request- 00102903"/>
    <x v="6"/>
    <d v="2025-11-11T00:00:00"/>
    <d v="2026-03-10T00:00:00"/>
    <x v="2"/>
    <s v="a6JXt4945943"/>
    <x v="0"/>
    <s v="Jul; Aug"/>
    <s v="Incorrect legal terms delayed PTS."/>
    <n v="119"/>
    <x v="0"/>
    <x v="15"/>
    <x v="3"/>
    <x v="0"/>
  </r>
  <r>
    <x v="0"/>
    <s v="Confluence Academy 2025"/>
    <s v="Billing Request- 00102905"/>
    <x v="7"/>
    <d v="2025-09-09T00:00:00"/>
    <d v="2025-09-24T00:00:00"/>
    <x v="1"/>
    <s v="a6JXt4173395"/>
    <x v="3"/>
    <s v="Aug"/>
    <s v="Client requested retroactive billing adjustments."/>
    <n v="15"/>
    <x v="3"/>
    <x v="14"/>
    <x v="3"/>
    <x v="0"/>
  </r>
  <r>
    <x v="0"/>
    <s v="NASCAR P&amp;Q 2025"/>
    <s v="Billing Request- 00102907"/>
    <x v="3"/>
    <d v="2025-05-01T00:00:00"/>
    <d v="2025-06-13T00:00:00"/>
    <x v="2"/>
    <s v="a6Jat5643359"/>
    <x v="0"/>
    <s v="Sep"/>
    <s v="Finance validation process delay."/>
    <n v="43"/>
    <x v="1"/>
    <x v="4"/>
    <x v="0"/>
    <x v="0"/>
  </r>
  <r>
    <x v="0"/>
    <s v="Retail Media Expansion 2025"/>
    <s v="Billing Request- 00102908"/>
    <x v="2"/>
    <d v="2025-02-28T00:00:00"/>
    <d v="2025-03-24T00:00:00"/>
    <x v="0"/>
    <s v="a6JXt4304572"/>
    <x v="2"/>
    <s v="Dec"/>
    <s v="Incorrect legal terms delayed PTS."/>
    <n v="24"/>
    <x v="3"/>
    <x v="6"/>
    <x v="3"/>
    <x v="0"/>
  </r>
  <r>
    <x v="0"/>
    <s v="NBA Playoffs Campaign 2025"/>
    <s v="Billing Request- 00102909"/>
    <x v="3"/>
    <d v="2025-10-20T00:00:00"/>
    <d v="2025-11-11T00:00:00"/>
    <x v="2"/>
    <s v="a6JXt8719030"/>
    <x v="0"/>
    <s v="Nov"/>
    <s v="Client requested retroactive billing adjustments."/>
    <n v="22"/>
    <x v="3"/>
    <x v="5"/>
    <x v="2"/>
    <x v="0"/>
  </r>
  <r>
    <x v="4"/>
    <s v="NWSL Prime Video 2026"/>
    <s v="Billing Request- 00102910"/>
    <x v="6"/>
    <d v="2026-03-12T00:00:00"/>
    <d v="2026-05-04T00:00:00"/>
    <x v="0"/>
    <s v="a6Jat6306059"/>
    <x v="0"/>
    <s v="Jul; Aug"/>
    <s v="Finance validation process delay."/>
    <n v="53"/>
    <x v="1"/>
    <x v="2"/>
    <x v="1"/>
    <x v="1"/>
  </r>
  <r>
    <x v="0"/>
    <s v="NASCAR P&amp;Q 2026"/>
    <s v="Billing Request- 00102911"/>
    <x v="2"/>
    <d v="2026-01-21T00:00:00"/>
    <d v="2026-03-21T00:00:00"/>
    <x v="2"/>
    <s v="a6JHn4551449"/>
    <x v="2"/>
    <s v="Nov"/>
    <s v="Manual billing entry issue."/>
    <n v="59"/>
    <x v="1"/>
    <x v="7"/>
    <x v="0"/>
    <x v="1"/>
  </r>
  <r>
    <x v="0"/>
    <s v="Amazon TNF 2024 2025"/>
    <s v="Billing Request- 00102912"/>
    <x v="8"/>
    <d v="2025-09-15T00:00:00"/>
    <d v="2026-01-12T00:00:00"/>
    <x v="2"/>
    <s v="a6Jat3360932"/>
    <x v="4"/>
    <s v="Feb"/>
    <s v="Late media plan changes from client."/>
    <n v="119"/>
    <x v="0"/>
    <x v="14"/>
    <x v="4"/>
    <x v="0"/>
  </r>
  <r>
    <x v="0"/>
    <s v="Global Consumer Products 2025"/>
    <s v="Billing Request- 00102913"/>
    <x v="0"/>
    <d v="2025-04-07T00:00:00"/>
    <d v="2025-05-26T00:00:00"/>
    <x v="2"/>
    <s v="a6JHn4128167"/>
    <x v="3"/>
    <s v="Jul"/>
    <s v="Manual billing entry issue."/>
    <n v="49"/>
    <x v="1"/>
    <x v="3"/>
    <x v="3"/>
    <x v="0"/>
  </r>
  <r>
    <x v="1"/>
    <s v="NWSL Prime Video 2025"/>
    <s v="Billing Request- 00102914"/>
    <x v="6"/>
    <d v="2025-07-28T00:00:00"/>
    <d v="2025-10-05T00:00:00"/>
    <x v="0"/>
    <s v="a6JXt6291925"/>
    <x v="6"/>
    <s v="Jan; Feb"/>
    <s v="Late media plan changes from client."/>
    <n v="69"/>
    <x v="0"/>
    <x v="12"/>
    <x v="1"/>
    <x v="0"/>
  </r>
  <r>
    <x v="0"/>
    <s v="NBA League Pass 2026"/>
    <s v="Billing Request- 00102916"/>
    <x v="1"/>
    <d v="2026-05-02T00:00:00"/>
    <d v="2026-05-05T00:00:00"/>
    <x v="2"/>
    <s v="a6Jat1023435"/>
    <x v="1"/>
    <s v="Sep; Oct"/>
    <s v="Incorrect legal terms delayed PTS."/>
    <n v="3"/>
    <x v="2"/>
    <x v="16"/>
    <x v="2"/>
    <x v="1"/>
  </r>
  <r>
    <x v="0"/>
    <s v="NWSL Halftime Sponsorship 2025"/>
    <s v="Billing Request- 00102917"/>
    <x v="6"/>
    <d v="2025-11-24T00:00:00"/>
    <d v="2026-02-11T00:00:00"/>
    <x v="2"/>
    <s v="a6JXt5117463"/>
    <x v="0"/>
    <s v="Nov"/>
    <s v="Manual billing entry issue."/>
    <n v="79"/>
    <x v="0"/>
    <x v="15"/>
    <x v="1"/>
    <x v="0"/>
  </r>
  <r>
    <x v="0"/>
    <s v="Amazon TNF 2024 2025"/>
    <s v="Billing Request- 00102918"/>
    <x v="2"/>
    <d v="2025-09-15T00:00:00"/>
    <d v="2026-01-07T00:00:00"/>
    <x v="0"/>
    <s v="a6Jat4165058"/>
    <x v="0"/>
    <s v="Dec"/>
    <s v="Missing supporting documentation from vendor."/>
    <n v="114"/>
    <x v="0"/>
    <x v="14"/>
    <x v="4"/>
    <x v="0"/>
  </r>
  <r>
    <x v="4"/>
    <s v="Prime Sports NFL 2025"/>
    <s v="Billing Request- 00102921"/>
    <x v="2"/>
    <d v="2025-10-19T00:00:00"/>
    <d v="2025-11-25T00:00:00"/>
    <x v="2"/>
    <s v="a6JHn5129209"/>
    <x v="4"/>
    <s v="Sep"/>
    <s v="Missing supporting documentation from vendor."/>
    <n v="37"/>
    <x v="1"/>
    <x v="5"/>
    <x v="3"/>
    <x v="0"/>
  </r>
  <r>
    <x v="4"/>
    <s v="Global Consumer Products 2025"/>
    <s v="Billing Request- 00102922"/>
    <x v="4"/>
    <d v="2025-02-01T00:00:00"/>
    <d v="2025-05-30T00:00:00"/>
    <x v="2"/>
    <s v="a6JXt1831937"/>
    <x v="0"/>
    <s v="Feb"/>
    <s v="Manual billing entry issue."/>
    <n v="118"/>
    <x v="0"/>
    <x v="6"/>
    <x v="3"/>
    <x v="0"/>
  </r>
  <r>
    <x v="0"/>
    <s v="NWSL Prime Video 2026"/>
    <s v="Billing Request- 00102923"/>
    <x v="2"/>
    <d v="2026-01-20T00:00:00"/>
    <d v="2026-01-27T00:00:00"/>
    <x v="2"/>
    <s v="a6Jat2250886"/>
    <x v="2"/>
    <s v="Mar"/>
    <s v="Agency submitted updated invoice mapping."/>
    <n v="7"/>
    <x v="2"/>
    <x v="7"/>
    <x v="1"/>
    <x v="1"/>
  </r>
  <r>
    <x v="3"/>
    <s v="TNF Sponsorship 2025"/>
    <s v="Billing Request- 00102926"/>
    <x v="8"/>
    <d v="2025-11-02T00:00:00"/>
    <d v="2026-02-13T00:00:00"/>
    <x v="0"/>
    <s v="a6JHn2955767"/>
    <x v="2"/>
    <s v="Apr"/>
    <s v="Invoice details mismatch with approved campaign."/>
    <n v="103"/>
    <x v="0"/>
    <x v="15"/>
    <x v="4"/>
    <x v="0"/>
  </r>
  <r>
    <x v="0"/>
    <s v="Confluence Academy 2025"/>
    <s v="Billing Request- 00102927"/>
    <x v="5"/>
    <d v="2025-10-08T00:00:00"/>
    <d v="2025-10-30T00:00:00"/>
    <x v="2"/>
    <s v="a6JHn3991066"/>
    <x v="6"/>
    <s v="Apr"/>
    <s v="Incorrect legal terms delayed PTS."/>
    <n v="22"/>
    <x v="3"/>
    <x v="5"/>
    <x v="3"/>
    <x v="0"/>
  </r>
  <r>
    <x v="0"/>
    <s v="Global Consumer Products 2025"/>
    <s v="Billing Request- 00102928"/>
    <x v="1"/>
    <d v="2025-03-23T00:00:00"/>
    <d v="2025-06-05T00:00:00"/>
    <x v="2"/>
    <s v="a6JHn1114753"/>
    <x v="4"/>
    <s v="Sep; Oct"/>
    <s v="Invoice details mismatch with approved campaign."/>
    <n v="74"/>
    <x v="0"/>
    <x v="13"/>
    <x v="3"/>
    <x v="0"/>
  </r>
  <r>
    <x v="0"/>
    <s v="Retail Media Expansion 2025"/>
    <s v="Billing Request- 00102929"/>
    <x v="6"/>
    <d v="2025-07-23T00:00:00"/>
    <d v="2025-11-16T00:00:00"/>
    <x v="2"/>
    <s v="a6Jat7915367"/>
    <x v="4"/>
    <s v="Jan"/>
    <s v="Incorrect legal terms delayed PTS."/>
    <n v="116"/>
    <x v="0"/>
    <x v="12"/>
    <x v="3"/>
    <x v="0"/>
  </r>
  <r>
    <x v="3"/>
    <s v="NWSL Prime Video 2026"/>
    <s v="Billing Request- 00102930"/>
    <x v="2"/>
    <d v="2026-01-08T00:00:00"/>
    <d v="2026-01-22T00:00:00"/>
    <x v="2"/>
    <s v="a6JXt9490760"/>
    <x v="2"/>
    <s v="Oct"/>
    <s v="Missing supporting documentation from vendor."/>
    <n v="14"/>
    <x v="4"/>
    <x v="7"/>
    <x v="1"/>
    <x v="1"/>
  </r>
  <r>
    <x v="0"/>
    <s v="Streaming Bundle Initiative 2025"/>
    <s v="Billing Request- 00102931"/>
    <x v="3"/>
    <d v="2025-09-15T00:00:00"/>
    <d v="2025-11-20T00:00:00"/>
    <x v="0"/>
    <s v="a6JXt2243239"/>
    <x v="4"/>
    <s v="May; Jun"/>
    <s v="Agency submitted updated invoice mapping."/>
    <n v="66"/>
    <x v="0"/>
    <x v="14"/>
    <x v="3"/>
    <x v="0"/>
  </r>
  <r>
    <x v="3"/>
    <s v="NWSL Prime Video 2026"/>
    <s v="Billing Request- 00102932"/>
    <x v="9"/>
    <d v="2026-02-01T00:00:00"/>
    <d v="2026-03-05T00:00:00"/>
    <x v="2"/>
    <s v="a6JXt2707604"/>
    <x v="3"/>
    <s v="Sep"/>
    <s v="Incorrect legal terms delayed PTS."/>
    <n v="32"/>
    <x v="1"/>
    <x v="1"/>
    <x v="1"/>
    <x v="1"/>
  </r>
  <r>
    <x v="0"/>
    <s v="WNBA Incremental Scatter 2026"/>
    <s v="Billing Request- 00102933"/>
    <x v="7"/>
    <d v="2026-03-22T00:00:00"/>
    <d v="2026-04-16T00:00:00"/>
    <x v="2"/>
    <s v="a6Jat2650440"/>
    <x v="6"/>
    <s v="Sep; Oct"/>
    <s v="Invoice details mismatch with approved campaign."/>
    <n v="25"/>
    <x v="3"/>
    <x v="2"/>
    <x v="2"/>
    <x v="1"/>
  </r>
  <r>
    <x v="4"/>
    <s v="NASCAR Apex 2025 2026"/>
    <s v="Billing Request- 00102934"/>
    <x v="2"/>
    <d v="2026-02-25T00:00:00"/>
    <d v="2026-03-11T00:00:00"/>
    <x v="2"/>
    <s v="a6Jat4956446"/>
    <x v="4"/>
    <s v="Nov; Dec"/>
    <s v="Late media plan changes from client."/>
    <n v="14"/>
    <x v="4"/>
    <x v="1"/>
    <x v="0"/>
    <x v="1"/>
  </r>
  <r>
    <x v="3"/>
    <s v="NBA Playoffs Campaign 2026"/>
    <s v="Billing Request- 00102935"/>
    <x v="5"/>
    <d v="2026-01-04T00:00:00"/>
    <d v="2026-04-08T00:00:00"/>
    <x v="0"/>
    <s v="a6JHn7619216"/>
    <x v="0"/>
    <s v="Jul; Aug"/>
    <s v="Incorrect legal terms delayed PTS."/>
    <n v="94"/>
    <x v="0"/>
    <x v="7"/>
    <x v="2"/>
    <x v="1"/>
  </r>
  <r>
    <x v="0"/>
    <s v="NBA League Pass 2025"/>
    <s v="Billing Request- 00102936"/>
    <x v="7"/>
    <d v="2025-03-22T00:00:00"/>
    <d v="2025-03-24T00:00:00"/>
    <x v="0"/>
    <s v="a6JHn3666335"/>
    <x v="5"/>
    <s v="Mar; Apr"/>
    <s v="Finance validation process delay."/>
    <n v="2"/>
    <x v="2"/>
    <x v="13"/>
    <x v="2"/>
    <x v="0"/>
  </r>
  <r>
    <x v="0"/>
    <s v="TNF Sponsorship 2026"/>
    <s v="Billing Request- 00102937"/>
    <x v="0"/>
    <d v="2026-04-25T00:00:00"/>
    <d v="2026-05-06T00:00:00"/>
    <x v="2"/>
    <s v="a6JXt4320261"/>
    <x v="1"/>
    <s v="Nov; Dec"/>
    <s v="Finance validation process delay."/>
    <n v="11"/>
    <x v="4"/>
    <x v="10"/>
    <x v="4"/>
    <x v="1"/>
  </r>
  <r>
    <x v="0"/>
    <s v="NWSL Prime Video 2025"/>
    <s v="Billing Request- 00102938"/>
    <x v="8"/>
    <d v="2025-08-07T00:00:00"/>
    <d v="2025-11-06T00:00:00"/>
    <x v="1"/>
    <s v="a6JXt9375299"/>
    <x v="1"/>
    <s v="May"/>
    <s v="Incorrect legal terms delayed PTS."/>
    <n v="91"/>
    <x v="0"/>
    <x v="8"/>
    <x v="1"/>
    <x v="0"/>
  </r>
  <r>
    <x v="0"/>
    <s v="Retail Media Expansion 2025"/>
    <s v="Billing Request- 00102941"/>
    <x v="0"/>
    <d v="2025-02-03T00:00:00"/>
    <d v="2025-03-31T00:00:00"/>
    <x v="2"/>
    <s v="a6JHn4924753"/>
    <x v="5"/>
    <s v="Nov"/>
    <s v="Agency submitted updated invoice mapping."/>
    <n v="56"/>
    <x v="1"/>
    <x v="6"/>
    <x v="3"/>
    <x v="0"/>
  </r>
  <r>
    <x v="3"/>
    <s v="Prime Sports NFL 2025"/>
    <s v="Billing Request- 00102943"/>
    <x v="5"/>
    <d v="2025-08-07T00:00:00"/>
    <d v="2025-10-13T00:00:00"/>
    <x v="0"/>
    <s v="a6Jat5600265"/>
    <x v="2"/>
    <s v="Aug"/>
    <s v="Invoice details mismatch with approved campaign."/>
    <n v="67"/>
    <x v="0"/>
    <x v="8"/>
    <x v="3"/>
    <x v="0"/>
  </r>
  <r>
    <x v="0"/>
    <s v="WNBA Incremental Scatter 2026"/>
    <s v="Billing Request- 00102944"/>
    <x v="1"/>
    <d v="2026-04-27T00:00:00"/>
    <d v="2026-05-04T00:00:00"/>
    <x v="2"/>
    <s v="a6JXt4947086"/>
    <x v="1"/>
    <s v="Mar"/>
    <s v="Missing supporting documentation from vendor."/>
    <n v="7"/>
    <x v="2"/>
    <x v="10"/>
    <x v="2"/>
    <x v="1"/>
  </r>
  <r>
    <x v="0"/>
    <s v="NFL Prime Video 2025"/>
    <s v="Billing Request- 00102945"/>
    <x v="6"/>
    <d v="2025-10-31T00:00:00"/>
    <d v="2025-11-24T00:00:00"/>
    <x v="2"/>
    <s v="a6JHn1956777"/>
    <x v="6"/>
    <s v="Jul; Aug"/>
    <s v="Client requested retroactive billing adjustments."/>
    <n v="24"/>
    <x v="3"/>
    <x v="5"/>
    <x v="3"/>
    <x v="0"/>
  </r>
  <r>
    <x v="0"/>
    <s v="Global Consumer Products 2025"/>
    <s v="Billing Request- 00102946"/>
    <x v="7"/>
    <d v="2025-07-11T00:00:00"/>
    <d v="2025-07-12T00:00:00"/>
    <x v="0"/>
    <s v="a6JXt7702476"/>
    <x v="1"/>
    <s v="Dec"/>
    <s v="Finance validation process delay."/>
    <n v="1"/>
    <x v="2"/>
    <x v="12"/>
    <x v="3"/>
    <x v="0"/>
  </r>
  <r>
    <x v="0"/>
    <s v="NWSL Halftime Sponsorship 2025"/>
    <s v="Billing Request- 00102947"/>
    <x v="0"/>
    <d v="2025-08-02T00:00:00"/>
    <d v="2025-11-01T00:00:00"/>
    <x v="2"/>
    <s v="a6Jat6458551"/>
    <x v="3"/>
    <s v="Mar"/>
    <s v="Late media plan changes from client."/>
    <n v="91"/>
    <x v="0"/>
    <x v="8"/>
    <x v="1"/>
    <x v="0"/>
  </r>
  <r>
    <x v="3"/>
    <s v="NBA Playoffs Campaign 2025"/>
    <s v="Billing Request- 00102948"/>
    <x v="7"/>
    <d v="2025-07-03T00:00:00"/>
    <d v="2025-08-08T00:00:00"/>
    <x v="2"/>
    <s v="a6JHn2691506"/>
    <x v="1"/>
    <s v="Jul"/>
    <s v="Client requested retroactive billing adjustments."/>
    <n v="36"/>
    <x v="1"/>
    <x v="12"/>
    <x v="2"/>
    <x v="0"/>
  </r>
  <r>
    <x v="0"/>
    <s v="NASCAR Apex 2025 2025"/>
    <s v="Billing Request- 00102949"/>
    <x v="1"/>
    <d v="2025-11-10T00:00:00"/>
    <d v="2025-11-19T00:00:00"/>
    <x v="2"/>
    <s v="a6JXt6945631"/>
    <x v="2"/>
    <s v="Apr"/>
    <s v="Client requested retroactive billing adjustments."/>
    <n v="9"/>
    <x v="4"/>
    <x v="15"/>
    <x v="0"/>
    <x v="0"/>
  </r>
  <r>
    <x v="0"/>
    <s v="NASCAR P&amp;Q 2025"/>
    <s v="Billing Request- 00102950"/>
    <x v="9"/>
    <d v="2025-09-12T00:00:00"/>
    <d v="2025-10-22T00:00:00"/>
    <x v="1"/>
    <s v="a6JHn4848331"/>
    <x v="1"/>
    <s v="Dec"/>
    <s v="Client requested retroactive billing adjustments."/>
    <n v="40"/>
    <x v="1"/>
    <x v="14"/>
    <x v="0"/>
    <x v="0"/>
  </r>
  <r>
    <x v="0"/>
    <s v="NASCAR P&amp;Q 2026"/>
    <s v="Billing Request- 00102951"/>
    <x v="7"/>
    <d v="2026-03-27T00:00:00"/>
    <d v="2026-05-09T00:00:00"/>
    <x v="2"/>
    <s v="a6Jat3359997"/>
    <x v="3"/>
    <s v="May"/>
    <s v="Missing supporting documentation from vendor."/>
    <n v="43"/>
    <x v="1"/>
    <x v="2"/>
    <x v="0"/>
    <x v="1"/>
  </r>
  <r>
    <x v="1"/>
    <s v="NWSL Halftime Sponsorship 2026"/>
    <s v="Billing Request- 00102952"/>
    <x v="7"/>
    <d v="2026-05-05T00:00:00"/>
    <d v="2026-05-05T00:00:00"/>
    <x v="2"/>
    <s v="a6JXt3893887"/>
    <x v="2"/>
    <s v="Nov; Dec"/>
    <s v="Incorrect legal terms delayed PTS."/>
    <n v="0"/>
    <x v="2"/>
    <x v="16"/>
    <x v="1"/>
    <x v="1"/>
  </r>
  <r>
    <x v="0"/>
    <s v="Streaming Bundle Initiative 2026"/>
    <s v="Billing Request- 00102954"/>
    <x v="1"/>
    <d v="2026-04-23T00:00:00"/>
    <d v="2026-05-07T00:00:00"/>
    <x v="0"/>
    <s v="a6Jat2179945"/>
    <x v="3"/>
    <s v="Jul"/>
    <s v="Manual billing entry issue."/>
    <n v="14"/>
    <x v="4"/>
    <x v="10"/>
    <x v="3"/>
    <x v="1"/>
  </r>
  <r>
    <x v="0"/>
    <s v="Streaming Bundle Initiative 2026"/>
    <s v="Billing Request- 00102955"/>
    <x v="0"/>
    <d v="2026-01-27T00:00:00"/>
    <d v="2026-05-09T00:00:00"/>
    <x v="2"/>
    <s v="a6JHn6609114"/>
    <x v="3"/>
    <s v="Jan"/>
    <s v="Client requested retroactive billing adjustments."/>
    <n v="102"/>
    <x v="0"/>
    <x v="7"/>
    <x v="3"/>
    <x v="1"/>
  </r>
  <r>
    <x v="0"/>
    <s v="Streaming Bundle Initiative 2026"/>
    <s v="Billing Request- 00102958"/>
    <x v="5"/>
    <d v="2026-01-17T00:00:00"/>
    <d v="2026-03-13T00:00:00"/>
    <x v="0"/>
    <s v="a6JXt4213844"/>
    <x v="1"/>
    <s v="Mar"/>
    <s v="Late media plan changes from client."/>
    <n v="55"/>
    <x v="1"/>
    <x v="7"/>
    <x v="3"/>
    <x v="1"/>
  </r>
  <r>
    <x v="0"/>
    <s v="NFL Prime Video 2025"/>
    <s v="Billing Request- 00102959"/>
    <x v="2"/>
    <d v="2025-10-21T00:00:00"/>
    <d v="2025-12-22T00:00:00"/>
    <x v="1"/>
    <s v="a6JHn4149216"/>
    <x v="2"/>
    <s v="Jul; Aug"/>
    <s v="Late media plan changes from client."/>
    <n v="62"/>
    <x v="0"/>
    <x v="5"/>
    <x v="3"/>
    <x v="0"/>
  </r>
  <r>
    <x v="0"/>
    <s v="NBA Playoffs Campaign 2025"/>
    <s v="Billing Request- 00102962"/>
    <x v="5"/>
    <d v="2025-03-17T00:00:00"/>
    <d v="2025-06-13T00:00:00"/>
    <x v="2"/>
    <s v="a6JXt8788870"/>
    <x v="2"/>
    <s v="Mar"/>
    <s v="Finance validation process delay."/>
    <n v="88"/>
    <x v="0"/>
    <x v="13"/>
    <x v="2"/>
    <x v="0"/>
  </r>
  <r>
    <x v="0"/>
    <s v="Streaming Bundle Initiative 2025"/>
    <s v="Billing Request- 00102963"/>
    <x v="9"/>
    <d v="2025-02-09T00:00:00"/>
    <d v="2025-05-11T00:00:00"/>
    <x v="0"/>
    <s v="a6JHn9239400"/>
    <x v="0"/>
    <s v="May; Jun"/>
    <s v="Invoice details mismatch with approved campaign."/>
    <n v="91"/>
    <x v="0"/>
    <x v="6"/>
    <x v="3"/>
    <x v="0"/>
  </r>
  <r>
    <x v="0"/>
    <s v="NWSL Prime Video 2026"/>
    <s v="Billing Request- 00102964"/>
    <x v="3"/>
    <d v="2026-02-25T00:00:00"/>
    <d v="2026-05-01T00:00:00"/>
    <x v="2"/>
    <s v="a6Jat2409698"/>
    <x v="5"/>
    <s v="Aug"/>
    <s v="Finance validation process delay."/>
    <n v="65"/>
    <x v="0"/>
    <x v="1"/>
    <x v="1"/>
    <x v="1"/>
  </r>
  <r>
    <x v="0"/>
    <s v="DirecTV NASCAR Campaign 2025"/>
    <s v="Billing Request- 00102965"/>
    <x v="0"/>
    <d v="2025-03-24T00:00:00"/>
    <d v="2025-03-30T00:00:00"/>
    <x v="2"/>
    <s v="a6JHn2961408"/>
    <x v="3"/>
    <s v="Nov"/>
    <s v="Invoice details mismatch with approved campaign."/>
    <n v="6"/>
    <x v="2"/>
    <x v="13"/>
    <x v="0"/>
    <x v="0"/>
  </r>
  <r>
    <x v="0"/>
    <s v="Confluence Academy 2025"/>
    <s v="Billing Request- 00102966"/>
    <x v="2"/>
    <d v="2025-07-29T00:00:00"/>
    <d v="2025-11-25T00:00:00"/>
    <x v="0"/>
    <s v="a6JXt4747132"/>
    <x v="6"/>
    <s v="Nov; Dec"/>
    <s v=""/>
    <n v="119"/>
    <x v="0"/>
    <x v="12"/>
    <x v="3"/>
    <x v="0"/>
  </r>
  <r>
    <x v="0"/>
    <s v="Streaming Bundle Initiative 2026"/>
    <s v="Billing Request- 00102967"/>
    <x v="1"/>
    <d v="2026-01-08T00:00:00"/>
    <d v="2026-03-13T00:00:00"/>
    <x v="0"/>
    <s v="a6Jat5160331"/>
    <x v="3"/>
    <s v="Jul; Aug"/>
    <s v="Invoice details mismatch with approved campaign."/>
    <n v="64"/>
    <x v="0"/>
    <x v="7"/>
    <x v="3"/>
    <x v="1"/>
  </r>
  <r>
    <x v="0"/>
    <s v="Confluence Academy 2025"/>
    <s v="Billing Request- 00102968"/>
    <x v="9"/>
    <d v="2025-11-14T00:00:00"/>
    <d v="2025-12-09T00:00:00"/>
    <x v="2"/>
    <s v="a6JHn5000124"/>
    <x v="2"/>
    <s v="May"/>
    <s v="Client requested retroactive billing adjustments."/>
    <n v="25"/>
    <x v="3"/>
    <x v="15"/>
    <x v="3"/>
    <x v="0"/>
  </r>
  <r>
    <x v="0"/>
    <s v="DirecTV NASCAR Campaign 2025"/>
    <s v="Billing Request- 00102969"/>
    <x v="1"/>
    <d v="2025-05-23T00:00:00"/>
    <d v="2025-09-06T00:00:00"/>
    <x v="2"/>
    <s v="a6Jat8517170"/>
    <x v="2"/>
    <s v="Nov"/>
    <s v="Late media plan changes from client."/>
    <n v="106"/>
    <x v="0"/>
    <x v="4"/>
    <x v="0"/>
    <x v="0"/>
  </r>
  <r>
    <x v="0"/>
    <s v="Global Consumer Products 2026"/>
    <s v="Billing Request- 00102971"/>
    <x v="6"/>
    <d v="2026-02-20T00:00:00"/>
    <d v="2026-04-20T00:00:00"/>
    <x v="0"/>
    <s v="a6JHn7023714"/>
    <x v="2"/>
    <s v="Nov"/>
    <s v="Manual billing entry issue."/>
    <n v="59"/>
    <x v="1"/>
    <x v="1"/>
    <x v="3"/>
    <x v="1"/>
  </r>
  <r>
    <x v="0"/>
    <s v="Prime Sports NFL 2025"/>
    <s v="Billing Request- 00102972"/>
    <x v="8"/>
    <d v="2025-05-17T00:00:00"/>
    <d v="2025-06-23T00:00:00"/>
    <x v="0"/>
    <s v="a6JXt7932005"/>
    <x v="0"/>
    <s v="Sep; Oct"/>
    <s v=""/>
    <n v="37"/>
    <x v="1"/>
    <x v="4"/>
    <x v="3"/>
    <x v="0"/>
  </r>
  <r>
    <x v="1"/>
    <s v="NBA Playoffs Campaign 2025"/>
    <s v="Billing Request- 00102973"/>
    <x v="8"/>
    <d v="2025-10-28T00:00:00"/>
    <d v="2026-02-24T00:00:00"/>
    <x v="0"/>
    <s v="a6Jat1649264"/>
    <x v="1"/>
    <s v="May"/>
    <s v="Client requested retroactive billing adjustments."/>
    <n v="119"/>
    <x v="0"/>
    <x v="5"/>
    <x v="2"/>
    <x v="0"/>
  </r>
  <r>
    <x v="0"/>
    <s v="Global Consumer Products 2026"/>
    <s v="Billing Request- 00102974"/>
    <x v="2"/>
    <d v="2026-01-06T00:00:00"/>
    <d v="2026-04-15T00:00:00"/>
    <x v="1"/>
    <s v="a6Jat3915675"/>
    <x v="0"/>
    <s v="Apr"/>
    <s v="Finance validation process delay."/>
    <n v="99"/>
    <x v="0"/>
    <x v="7"/>
    <x v="3"/>
    <x v="1"/>
  </r>
  <r>
    <x v="0"/>
    <s v="TNF Sponsorship 2025"/>
    <s v="Billing Request- 00102975"/>
    <x v="3"/>
    <d v="2025-09-09T00:00:00"/>
    <d v="2025-11-17T00:00:00"/>
    <x v="0"/>
    <s v="a6JXt6211425"/>
    <x v="0"/>
    <s v="Mar; Apr"/>
    <s v="Finance validation process delay."/>
    <n v="69"/>
    <x v="0"/>
    <x v="14"/>
    <x v="4"/>
    <x v="0"/>
  </r>
  <r>
    <x v="0"/>
    <s v="Amazon TNF 2024 2025"/>
    <s v="Billing Request- 00102977"/>
    <x v="7"/>
    <d v="2025-02-12T00:00:00"/>
    <d v="2025-02-27T00:00:00"/>
    <x v="2"/>
    <s v="a6Jat4874370"/>
    <x v="4"/>
    <s v="Nov"/>
    <s v="Finance validation process delay."/>
    <n v="15"/>
    <x v="3"/>
    <x v="6"/>
    <x v="4"/>
    <x v="0"/>
  </r>
  <r>
    <x v="0"/>
    <s v="WNBA Incremental Scatter 2026"/>
    <s v="Billing Request- 00102978"/>
    <x v="3"/>
    <d v="2026-03-15T00:00:00"/>
    <d v="2026-05-07T00:00:00"/>
    <x v="2"/>
    <s v="a6JHn8099188"/>
    <x v="5"/>
    <s v="Jul; Aug"/>
    <s v="Late media plan changes from client."/>
    <n v="53"/>
    <x v="1"/>
    <x v="2"/>
    <x v="2"/>
    <x v="1"/>
  </r>
  <r>
    <x v="0"/>
    <s v="WNBA Incremental Scatter 2025"/>
    <s v="Billing Request- 00102979"/>
    <x v="8"/>
    <d v="2025-12-14T00:00:00"/>
    <d v="2025-12-22T00:00:00"/>
    <x v="1"/>
    <s v="a6JXt2696190"/>
    <x v="0"/>
    <s v="Sep; Oct"/>
    <s v="Agency submitted updated invoice mapping."/>
    <n v="8"/>
    <x v="4"/>
    <x v="11"/>
    <x v="2"/>
    <x v="0"/>
  </r>
  <r>
    <x v="0"/>
    <s v="NBA Playoffs Campaign 2025"/>
    <s v="Billing Request- 00102981"/>
    <x v="6"/>
    <d v="2025-05-28T00:00:00"/>
    <d v="2025-06-29T00:00:00"/>
    <x v="2"/>
    <s v="a6JHn7357817"/>
    <x v="6"/>
    <s v="Sep; Oct"/>
    <s v="Incorrect legal terms delayed PTS."/>
    <n v="32"/>
    <x v="1"/>
    <x v="4"/>
    <x v="2"/>
    <x v="0"/>
  </r>
  <r>
    <x v="0"/>
    <s v="NASCAR P&amp;Q 2026"/>
    <s v="Billing Request- 00102983"/>
    <x v="7"/>
    <d v="2026-05-01T00:00:00"/>
    <d v="2026-05-09T00:00:00"/>
    <x v="2"/>
    <s v="a6JXt3597713"/>
    <x v="6"/>
    <s v="Mar"/>
    <s v="Invoice details mismatch with approved campaign."/>
    <n v="8"/>
    <x v="4"/>
    <x v="16"/>
    <x v="0"/>
    <x v="1"/>
  </r>
  <r>
    <x v="0"/>
    <s v="NBA League Pass 2025"/>
    <s v="Billing Request- 00102986"/>
    <x v="1"/>
    <d v="2025-07-07T00:00:00"/>
    <d v="2025-10-20T00:00:00"/>
    <x v="2"/>
    <s v="a6JHn3011908"/>
    <x v="1"/>
    <s v="Mar; Apr"/>
    <s v="Incorrect legal terms delayed PTS."/>
    <n v="105"/>
    <x v="0"/>
    <x v="12"/>
    <x v="2"/>
    <x v="0"/>
  </r>
  <r>
    <x v="0"/>
    <s v="Global Consumer Products 2026"/>
    <s v="Billing Request- 00102987"/>
    <x v="3"/>
    <d v="2026-03-22T00:00:00"/>
    <d v="2026-05-05T00:00:00"/>
    <x v="2"/>
    <s v="a6JXt2430612"/>
    <x v="3"/>
    <s v="Nov"/>
    <s v="Invoice details mismatch with approved campaign."/>
    <n v="44"/>
    <x v="1"/>
    <x v="2"/>
    <x v="3"/>
    <x v="1"/>
  </r>
  <r>
    <x v="0"/>
    <s v="NBA Playoffs Campaign 2026"/>
    <s v="Billing Request- 00102989"/>
    <x v="6"/>
    <d v="2026-03-21T00:00:00"/>
    <d v="2026-03-26T00:00:00"/>
    <x v="2"/>
    <s v="a6JHn4858589"/>
    <x v="5"/>
    <s v="Feb"/>
    <s v="Manual billing entry issue."/>
    <n v="5"/>
    <x v="2"/>
    <x v="2"/>
    <x v="2"/>
    <x v="1"/>
  </r>
  <r>
    <x v="0"/>
    <s v="WNBA Incremental Scatter 2026"/>
    <s v="Billing Request- 00102990"/>
    <x v="4"/>
    <d v="2026-03-27T00:00:00"/>
    <d v="2026-05-04T00:00:00"/>
    <x v="1"/>
    <s v="a6JHn6304154"/>
    <x v="1"/>
    <s v="Jul; Aug"/>
    <s v=""/>
    <n v="38"/>
    <x v="1"/>
    <x v="2"/>
    <x v="2"/>
    <x v="1"/>
  </r>
  <r>
    <x v="0"/>
    <s v="NASCAR Apex 2025 2025"/>
    <s v="Billing Request- 00102992"/>
    <x v="4"/>
    <d v="2025-09-05T00:00:00"/>
    <d v="2025-10-08T00:00:00"/>
    <x v="2"/>
    <s v="a6JXt5115149"/>
    <x v="3"/>
    <s v="Mar; Apr"/>
    <s v="Late media plan changes from client."/>
    <n v="33"/>
    <x v="1"/>
    <x v="14"/>
    <x v="0"/>
    <x v="0"/>
  </r>
  <r>
    <x v="0"/>
    <s v="Prime Sports NFL 2026"/>
    <s v="Billing Request- 00102993"/>
    <x v="2"/>
    <d v="2026-01-13T00:00:00"/>
    <d v="2026-03-10T00:00:00"/>
    <x v="0"/>
    <s v="a6Jat7546043"/>
    <x v="5"/>
    <s v="Mar; Apr"/>
    <s v="Agency submitted updated invoice mapping."/>
    <n v="56"/>
    <x v="1"/>
    <x v="7"/>
    <x v="3"/>
    <x v="1"/>
  </r>
  <r>
    <x v="0"/>
    <s v="Amazon NBA Live Sports 2026"/>
    <s v="Billing Request- 00102994"/>
    <x v="2"/>
    <d v="2026-04-28T00:00:00"/>
    <d v="2026-05-07T00:00:00"/>
    <x v="2"/>
    <s v="a6JXt6899477"/>
    <x v="2"/>
    <s v="Jan; Feb"/>
    <s v="Client requested retroactive billing adjustments."/>
    <n v="9"/>
    <x v="4"/>
    <x v="10"/>
    <x v="2"/>
    <x v="1"/>
  </r>
  <r>
    <x v="0"/>
    <s v="TNF Sponsorship 2025"/>
    <s v="Billing Request- 00102995"/>
    <x v="6"/>
    <d v="2025-03-13T00:00:00"/>
    <d v="2025-03-29T00:00:00"/>
    <x v="2"/>
    <s v="a6JHn5249352"/>
    <x v="2"/>
    <s v="Jul"/>
    <s v="Missing supporting documentation from vendor."/>
    <n v="16"/>
    <x v="3"/>
    <x v="13"/>
    <x v="4"/>
    <x v="0"/>
  </r>
  <r>
    <x v="0"/>
    <s v="NWSL Prime Video 2026"/>
    <s v="Billing Request- 00102997"/>
    <x v="5"/>
    <d v="2026-04-03T00:00:00"/>
    <d v="2026-05-09T00:00:00"/>
    <x v="0"/>
    <s v="a6Jat4650833"/>
    <x v="3"/>
    <s v="Feb"/>
    <s v="Manual billing entry issue."/>
    <n v="36"/>
    <x v="1"/>
    <x v="10"/>
    <x v="1"/>
    <x v="1"/>
  </r>
  <r>
    <x v="0"/>
    <s v="Global Consumer Products 2025"/>
    <s v="Billing Request- 00102998"/>
    <x v="2"/>
    <d v="2025-12-21T00:00:00"/>
    <d v="2026-03-31T00:00:00"/>
    <x v="0"/>
    <s v="a6JXt9911449"/>
    <x v="3"/>
    <s v="May"/>
    <s v="Finance validation process delay."/>
    <n v="100"/>
    <x v="0"/>
    <x v="11"/>
    <x v="3"/>
    <x v="0"/>
  </r>
  <r>
    <x v="0"/>
    <s v="Amazon NBA Live Sports 2025"/>
    <s v="Billing Request- 00102999"/>
    <x v="0"/>
    <d v="2025-07-03T00:00:00"/>
    <d v="2025-07-23T00:00:00"/>
    <x v="0"/>
    <s v="a6JXt5439172"/>
    <x v="0"/>
    <s v="Sep"/>
    <s v="Invoice details mismatch with approved campaign."/>
    <n v="20"/>
    <x v="3"/>
    <x v="12"/>
    <x v="2"/>
    <x v="0"/>
  </r>
  <r>
    <x v="0"/>
    <s v="DirecTV NASCAR Campaign 2026"/>
    <s v="Billing Request- 00103000"/>
    <x v="1"/>
    <d v="2026-03-20T00:00:00"/>
    <d v="2026-05-04T00:00:00"/>
    <x v="0"/>
    <s v="a6JXt9507289"/>
    <x v="4"/>
    <s v="May; Jun"/>
    <s v="Manual billing entry issue."/>
    <n v="45"/>
    <x v="1"/>
    <x v="2"/>
    <x v="0"/>
    <x v="1"/>
  </r>
  <r>
    <x v="0"/>
    <s v="DirecTV NASCAR Campaign 2025"/>
    <s v="Billing Request- 00103001"/>
    <x v="1"/>
    <d v="2025-09-10T00:00:00"/>
    <d v="2025-12-10T00:00:00"/>
    <x v="0"/>
    <s v="a6Jat8372728"/>
    <x v="5"/>
    <s v="Aug"/>
    <s v="Agency submitted updated invoice mapping."/>
    <n v="91"/>
    <x v="0"/>
    <x v="14"/>
    <x v="0"/>
    <x v="0"/>
  </r>
  <r>
    <x v="0"/>
    <s v="NBA Playoffs Campaign 2026"/>
    <s v="Billing Request- 00103002"/>
    <x v="8"/>
    <d v="2026-03-13T00:00:00"/>
    <d v="2026-05-09T00:00:00"/>
    <x v="2"/>
    <s v="a6JXt3169994"/>
    <x v="0"/>
    <s v="Apr"/>
    <s v="Finance validation process delay."/>
    <n v="57"/>
    <x v="1"/>
    <x v="2"/>
    <x v="2"/>
    <x v="1"/>
  </r>
  <r>
    <x v="1"/>
    <s v="TNF Sponsorship 2025"/>
    <s v="Billing Request- 00103003"/>
    <x v="6"/>
    <d v="2025-05-19T00:00:00"/>
    <d v="2025-08-18T00:00:00"/>
    <x v="2"/>
    <s v="a6JHn6643124"/>
    <x v="6"/>
    <s v="Mar"/>
    <s v="Agency submitted updated invoice mapping."/>
    <n v="91"/>
    <x v="0"/>
    <x v="4"/>
    <x v="4"/>
    <x v="0"/>
  </r>
  <r>
    <x v="1"/>
    <s v="Amazon TNF 2024 2025"/>
    <s v="Billing Request- 00103004"/>
    <x v="3"/>
    <d v="2025-04-29T00:00:00"/>
    <d v="2025-07-03T00:00:00"/>
    <x v="2"/>
    <s v="a6Jat3202126"/>
    <x v="2"/>
    <s v="Jun"/>
    <s v="Client requested retroactive billing adjustments."/>
    <n v="65"/>
    <x v="0"/>
    <x v="3"/>
    <x v="4"/>
    <x v="0"/>
  </r>
  <r>
    <x v="0"/>
    <s v="DirecTV NASCAR Campaign 2025"/>
    <s v="Billing Request- 00103005"/>
    <x v="8"/>
    <d v="2025-11-29T00:00:00"/>
    <d v="2026-01-06T00:00:00"/>
    <x v="0"/>
    <s v="a6JXt3262103"/>
    <x v="1"/>
    <s v="Mar; Apr"/>
    <s v="Finance validation process delay."/>
    <n v="38"/>
    <x v="1"/>
    <x v="15"/>
    <x v="0"/>
    <x v="0"/>
  </r>
  <r>
    <x v="0"/>
    <s v="NBA Playoffs Campaign 2025"/>
    <s v="Billing Request- 00103006"/>
    <x v="7"/>
    <d v="2025-05-20T00:00:00"/>
    <d v="2025-06-13T00:00:00"/>
    <x v="2"/>
    <s v="a6Jat8663942"/>
    <x v="2"/>
    <s v="May"/>
    <s v="Finance validation process delay."/>
    <n v="24"/>
    <x v="3"/>
    <x v="4"/>
    <x v="2"/>
    <x v="0"/>
  </r>
  <r>
    <x v="0"/>
    <s v="NWSL Halftime Sponsorship 2025"/>
    <s v="Billing Request- 00103007"/>
    <x v="4"/>
    <d v="2025-04-21T00:00:00"/>
    <d v="2025-07-08T00:00:00"/>
    <x v="1"/>
    <s v="a6Jat1688945"/>
    <x v="4"/>
    <s v="Jan; Feb"/>
    <s v="Client requested retroactive billing adjustments."/>
    <n v="78"/>
    <x v="0"/>
    <x v="3"/>
    <x v="1"/>
    <x v="0"/>
  </r>
  <r>
    <x v="3"/>
    <s v="NASCAR P&amp;Q 2025"/>
    <s v="Billing Request- 00103008"/>
    <x v="9"/>
    <d v="2025-03-26T00:00:00"/>
    <d v="2025-04-04T00:00:00"/>
    <x v="0"/>
    <s v="a6JXt9756449"/>
    <x v="5"/>
    <s v="Jan; Feb"/>
    <s v="Invoice details mismatch with approved campaign."/>
    <n v="9"/>
    <x v="4"/>
    <x v="13"/>
    <x v="0"/>
    <x v="0"/>
  </r>
  <r>
    <x v="1"/>
    <s v="Amazon NBA Live Sports 2025"/>
    <s v="Billing Request- 00103011"/>
    <x v="2"/>
    <d v="2025-04-27T00:00:00"/>
    <d v="2025-05-11T00:00:00"/>
    <x v="0"/>
    <s v="a6JHn2436716"/>
    <x v="5"/>
    <s v="Nov"/>
    <s v="Client requested retroactive billing adjustments."/>
    <n v="14"/>
    <x v="4"/>
    <x v="3"/>
    <x v="2"/>
    <x v="0"/>
  </r>
  <r>
    <x v="0"/>
    <s v="NWSL Prime Video 2026"/>
    <s v="Billing Request- 00103012"/>
    <x v="3"/>
    <d v="2026-02-10T00:00:00"/>
    <d v="2026-05-09T00:00:00"/>
    <x v="0"/>
    <s v="a6JXt1449635"/>
    <x v="4"/>
    <s v="Mar; Apr"/>
    <s v=""/>
    <n v="88"/>
    <x v="0"/>
    <x v="1"/>
    <x v="1"/>
    <x v="1"/>
  </r>
  <r>
    <x v="0"/>
    <s v="Prime Sports NFL 2025"/>
    <s v="Billing Request- 00103013"/>
    <x v="1"/>
    <d v="2025-01-01T00:00:00"/>
    <d v="2025-03-20T00:00:00"/>
    <x v="2"/>
    <s v="a6JXt9012615"/>
    <x v="1"/>
    <s v="Jun"/>
    <s v="Incorrect legal terms delayed PTS."/>
    <n v="78"/>
    <x v="0"/>
    <x v="0"/>
    <x v="3"/>
    <x v="0"/>
  </r>
  <r>
    <x v="0"/>
    <s v="NBA Playoffs Campaign 2025"/>
    <s v="Billing Request- 00103014"/>
    <x v="4"/>
    <d v="2025-05-23T00:00:00"/>
    <d v="2025-07-07T00:00:00"/>
    <x v="0"/>
    <s v="a6JHn7937827"/>
    <x v="4"/>
    <s v="Aug"/>
    <s v="Manual billing entry issue."/>
    <n v="45"/>
    <x v="1"/>
    <x v="4"/>
    <x v="2"/>
    <x v="0"/>
  </r>
  <r>
    <x v="0"/>
    <s v="DirecTV NASCAR Campaign 2025"/>
    <s v="Billing Request- 00103018"/>
    <x v="0"/>
    <d v="2025-09-06T00:00:00"/>
    <d v="2025-10-18T00:00:00"/>
    <x v="1"/>
    <s v="a6Jat6683777"/>
    <x v="1"/>
    <s v="Apr"/>
    <s v="Late media plan changes from client."/>
    <n v="42"/>
    <x v="1"/>
    <x v="14"/>
    <x v="0"/>
    <x v="0"/>
  </r>
  <r>
    <x v="3"/>
    <s v="NWSL Halftime Sponsorship 2025"/>
    <s v="Billing Request- 00103019"/>
    <x v="9"/>
    <d v="2025-06-01T00:00:00"/>
    <d v="2025-08-20T00:00:00"/>
    <x v="2"/>
    <s v="a6JXt5886661"/>
    <x v="4"/>
    <s v="May; Jun"/>
    <s v="Agency submitted updated invoice mapping."/>
    <n v="80"/>
    <x v="0"/>
    <x v="9"/>
    <x v="1"/>
    <x v="0"/>
  </r>
  <r>
    <x v="0"/>
    <s v="Confluence Academy 2025"/>
    <s v="Billing Request- 00103020"/>
    <x v="7"/>
    <d v="2025-06-23T00:00:00"/>
    <d v="2025-07-07T00:00:00"/>
    <x v="0"/>
    <s v="a6Jat6175175"/>
    <x v="2"/>
    <s v="Nov; Dec"/>
    <s v="Late media plan changes from client."/>
    <n v="14"/>
    <x v="4"/>
    <x v="9"/>
    <x v="3"/>
    <x v="0"/>
  </r>
  <r>
    <x v="0"/>
    <s v="NASCAR Apex 2025 2026"/>
    <s v="Billing Request- 00103021"/>
    <x v="7"/>
    <d v="2026-03-24T00:00:00"/>
    <d v="2026-05-09T00:00:00"/>
    <x v="2"/>
    <s v="a6JHn5375335"/>
    <x v="3"/>
    <s v="Jul"/>
    <s v="Late media plan changes from client."/>
    <n v="46"/>
    <x v="1"/>
    <x v="2"/>
    <x v="0"/>
    <x v="1"/>
  </r>
  <r>
    <x v="0"/>
    <s v="Amazon TNF 2024 2025"/>
    <s v="Billing Request- 00103023"/>
    <x v="5"/>
    <d v="2025-05-19T00:00:00"/>
    <d v="2025-08-07T00:00:00"/>
    <x v="0"/>
    <s v="a6JHn8679439"/>
    <x v="0"/>
    <s v="Oct"/>
    <s v="Incorrect legal terms delayed PTS."/>
    <n v="80"/>
    <x v="0"/>
    <x v="4"/>
    <x v="4"/>
    <x v="0"/>
  </r>
  <r>
    <x v="0"/>
    <s v="Streaming Bundle Initiative 2025"/>
    <s v="Billing Request- 00103024"/>
    <x v="8"/>
    <d v="2025-11-16T00:00:00"/>
    <d v="2025-12-17T00:00:00"/>
    <x v="0"/>
    <s v="a6Jat8625480"/>
    <x v="6"/>
    <s v="Mar"/>
    <s v="Agency submitted updated invoice mapping."/>
    <n v="31"/>
    <x v="1"/>
    <x v="15"/>
    <x v="3"/>
    <x v="0"/>
  </r>
  <r>
    <x v="0"/>
    <s v="TNF Sponsorship 2025"/>
    <s v="Billing Request- 00103026"/>
    <x v="6"/>
    <d v="2025-05-19T00:00:00"/>
    <d v="2025-07-15T00:00:00"/>
    <x v="0"/>
    <s v="a6Jat7525972"/>
    <x v="6"/>
    <s v="Sep; Oct"/>
    <s v="Finance validation process delay."/>
    <n v="57"/>
    <x v="1"/>
    <x v="4"/>
    <x v="4"/>
    <x v="0"/>
  </r>
  <r>
    <x v="0"/>
    <s v="NWSL Halftime Sponsorship 2025"/>
    <s v="Billing Request- 00103027"/>
    <x v="8"/>
    <d v="2025-10-24T00:00:00"/>
    <d v="2025-11-16T00:00:00"/>
    <x v="0"/>
    <s v="a6Jat3668171"/>
    <x v="4"/>
    <s v="Nov"/>
    <s v="Finance validation process delay."/>
    <n v="23"/>
    <x v="3"/>
    <x v="5"/>
    <x v="1"/>
    <x v="0"/>
  </r>
  <r>
    <x v="0"/>
    <s v="Confluence Academy 2025"/>
    <s v="Billing Request- 00103029"/>
    <x v="6"/>
    <d v="2025-10-22T00:00:00"/>
    <d v="2025-12-06T00:00:00"/>
    <x v="2"/>
    <s v="a6JHn4047223"/>
    <x v="1"/>
    <s v="Jan; Feb"/>
    <s v="Missing supporting documentation from vendor."/>
    <n v="45"/>
    <x v="1"/>
    <x v="5"/>
    <x v="3"/>
    <x v="0"/>
  </r>
  <r>
    <x v="4"/>
    <s v="NWSL Prime Video 2025"/>
    <s v="Billing Request- 00103032"/>
    <x v="9"/>
    <d v="2025-12-14T00:00:00"/>
    <d v="2026-03-02T00:00:00"/>
    <x v="2"/>
    <s v="a6JHn1729968"/>
    <x v="6"/>
    <s v="Jan"/>
    <s v="Finance validation process delay."/>
    <n v="78"/>
    <x v="0"/>
    <x v="11"/>
    <x v="1"/>
    <x v="0"/>
  </r>
  <r>
    <x v="0"/>
    <s v="NWSL Prime Video 2026"/>
    <s v="Billing Request- 00103034"/>
    <x v="3"/>
    <d v="2026-03-14T00:00:00"/>
    <d v="2026-04-09T00:00:00"/>
    <x v="0"/>
    <s v="a6JHn4999043"/>
    <x v="2"/>
    <s v="May; Jun"/>
    <s v="Missing supporting documentation from vendor."/>
    <n v="26"/>
    <x v="3"/>
    <x v="2"/>
    <x v="1"/>
    <x v="1"/>
  </r>
  <r>
    <x v="0"/>
    <s v="DirecTV NASCAR Campaign 2025"/>
    <s v="Billing Request- 00103036"/>
    <x v="8"/>
    <d v="2025-09-26T00:00:00"/>
    <d v="2025-10-16T00:00:00"/>
    <x v="2"/>
    <s v="a6JHn3857829"/>
    <x v="5"/>
    <s v="Dec"/>
    <s v="Manual billing entry issue."/>
    <n v="20"/>
    <x v="3"/>
    <x v="14"/>
    <x v="0"/>
    <x v="0"/>
  </r>
  <r>
    <x v="0"/>
    <s v="Streaming Bundle Initiative 2025"/>
    <s v="Billing Request- 00103037"/>
    <x v="1"/>
    <d v="2025-05-09T00:00:00"/>
    <d v="2025-05-23T00:00:00"/>
    <x v="2"/>
    <s v="a6JHn3886103"/>
    <x v="2"/>
    <s v="Jun"/>
    <s v="Agency submitted updated invoice mapping."/>
    <n v="14"/>
    <x v="4"/>
    <x v="4"/>
    <x v="3"/>
    <x v="0"/>
  </r>
  <r>
    <x v="0"/>
    <s v="TNF Sponsorship 2026"/>
    <s v="Billing Request- 00103039"/>
    <x v="9"/>
    <d v="2026-02-05T00:00:00"/>
    <d v="2026-05-01T00:00:00"/>
    <x v="1"/>
    <s v="a6JHn6890588"/>
    <x v="0"/>
    <s v="Jul; Aug"/>
    <s v="Incorrect legal terms delayed PTS."/>
    <n v="85"/>
    <x v="0"/>
    <x v="1"/>
    <x v="4"/>
    <x v="1"/>
  </r>
  <r>
    <x v="0"/>
    <s v="Prime Sports NFL 2025"/>
    <s v="Billing Request- 00103040"/>
    <x v="6"/>
    <d v="2025-12-08T00:00:00"/>
    <d v="2026-01-12T00:00:00"/>
    <x v="2"/>
    <s v="a6Jat5977814"/>
    <x v="0"/>
    <s v="Nov; Dec"/>
    <s v="Manual billing entry issue."/>
    <n v="35"/>
    <x v="1"/>
    <x v="11"/>
    <x v="3"/>
    <x v="0"/>
  </r>
  <r>
    <x v="0"/>
    <s v="NASCAR Apex 2025 2025"/>
    <s v="Billing Request- 00103041"/>
    <x v="9"/>
    <d v="2025-02-20T00:00:00"/>
    <d v="2025-04-13T00:00:00"/>
    <x v="2"/>
    <s v="a6JXt8551752"/>
    <x v="3"/>
    <s v="Jul; Aug"/>
    <s v="Missing supporting documentation from vendor."/>
    <n v="52"/>
    <x v="1"/>
    <x v="6"/>
    <x v="0"/>
    <x v="0"/>
  </r>
  <r>
    <x v="0"/>
    <s v="NWSL Halftime Sponsorship 2025"/>
    <s v="Billing Request- 00103042"/>
    <x v="5"/>
    <d v="2025-05-09T00:00:00"/>
    <d v="2025-07-10T00:00:00"/>
    <x v="2"/>
    <s v="a6JXt6738192"/>
    <x v="5"/>
    <s v="Mar; Apr"/>
    <s v="Late media plan changes from client."/>
    <n v="62"/>
    <x v="0"/>
    <x v="4"/>
    <x v="1"/>
    <x v="0"/>
  </r>
  <r>
    <x v="0"/>
    <s v="WNBA Incremental Scatter 2025"/>
    <s v="Billing Request- 00103043"/>
    <x v="8"/>
    <d v="2025-06-14T00:00:00"/>
    <d v="2025-10-11T00:00:00"/>
    <x v="2"/>
    <s v="a6JXt9714211"/>
    <x v="5"/>
    <s v="May"/>
    <s v=""/>
    <n v="119"/>
    <x v="0"/>
    <x v="9"/>
    <x v="2"/>
    <x v="0"/>
  </r>
  <r>
    <x v="0"/>
    <s v="NASCAR Apex 2025 2025"/>
    <s v="Billing Request- 00103044"/>
    <x v="1"/>
    <d v="2025-03-15T00:00:00"/>
    <d v="2025-05-14T00:00:00"/>
    <x v="2"/>
    <s v="a6Jat8233072"/>
    <x v="2"/>
    <s v="Nov; Dec"/>
    <s v="Invoice details mismatch with approved campaign."/>
    <n v="60"/>
    <x v="1"/>
    <x v="13"/>
    <x v="0"/>
    <x v="0"/>
  </r>
  <r>
    <x v="0"/>
    <s v="Retail Media Expansion 2025"/>
    <s v="Billing Request- 00103045"/>
    <x v="3"/>
    <d v="2025-08-01T00:00:00"/>
    <d v="2025-11-23T00:00:00"/>
    <x v="2"/>
    <s v="a6JXt4894990"/>
    <x v="0"/>
    <s v="Sep"/>
    <s v="Client requested retroactive billing adjustments."/>
    <n v="114"/>
    <x v="0"/>
    <x v="8"/>
    <x v="3"/>
    <x v="0"/>
  </r>
  <r>
    <x v="0"/>
    <s v="NWSL Prime Video 2026"/>
    <s v="Billing Request- 00103048"/>
    <x v="8"/>
    <d v="2026-03-09T00:00:00"/>
    <d v="2026-05-09T00:00:00"/>
    <x v="2"/>
    <s v="a6JHn9775661"/>
    <x v="3"/>
    <s v="Dec"/>
    <s v="Agency submitted updated invoice mapping."/>
    <n v="61"/>
    <x v="0"/>
    <x v="2"/>
    <x v="1"/>
    <x v="1"/>
  </r>
  <r>
    <x v="0"/>
    <s v="Streaming Bundle Initiative 2025"/>
    <s v="Billing Request- 00103049"/>
    <x v="0"/>
    <d v="2025-07-02T00:00:00"/>
    <d v="2025-07-22T00:00:00"/>
    <x v="2"/>
    <s v="a6Jat7913356"/>
    <x v="0"/>
    <s v="Sep"/>
    <s v="Invoice details mismatch with approved campaign."/>
    <n v="20"/>
    <x v="3"/>
    <x v="12"/>
    <x v="3"/>
    <x v="0"/>
  </r>
  <r>
    <x v="2"/>
    <s v="NASCAR P&amp;Q 2025"/>
    <s v="Billing Request- 00103050"/>
    <x v="3"/>
    <d v="2025-09-25T00:00:00"/>
    <d v="2025-10-23T00:00:00"/>
    <x v="1"/>
    <s v="a6JXt4350726"/>
    <x v="0"/>
    <s v="Mar"/>
    <s v="Manual billing entry issue."/>
    <n v="28"/>
    <x v="3"/>
    <x v="14"/>
    <x v="0"/>
    <x v="0"/>
  </r>
  <r>
    <x v="1"/>
    <s v="Streaming Bundle Initiative 2025"/>
    <s v="Billing Request- 00103051"/>
    <x v="3"/>
    <d v="2025-07-23T00:00:00"/>
    <d v="2025-09-16T00:00:00"/>
    <x v="2"/>
    <s v="a6Jat6962643"/>
    <x v="0"/>
    <s v="Sep"/>
    <s v="Incorrect legal terms delayed PTS."/>
    <n v="55"/>
    <x v="1"/>
    <x v="12"/>
    <x v="3"/>
    <x v="0"/>
  </r>
  <r>
    <x v="2"/>
    <s v="NBA League Pass 2025"/>
    <s v="Billing Request- 00103052"/>
    <x v="0"/>
    <d v="2025-10-01T00:00:00"/>
    <d v="2026-01-28T00:00:00"/>
    <x v="2"/>
    <s v="a6Jat3058008"/>
    <x v="5"/>
    <s v="Apr"/>
    <s v="Missing supporting documentation from vendor."/>
    <n v="119"/>
    <x v="0"/>
    <x v="5"/>
    <x v="2"/>
    <x v="0"/>
  </r>
  <r>
    <x v="0"/>
    <s v="NWSL Halftime Sponsorship 2026"/>
    <s v="Billing Request- 00103055"/>
    <x v="5"/>
    <d v="2026-01-02T00:00:00"/>
    <d v="2026-01-19T00:00:00"/>
    <x v="2"/>
    <s v="a6JXt6248047"/>
    <x v="1"/>
    <s v="Jan"/>
    <s v="Manual billing entry issue."/>
    <n v="17"/>
    <x v="3"/>
    <x v="7"/>
    <x v="1"/>
    <x v="1"/>
  </r>
  <r>
    <x v="3"/>
    <s v="WNBA Incremental Scatter 2025"/>
    <s v="Billing Request- 00103056"/>
    <x v="0"/>
    <d v="2025-12-05T00:00:00"/>
    <d v="2026-02-02T00:00:00"/>
    <x v="2"/>
    <s v="a6JHn2262175"/>
    <x v="6"/>
    <s v="Sep"/>
    <s v="Invoice details mismatch with approved campaign."/>
    <n v="59"/>
    <x v="1"/>
    <x v="11"/>
    <x v="2"/>
    <x v="0"/>
  </r>
  <r>
    <x v="0"/>
    <s v="DirecTV NASCAR Campaign 2025"/>
    <s v="Billing Request- 00103057"/>
    <x v="1"/>
    <d v="2025-07-15T00:00:00"/>
    <d v="2025-08-06T00:00:00"/>
    <x v="0"/>
    <s v="a6Jat1598129"/>
    <x v="0"/>
    <s v="Nov"/>
    <s v="Missing supporting documentation from vendor."/>
    <n v="22"/>
    <x v="3"/>
    <x v="12"/>
    <x v="0"/>
    <x v="0"/>
  </r>
  <r>
    <x v="1"/>
    <s v="NBA Playoffs Campaign 2025"/>
    <s v="Billing Request- 00103058"/>
    <x v="2"/>
    <d v="2025-11-20T00:00:00"/>
    <d v="2026-03-02T00:00:00"/>
    <x v="2"/>
    <s v="a6JXt3611522"/>
    <x v="4"/>
    <s v="May"/>
    <s v="Missing supporting documentation from vendor."/>
    <n v="102"/>
    <x v="0"/>
    <x v="15"/>
    <x v="2"/>
    <x v="0"/>
  </r>
  <r>
    <x v="0"/>
    <s v="NBA Playoffs Campaign 2025"/>
    <s v="Billing Request- 00103061"/>
    <x v="4"/>
    <d v="2025-11-04T00:00:00"/>
    <d v="2025-12-02T00:00:00"/>
    <x v="0"/>
    <s v="a6JXt8811985"/>
    <x v="4"/>
    <s v="Sep"/>
    <s v="Late media plan changes from client."/>
    <n v="28"/>
    <x v="3"/>
    <x v="15"/>
    <x v="2"/>
    <x v="0"/>
  </r>
  <r>
    <x v="0"/>
    <s v="NWSL Halftime Sponsorship 2026"/>
    <s v="Billing Request- 00103063"/>
    <x v="9"/>
    <d v="2026-02-03T00:00:00"/>
    <d v="2026-05-06T00:00:00"/>
    <x v="2"/>
    <s v="a6JHn8396001"/>
    <x v="6"/>
    <s v="May; Jun"/>
    <s v="Agency submitted updated invoice mapping."/>
    <n v="92"/>
    <x v="0"/>
    <x v="1"/>
    <x v="1"/>
    <x v="1"/>
  </r>
  <r>
    <x v="0"/>
    <s v="NASCAR Apex 2025 2025"/>
    <s v="Billing Request- 00103064"/>
    <x v="1"/>
    <d v="2025-09-01T00:00:00"/>
    <d v="2025-09-30T00:00:00"/>
    <x v="1"/>
    <s v="a6JHn8854299"/>
    <x v="4"/>
    <s v="Jan; Feb"/>
    <s v="Missing supporting documentation from vendor."/>
    <n v="29"/>
    <x v="3"/>
    <x v="14"/>
    <x v="0"/>
    <x v="0"/>
  </r>
  <r>
    <x v="4"/>
    <s v="NBA Playoffs Campaign 2025"/>
    <s v="Billing Request- 00103065"/>
    <x v="5"/>
    <d v="2025-06-23T00:00:00"/>
    <d v="2025-10-16T00:00:00"/>
    <x v="2"/>
    <s v="a6Jat5467033"/>
    <x v="0"/>
    <s v="Feb"/>
    <s v="Agency submitted updated invoice mapping."/>
    <n v="115"/>
    <x v="0"/>
    <x v="9"/>
    <x v="2"/>
    <x v="0"/>
  </r>
  <r>
    <x v="3"/>
    <s v="NFL Prime Video 2026"/>
    <s v="Billing Request- 00103066"/>
    <x v="0"/>
    <d v="2026-03-30T00:00:00"/>
    <d v="2026-04-07T00:00:00"/>
    <x v="0"/>
    <s v="a6Jat5186937"/>
    <x v="6"/>
    <s v="Mar; Apr"/>
    <s v="Agency submitted updated invoice mapping."/>
    <n v="8"/>
    <x v="4"/>
    <x v="2"/>
    <x v="3"/>
    <x v="1"/>
  </r>
  <r>
    <x v="0"/>
    <s v="DirecTV NASCAR Campaign 2025"/>
    <s v="Billing Request- 00103067"/>
    <x v="7"/>
    <d v="2025-10-04T00:00:00"/>
    <d v="2025-12-22T00:00:00"/>
    <x v="2"/>
    <s v="a6JHn8938211"/>
    <x v="4"/>
    <s v="Mar"/>
    <s v="Agency submitted updated invoice mapping."/>
    <n v="79"/>
    <x v="0"/>
    <x v="5"/>
    <x v="0"/>
    <x v="0"/>
  </r>
  <r>
    <x v="0"/>
    <s v="NFL Prime Video 2025"/>
    <s v="Billing Request- 00103068"/>
    <x v="5"/>
    <d v="2025-11-06T00:00:00"/>
    <d v="2026-02-25T00:00:00"/>
    <x v="2"/>
    <s v="a6JXt2839491"/>
    <x v="0"/>
    <s v="Dec"/>
    <s v="Manual billing entry issue."/>
    <n v="111"/>
    <x v="0"/>
    <x v="15"/>
    <x v="3"/>
    <x v="0"/>
  </r>
  <r>
    <x v="2"/>
    <s v="NWSL Halftime Sponsorship 2025"/>
    <s v="Billing Request- 00103069"/>
    <x v="9"/>
    <d v="2025-07-05T00:00:00"/>
    <d v="2025-08-15T00:00:00"/>
    <x v="0"/>
    <s v="a6Jat2502772"/>
    <x v="2"/>
    <s v="Jun"/>
    <s v="Agency submitted updated invoice mapping."/>
    <n v="41"/>
    <x v="1"/>
    <x v="12"/>
    <x v="1"/>
    <x v="0"/>
  </r>
  <r>
    <x v="0"/>
    <s v="NBA Playoffs Campaign 2025"/>
    <s v="Billing Request- 00103071"/>
    <x v="2"/>
    <d v="2025-05-29T00:00:00"/>
    <d v="2025-07-01T00:00:00"/>
    <x v="2"/>
    <s v="a6JHn2558682"/>
    <x v="4"/>
    <s v="Jun"/>
    <s v="Client requested retroactive billing adjustments."/>
    <n v="33"/>
    <x v="1"/>
    <x v="4"/>
    <x v="2"/>
    <x v="0"/>
  </r>
  <r>
    <x v="3"/>
    <s v="NBA Playoffs Campaign 2025"/>
    <s v="Billing Request- 00103072"/>
    <x v="7"/>
    <d v="2025-08-26T00:00:00"/>
    <d v="2025-11-15T00:00:00"/>
    <x v="1"/>
    <s v="a6JHn9392397"/>
    <x v="3"/>
    <s v="Jun"/>
    <s v="Finance validation process delay."/>
    <n v="81"/>
    <x v="0"/>
    <x v="8"/>
    <x v="2"/>
    <x v="0"/>
  </r>
  <r>
    <x v="0"/>
    <s v="NWSL Prime Video 2025"/>
    <s v="Billing Request- 00103073"/>
    <x v="7"/>
    <d v="2025-11-18T00:00:00"/>
    <d v="2026-01-22T00:00:00"/>
    <x v="2"/>
    <s v="a6JXt4662454"/>
    <x v="5"/>
    <s v="Dec"/>
    <s v="Manual billing entry issue."/>
    <n v="65"/>
    <x v="0"/>
    <x v="15"/>
    <x v="1"/>
    <x v="0"/>
  </r>
  <r>
    <x v="0"/>
    <s v="NWSL Prime Video 2026"/>
    <s v="Billing Request- 00103075"/>
    <x v="8"/>
    <d v="2026-03-26T00:00:00"/>
    <d v="2026-05-02T00:00:00"/>
    <x v="2"/>
    <s v="a6Jat6185270"/>
    <x v="2"/>
    <s v="Jan"/>
    <s v="Manual billing entry issue."/>
    <n v="37"/>
    <x v="1"/>
    <x v="2"/>
    <x v="1"/>
    <x v="1"/>
  </r>
  <r>
    <x v="0"/>
    <s v="DirecTV NASCAR Campaign 2026"/>
    <s v="Billing Request- 00103077"/>
    <x v="6"/>
    <d v="2026-01-17T00:00:00"/>
    <d v="2026-03-01T00:00:00"/>
    <x v="2"/>
    <s v="a6Jat8810454"/>
    <x v="0"/>
    <s v="Jul"/>
    <s v="Invoice details mismatch with approved campaign."/>
    <n v="43"/>
    <x v="1"/>
    <x v="7"/>
    <x v="0"/>
    <x v="1"/>
  </r>
  <r>
    <x v="0"/>
    <s v="Global Consumer Products 2026"/>
    <s v="Billing Request- 00103078"/>
    <x v="0"/>
    <d v="2026-01-18T00:00:00"/>
    <d v="2026-05-03T00:00:00"/>
    <x v="0"/>
    <s v="a6JHn7641819"/>
    <x v="2"/>
    <s v="Jan; Feb"/>
    <s v="Invoice details mismatch with approved campaign."/>
    <n v="105"/>
    <x v="0"/>
    <x v="7"/>
    <x v="3"/>
    <x v="1"/>
  </r>
  <r>
    <x v="0"/>
    <s v="Streaming Bundle Initiative 2025"/>
    <s v="Billing Request- 00103079"/>
    <x v="7"/>
    <d v="2025-10-17T00:00:00"/>
    <d v="2025-12-03T00:00:00"/>
    <x v="2"/>
    <s v="a6Jat4836380"/>
    <x v="0"/>
    <s v="Nov"/>
    <s v="Agency submitted updated invoice mapping."/>
    <n v="47"/>
    <x v="1"/>
    <x v="5"/>
    <x v="3"/>
    <x v="0"/>
  </r>
  <r>
    <x v="4"/>
    <s v="NWSL Prime Video 2025"/>
    <s v="Billing Request- 00103081"/>
    <x v="7"/>
    <d v="2025-06-23T00:00:00"/>
    <d v="2025-08-08T00:00:00"/>
    <x v="2"/>
    <s v="a6JXt3188785"/>
    <x v="0"/>
    <s v="Jan; Feb"/>
    <s v="Missing supporting documentation from vendor."/>
    <n v="46"/>
    <x v="1"/>
    <x v="9"/>
    <x v="1"/>
    <x v="0"/>
  </r>
  <r>
    <x v="0"/>
    <s v="Retail Media Expansion 2026"/>
    <s v="Billing Request- 00103083"/>
    <x v="5"/>
    <d v="2026-02-09T00:00:00"/>
    <d v="2026-03-04T00:00:00"/>
    <x v="2"/>
    <s v="a6Jat7068380"/>
    <x v="3"/>
    <s v="Jul"/>
    <s v="Agency submitted updated invoice mapping."/>
    <n v="23"/>
    <x v="3"/>
    <x v="1"/>
    <x v="3"/>
    <x v="1"/>
  </r>
  <r>
    <x v="0"/>
    <s v="Global Consumer Products 2025"/>
    <s v="Billing Request- 00103085"/>
    <x v="3"/>
    <d v="2025-08-10T00:00:00"/>
    <d v="2025-11-05T00:00:00"/>
    <x v="2"/>
    <s v="a6JXt8849014"/>
    <x v="4"/>
    <s v="Oct"/>
    <s v="Finance validation process delay."/>
    <n v="87"/>
    <x v="0"/>
    <x v="8"/>
    <x v="3"/>
    <x v="0"/>
  </r>
  <r>
    <x v="1"/>
    <s v="Amazon TNF 2024 2025"/>
    <s v="Billing Request- 00103086"/>
    <x v="2"/>
    <d v="2025-12-18T00:00:00"/>
    <d v="2026-03-08T00:00:00"/>
    <x v="2"/>
    <s v="a6Jat6212745"/>
    <x v="0"/>
    <s v="Mar; Apr"/>
    <s v="Missing supporting documentation from vendor."/>
    <n v="80"/>
    <x v="0"/>
    <x v="11"/>
    <x v="4"/>
    <x v="0"/>
  </r>
  <r>
    <x v="0"/>
    <s v="Retail Media Expansion 2025"/>
    <s v="Billing Request- 00103087"/>
    <x v="7"/>
    <d v="2025-06-08T00:00:00"/>
    <d v="2025-09-05T00:00:00"/>
    <x v="0"/>
    <s v="a6Jat6189138"/>
    <x v="5"/>
    <s v="Mar; Apr"/>
    <s v=""/>
    <n v="89"/>
    <x v="0"/>
    <x v="9"/>
    <x v="3"/>
    <x v="0"/>
  </r>
  <r>
    <x v="0"/>
    <s v="NWSL Halftime Sponsorship 2025"/>
    <s v="Billing Request- 00103089"/>
    <x v="8"/>
    <d v="2025-04-05T00:00:00"/>
    <d v="2025-05-24T00:00:00"/>
    <x v="0"/>
    <s v="a6Jat6492766"/>
    <x v="2"/>
    <s v="Jun"/>
    <s v="Finance validation process delay."/>
    <n v="49"/>
    <x v="1"/>
    <x v="3"/>
    <x v="1"/>
    <x v="0"/>
  </r>
  <r>
    <x v="0"/>
    <s v="Streaming Bundle Initiative 2025"/>
    <s v="Billing Request- 00103092"/>
    <x v="3"/>
    <d v="2025-07-13T00:00:00"/>
    <d v="2025-11-02T00:00:00"/>
    <x v="0"/>
    <s v="a6JHn9723371"/>
    <x v="0"/>
    <s v="Jun"/>
    <s v="Late media plan changes from client."/>
    <n v="112"/>
    <x v="0"/>
    <x v="12"/>
    <x v="3"/>
    <x v="0"/>
  </r>
  <r>
    <x v="0"/>
    <s v="NBA League Pass 2026"/>
    <s v="Billing Request- 00103093"/>
    <x v="9"/>
    <d v="2026-03-07T00:00:00"/>
    <d v="2026-05-09T00:00:00"/>
    <x v="1"/>
    <s v="a6JXt6435975"/>
    <x v="1"/>
    <s v="Mar"/>
    <s v="Manual billing entry issue."/>
    <n v="63"/>
    <x v="0"/>
    <x v="2"/>
    <x v="2"/>
    <x v="1"/>
  </r>
  <r>
    <x v="0"/>
    <s v="Retail Media Expansion 2025"/>
    <s v="Billing Request- 00103094"/>
    <x v="3"/>
    <d v="2025-05-20T00:00:00"/>
    <d v="2025-05-27T00:00:00"/>
    <x v="2"/>
    <s v="a6Jat5153601"/>
    <x v="6"/>
    <s v="Apr"/>
    <s v="Missing supporting documentation from vendor."/>
    <n v="7"/>
    <x v="2"/>
    <x v="4"/>
    <x v="3"/>
    <x v="0"/>
  </r>
  <r>
    <x v="0"/>
    <s v="NWSL Prime Video 2025"/>
    <s v="Billing Request- 00103095"/>
    <x v="8"/>
    <d v="2025-04-08T00:00:00"/>
    <d v="2025-05-13T00:00:00"/>
    <x v="0"/>
    <s v="a6JXt4414013"/>
    <x v="0"/>
    <s v="Aug"/>
    <s v=""/>
    <n v="35"/>
    <x v="1"/>
    <x v="3"/>
    <x v="1"/>
    <x v="0"/>
  </r>
  <r>
    <x v="2"/>
    <s v="NBA Playoffs Campaign 2026"/>
    <s v="Billing Request- 00103096"/>
    <x v="1"/>
    <d v="2026-01-24T00:00:00"/>
    <d v="2026-05-04T00:00:00"/>
    <x v="2"/>
    <s v="a6JHn4608129"/>
    <x v="5"/>
    <s v="Dec"/>
    <s v="Agency submitted updated invoice mapping."/>
    <n v="100"/>
    <x v="0"/>
    <x v="7"/>
    <x v="2"/>
    <x v="1"/>
  </r>
  <r>
    <x v="0"/>
    <s v="Amazon TNF 2024 2026"/>
    <s v="Billing Request- 00103100"/>
    <x v="8"/>
    <d v="2026-01-04T00:00:00"/>
    <d v="2026-01-05T00:00:00"/>
    <x v="0"/>
    <s v="a6JXt2328461"/>
    <x v="0"/>
    <s v="Nov"/>
    <s v="Manual billing entry issue."/>
    <n v="1"/>
    <x v="2"/>
    <x v="7"/>
    <x v="4"/>
    <x v="1"/>
  </r>
  <r>
    <x v="0"/>
    <s v="DirecTV NASCAR Campaign 2026"/>
    <s v="Billing Request- 00103101"/>
    <x v="1"/>
    <d v="2026-02-14T00:00:00"/>
    <d v="2026-03-24T00:00:00"/>
    <x v="1"/>
    <s v="a6JXt9069161"/>
    <x v="3"/>
    <s v="Mar"/>
    <s v="Invoice details mismatch with approved campaign."/>
    <n v="38"/>
    <x v="1"/>
    <x v="1"/>
    <x v="0"/>
    <x v="1"/>
  </r>
  <r>
    <x v="0"/>
    <s v="TNF Sponsorship 2025"/>
    <s v="Billing Request- 00103103"/>
    <x v="4"/>
    <d v="2025-04-06T00:00:00"/>
    <d v="2025-07-31T00:00:00"/>
    <x v="0"/>
    <s v="a6JXt9718692"/>
    <x v="1"/>
    <s v="Nov; Dec"/>
    <s v="Manual billing entry issue."/>
    <n v="116"/>
    <x v="0"/>
    <x v="3"/>
    <x v="4"/>
    <x v="0"/>
  </r>
  <r>
    <x v="0"/>
    <s v="WNBA Incremental Scatter 2025"/>
    <s v="Billing Request- 00103106"/>
    <x v="2"/>
    <d v="2025-01-22T00:00:00"/>
    <d v="2025-05-16T00:00:00"/>
    <x v="2"/>
    <s v="a6JHn6810325"/>
    <x v="4"/>
    <s v="Sep; Oct"/>
    <s v="Manual billing entry issue."/>
    <n v="114"/>
    <x v="0"/>
    <x v="0"/>
    <x v="2"/>
    <x v="0"/>
  </r>
  <r>
    <x v="0"/>
    <s v="Confluence Academy 2026"/>
    <s v="Billing Request- 00103108"/>
    <x v="9"/>
    <d v="2026-04-16T00:00:00"/>
    <d v="2026-05-08T00:00:00"/>
    <x v="2"/>
    <s v="a6Jat9509420"/>
    <x v="1"/>
    <s v="Sep"/>
    <s v="Agency submitted updated invoice mapping."/>
    <n v="22"/>
    <x v="3"/>
    <x v="10"/>
    <x v="3"/>
    <x v="1"/>
  </r>
  <r>
    <x v="0"/>
    <s v="NFL Prime Video 2025"/>
    <s v="Billing Request- 00103109"/>
    <x v="8"/>
    <d v="2025-04-30T00:00:00"/>
    <d v="2025-08-08T00:00:00"/>
    <x v="2"/>
    <s v="a6JHn2403738"/>
    <x v="2"/>
    <s v="Nov"/>
    <s v="Manual billing entry issue."/>
    <n v="100"/>
    <x v="0"/>
    <x v="3"/>
    <x v="3"/>
    <x v="0"/>
  </r>
  <r>
    <x v="4"/>
    <s v="TNF Sponsorship 2025"/>
    <s v="Billing Request- 00103110"/>
    <x v="1"/>
    <d v="2025-01-12T00:00:00"/>
    <d v="2025-02-18T00:00:00"/>
    <x v="2"/>
    <s v="a6JXt5714597"/>
    <x v="6"/>
    <s v="Nov"/>
    <s v="Client requested retroactive billing adjustments."/>
    <n v="37"/>
    <x v="1"/>
    <x v="0"/>
    <x v="4"/>
    <x v="0"/>
  </r>
  <r>
    <x v="0"/>
    <s v="Global Consumer Products 2025"/>
    <s v="Billing Request- 00103111"/>
    <x v="8"/>
    <d v="2025-06-13T00:00:00"/>
    <d v="2025-06-14T00:00:00"/>
    <x v="2"/>
    <s v="a6JHn7926648"/>
    <x v="0"/>
    <s v="Feb"/>
    <s v="Manual billing entry issue."/>
    <n v="1"/>
    <x v="2"/>
    <x v="9"/>
    <x v="3"/>
    <x v="0"/>
  </r>
  <r>
    <x v="0"/>
    <s v="NWSL Prime Video 2026"/>
    <s v="Billing Request- 00103112"/>
    <x v="4"/>
    <d v="2026-03-06T00:00:00"/>
    <d v="2026-05-01T00:00:00"/>
    <x v="2"/>
    <s v="a6JXt4812149"/>
    <x v="2"/>
    <s v="May; Jun"/>
    <s v="Missing supporting documentation from vendor."/>
    <n v="56"/>
    <x v="1"/>
    <x v="2"/>
    <x v="1"/>
    <x v="1"/>
  </r>
  <r>
    <x v="0"/>
    <s v="Prime Sports NFL 2026"/>
    <s v="Billing Request- 00103117"/>
    <x v="8"/>
    <d v="2026-05-02T00:00:00"/>
    <d v="2026-05-09T00:00:00"/>
    <x v="2"/>
    <s v="a6JXt6899602"/>
    <x v="5"/>
    <s v="Mar; Apr"/>
    <s v=""/>
    <n v="7"/>
    <x v="2"/>
    <x v="16"/>
    <x v="3"/>
    <x v="1"/>
  </r>
  <r>
    <x v="3"/>
    <s v="NFL Prime Video 2025"/>
    <s v="Billing Request- 00103118"/>
    <x v="8"/>
    <d v="2025-04-10T00:00:00"/>
    <d v="2025-06-30T00:00:00"/>
    <x v="0"/>
    <s v="a6JHn1939699"/>
    <x v="2"/>
    <s v="Jan"/>
    <s v="Late media plan changes from client."/>
    <n v="81"/>
    <x v="0"/>
    <x v="3"/>
    <x v="3"/>
    <x v="0"/>
  </r>
  <r>
    <x v="0"/>
    <s v="NFL Prime Video 2025"/>
    <s v="Billing Request- 00103119"/>
    <x v="1"/>
    <d v="2025-10-06T00:00:00"/>
    <d v="2026-01-02T00:00:00"/>
    <x v="0"/>
    <s v="a6Jat2047582"/>
    <x v="6"/>
    <s v="Sep"/>
    <s v="Invoice details mismatch with approved campaign."/>
    <n v="88"/>
    <x v="0"/>
    <x v="5"/>
    <x v="3"/>
    <x v="0"/>
  </r>
  <r>
    <x v="0"/>
    <s v="NWSL Prime Video 2025"/>
    <s v="Billing Request- 00103120"/>
    <x v="5"/>
    <d v="2025-09-13T00:00:00"/>
    <d v="2025-12-24T00:00:00"/>
    <x v="0"/>
    <s v="a6JXt6676201"/>
    <x v="3"/>
    <s v="Jan; Feb"/>
    <s v="Client requested retroactive billing adjustments."/>
    <n v="102"/>
    <x v="0"/>
    <x v="14"/>
    <x v="1"/>
    <x v="0"/>
  </r>
  <r>
    <x v="0"/>
    <s v="TNF Sponsorship 2026"/>
    <s v="Billing Request- 00103122"/>
    <x v="8"/>
    <d v="2026-02-22T00:00:00"/>
    <d v="2026-05-05T00:00:00"/>
    <x v="2"/>
    <s v="a6Jat6122649"/>
    <x v="5"/>
    <s v="Jun"/>
    <s v="Finance validation process delay."/>
    <n v="72"/>
    <x v="0"/>
    <x v="1"/>
    <x v="4"/>
    <x v="1"/>
  </r>
  <r>
    <x v="0"/>
    <s v="NBA Playoffs Campaign 2025"/>
    <s v="Billing Request- 00103123"/>
    <x v="3"/>
    <d v="2025-03-11T00:00:00"/>
    <d v="2025-04-22T00:00:00"/>
    <x v="0"/>
    <s v="a6JXt4063287"/>
    <x v="3"/>
    <s v="Sep; Oct"/>
    <s v=""/>
    <n v="42"/>
    <x v="1"/>
    <x v="13"/>
    <x v="2"/>
    <x v="0"/>
  </r>
  <r>
    <x v="0"/>
    <s v="Streaming Bundle Initiative 2025"/>
    <s v="Billing Request- 00103124"/>
    <x v="7"/>
    <d v="2025-05-01T00:00:00"/>
    <d v="2025-06-17T00:00:00"/>
    <x v="2"/>
    <s v="a6Jat4190596"/>
    <x v="2"/>
    <s v="Nov"/>
    <s v="Finance validation process delay."/>
    <n v="47"/>
    <x v="1"/>
    <x v="4"/>
    <x v="3"/>
    <x v="0"/>
  </r>
  <r>
    <x v="3"/>
    <s v="NASCAR P&amp;Q 2026"/>
    <s v="Billing Request- 00103125"/>
    <x v="9"/>
    <d v="2026-01-05T00:00:00"/>
    <d v="2026-01-26T00:00:00"/>
    <x v="2"/>
    <s v="a6JXt9439429"/>
    <x v="2"/>
    <s v="Mar; Apr"/>
    <s v="Manual billing entry issue."/>
    <n v="21"/>
    <x v="3"/>
    <x v="7"/>
    <x v="0"/>
    <x v="1"/>
  </r>
  <r>
    <x v="0"/>
    <s v="NWSL Prime Video 2025"/>
    <s v="Billing Request- 00103126"/>
    <x v="7"/>
    <d v="2025-09-28T00:00:00"/>
    <d v="2025-11-07T00:00:00"/>
    <x v="2"/>
    <s v="a6JXt8632165"/>
    <x v="5"/>
    <s v="Nov; Dec"/>
    <s v="Manual billing entry issue."/>
    <n v="40"/>
    <x v="1"/>
    <x v="14"/>
    <x v="1"/>
    <x v="0"/>
  </r>
  <r>
    <x v="0"/>
    <s v="NASCAR P&amp;Q 2025"/>
    <s v="Billing Request- 00103127"/>
    <x v="8"/>
    <d v="2025-07-21T00:00:00"/>
    <d v="2025-10-31T00:00:00"/>
    <x v="2"/>
    <s v="a6JXt7984488"/>
    <x v="0"/>
    <s v="Jun"/>
    <s v="Agency submitted updated invoice mapping."/>
    <n v="102"/>
    <x v="0"/>
    <x v="12"/>
    <x v="0"/>
    <x v="0"/>
  </r>
  <r>
    <x v="4"/>
    <s v="NBA Playoffs Campaign 2025"/>
    <s v="Billing Request- 00103128"/>
    <x v="4"/>
    <d v="2025-06-20T00:00:00"/>
    <d v="2025-10-09T00:00:00"/>
    <x v="0"/>
    <s v="a6JHn3651430"/>
    <x v="1"/>
    <s v="Apr"/>
    <s v="Missing supporting documentation from vendor."/>
    <n v="111"/>
    <x v="0"/>
    <x v="9"/>
    <x v="2"/>
    <x v="0"/>
  </r>
  <r>
    <x v="0"/>
    <s v="Amazon TNF 2024 2025"/>
    <s v="Billing Request- 00103129"/>
    <x v="9"/>
    <d v="2025-05-06T00:00:00"/>
    <d v="2025-06-10T00:00:00"/>
    <x v="0"/>
    <s v="a6Jat7281373"/>
    <x v="2"/>
    <s v="Jul"/>
    <s v="Late media plan changes from client."/>
    <n v="35"/>
    <x v="1"/>
    <x v="4"/>
    <x v="4"/>
    <x v="0"/>
  </r>
  <r>
    <x v="0"/>
    <s v="NWSL Halftime Sponsorship 2026"/>
    <s v="Billing Request- 00103130"/>
    <x v="5"/>
    <d v="2026-03-29T00:00:00"/>
    <d v="2026-04-21T00:00:00"/>
    <x v="0"/>
    <s v="a6JXt8039553"/>
    <x v="4"/>
    <s v="Jul"/>
    <s v="Invoice details mismatch with approved campaign."/>
    <n v="23"/>
    <x v="3"/>
    <x v="2"/>
    <x v="1"/>
    <x v="1"/>
  </r>
  <r>
    <x v="0"/>
    <s v="NASCAR Apex 2025 2025"/>
    <s v="Billing Request- 00103131"/>
    <x v="7"/>
    <d v="2025-05-26T00:00:00"/>
    <d v="2025-07-01T00:00:00"/>
    <x v="0"/>
    <s v="a6JXt6141927"/>
    <x v="3"/>
    <s v="Oct"/>
    <s v="Agency submitted updated invoice mapping."/>
    <n v="36"/>
    <x v="1"/>
    <x v="4"/>
    <x v="0"/>
    <x v="0"/>
  </r>
  <r>
    <x v="0"/>
    <s v="Global Consumer Products 2026"/>
    <s v="Billing Request- 00103133"/>
    <x v="7"/>
    <d v="2026-01-21T00:00:00"/>
    <d v="2026-04-12T00:00:00"/>
    <x v="0"/>
    <s v="a6JHn7351273"/>
    <x v="5"/>
    <s v="Apr"/>
    <s v="Invoice details mismatch with approved campaign."/>
    <n v="81"/>
    <x v="0"/>
    <x v="7"/>
    <x v="3"/>
    <x v="1"/>
  </r>
  <r>
    <x v="0"/>
    <s v="TNF Sponsorship 2025"/>
    <s v="Billing Request- 00103136"/>
    <x v="1"/>
    <d v="2025-11-27T00:00:00"/>
    <d v="2026-02-08T00:00:00"/>
    <x v="2"/>
    <s v="a6JHn6303016"/>
    <x v="3"/>
    <s v="Dec"/>
    <s v="Incorrect legal terms delayed PTS."/>
    <n v="73"/>
    <x v="0"/>
    <x v="15"/>
    <x v="4"/>
    <x v="0"/>
  </r>
  <r>
    <x v="3"/>
    <s v="NWSL Halftime Sponsorship 2026"/>
    <s v="Billing Request- 00103137"/>
    <x v="8"/>
    <d v="2026-02-26T00:00:00"/>
    <d v="2026-05-07T00:00:00"/>
    <x v="0"/>
    <s v="a6Jat6697615"/>
    <x v="1"/>
    <s v="Nov; Dec"/>
    <s v="Agency submitted updated invoice mapping."/>
    <n v="70"/>
    <x v="0"/>
    <x v="1"/>
    <x v="1"/>
    <x v="1"/>
  </r>
  <r>
    <x v="0"/>
    <s v="TNF Sponsorship 2025"/>
    <s v="Billing Request- 00103139"/>
    <x v="1"/>
    <d v="2025-01-25T00:00:00"/>
    <d v="2025-05-10T00:00:00"/>
    <x v="2"/>
    <s v="a6JHn7530639"/>
    <x v="2"/>
    <s v="Jan"/>
    <s v="Missing supporting documentation from vendor."/>
    <n v="105"/>
    <x v="0"/>
    <x v="0"/>
    <x v="4"/>
    <x v="0"/>
  </r>
  <r>
    <x v="0"/>
    <s v="NWSL Prime Video 2026"/>
    <s v="Billing Request- 00103140"/>
    <x v="3"/>
    <d v="2026-04-16T00:00:00"/>
    <d v="2026-05-04T00:00:00"/>
    <x v="0"/>
    <s v="a6Jat2071418"/>
    <x v="0"/>
    <s v="Feb"/>
    <s v="Missing supporting documentation from vendor."/>
    <n v="18"/>
    <x v="3"/>
    <x v="10"/>
    <x v="1"/>
    <x v="1"/>
  </r>
  <r>
    <x v="0"/>
    <s v="NASCAR Apex 2025 2025"/>
    <s v="Billing Request- 00103141"/>
    <x v="5"/>
    <d v="2025-08-06T00:00:00"/>
    <d v="2025-08-16T00:00:00"/>
    <x v="2"/>
    <s v="a6Jat2803233"/>
    <x v="3"/>
    <s v="Jan"/>
    <s v="Agency submitted updated invoice mapping."/>
    <n v="10"/>
    <x v="4"/>
    <x v="8"/>
    <x v="0"/>
    <x v="0"/>
  </r>
  <r>
    <x v="0"/>
    <s v="NWSL Halftime Sponsorship 2025"/>
    <s v="Billing Request- 00103142"/>
    <x v="8"/>
    <d v="2025-04-08T00:00:00"/>
    <d v="2025-04-19T00:00:00"/>
    <x v="2"/>
    <s v="a6Jat4141473"/>
    <x v="4"/>
    <s v="Nov; Dec"/>
    <s v=""/>
    <n v="11"/>
    <x v="4"/>
    <x v="3"/>
    <x v="1"/>
    <x v="0"/>
  </r>
  <r>
    <x v="2"/>
    <s v="WNBA Incremental Scatter 2025"/>
    <s v="Billing Request- 00103143"/>
    <x v="2"/>
    <d v="2025-09-19T00:00:00"/>
    <d v="2025-10-19T00:00:00"/>
    <x v="2"/>
    <s v="a6JHn2341310"/>
    <x v="2"/>
    <s v="Nov; Dec"/>
    <s v="Late media plan changes from client."/>
    <n v="30"/>
    <x v="3"/>
    <x v="14"/>
    <x v="2"/>
    <x v="0"/>
  </r>
  <r>
    <x v="4"/>
    <s v="TNF Sponsorship 2026"/>
    <s v="Billing Request- 00103145"/>
    <x v="8"/>
    <d v="2026-01-18T00:00:00"/>
    <d v="2026-02-24T00:00:00"/>
    <x v="2"/>
    <s v="a6JHn1232204"/>
    <x v="4"/>
    <s v="Jul; Aug"/>
    <s v="Agency submitted updated invoice mapping."/>
    <n v="37"/>
    <x v="1"/>
    <x v="7"/>
    <x v="4"/>
    <x v="1"/>
  </r>
  <r>
    <x v="0"/>
    <s v="NWSL Prime Video 2025"/>
    <s v="Billing Request- 00103147"/>
    <x v="5"/>
    <d v="2025-06-15T00:00:00"/>
    <d v="2025-09-08T00:00:00"/>
    <x v="0"/>
    <s v="a6JHn9453083"/>
    <x v="5"/>
    <s v="Aug"/>
    <s v="Client requested retroactive billing adjustments."/>
    <n v="85"/>
    <x v="0"/>
    <x v="9"/>
    <x v="1"/>
    <x v="0"/>
  </r>
  <r>
    <x v="0"/>
    <s v="Streaming Bundle Initiative 2025"/>
    <s v="Billing Request- 00103148"/>
    <x v="9"/>
    <d v="2025-09-13T00:00:00"/>
    <d v="2025-11-14T00:00:00"/>
    <x v="2"/>
    <s v="a6JXt4506027"/>
    <x v="0"/>
    <s v="Mar; Apr"/>
    <s v="Client requested retroactive billing adjustments."/>
    <n v="62"/>
    <x v="0"/>
    <x v="14"/>
    <x v="3"/>
    <x v="0"/>
  </r>
  <r>
    <x v="0"/>
    <s v="TNF Sponsorship 2025"/>
    <s v="Billing Request- 00103149"/>
    <x v="1"/>
    <d v="2025-11-17T00:00:00"/>
    <d v="2025-11-30T00:00:00"/>
    <x v="2"/>
    <s v="a6JXt9983954"/>
    <x v="3"/>
    <s v="Jan"/>
    <s v="Late media plan changes from client."/>
    <n v="13"/>
    <x v="4"/>
    <x v="15"/>
    <x v="4"/>
    <x v="0"/>
  </r>
  <r>
    <x v="1"/>
    <s v="NBA League Pass 2026"/>
    <s v="Billing Request- 00103150"/>
    <x v="3"/>
    <d v="2026-02-28T00:00:00"/>
    <d v="2026-05-09T00:00:00"/>
    <x v="2"/>
    <s v="a6Jat3237541"/>
    <x v="3"/>
    <s v="Nov; Dec"/>
    <s v="Missing supporting documentation from vendor."/>
    <n v="70"/>
    <x v="0"/>
    <x v="1"/>
    <x v="2"/>
    <x v="1"/>
  </r>
  <r>
    <x v="0"/>
    <s v="Prime Sports NFL 2025"/>
    <s v="Billing Request- 00103151"/>
    <x v="4"/>
    <d v="2025-07-16T00:00:00"/>
    <d v="2025-09-09T00:00:00"/>
    <x v="2"/>
    <s v="a6JHn7590020"/>
    <x v="0"/>
    <s v="Nov"/>
    <s v="Incorrect legal terms delayed PTS."/>
    <n v="55"/>
    <x v="1"/>
    <x v="12"/>
    <x v="3"/>
    <x v="0"/>
  </r>
  <r>
    <x v="0"/>
    <s v="TNF Sponsorship 2026"/>
    <s v="Billing Request- 00103152"/>
    <x v="2"/>
    <d v="2026-01-23T00:00:00"/>
    <d v="2026-01-31T00:00:00"/>
    <x v="2"/>
    <s v="a6Jat7370134"/>
    <x v="1"/>
    <s v="Oct"/>
    <s v="Incorrect legal terms delayed PTS."/>
    <n v="8"/>
    <x v="4"/>
    <x v="7"/>
    <x v="4"/>
    <x v="1"/>
  </r>
  <r>
    <x v="0"/>
    <s v="NASCAR Apex 2025 2025"/>
    <s v="Billing Request- 00103153"/>
    <x v="6"/>
    <d v="2025-03-08T00:00:00"/>
    <d v="2025-06-26T00:00:00"/>
    <x v="2"/>
    <s v="a6JHn4928098"/>
    <x v="0"/>
    <s v="Dec"/>
    <s v="Manual billing entry issue."/>
    <n v="110"/>
    <x v="0"/>
    <x v="13"/>
    <x v="0"/>
    <x v="0"/>
  </r>
  <r>
    <x v="0"/>
    <s v="Amazon NBA Live Sports 2025"/>
    <s v="Billing Request- 00103154"/>
    <x v="4"/>
    <d v="2025-05-22T00:00:00"/>
    <d v="2025-08-13T00:00:00"/>
    <x v="0"/>
    <s v="a6JXt6550773"/>
    <x v="1"/>
    <s v="May; Jun"/>
    <s v="Missing supporting documentation from vendor."/>
    <n v="83"/>
    <x v="0"/>
    <x v="4"/>
    <x v="2"/>
    <x v="0"/>
  </r>
  <r>
    <x v="0"/>
    <s v="NWSL Halftime Sponsorship 2026"/>
    <s v="Billing Request- 00103155"/>
    <x v="5"/>
    <d v="2026-04-03T00:00:00"/>
    <d v="2026-05-07T00:00:00"/>
    <x v="0"/>
    <s v="a6JXt6915978"/>
    <x v="3"/>
    <s v="Mar"/>
    <s v="Agency submitted updated invoice mapping."/>
    <n v="34"/>
    <x v="1"/>
    <x v="10"/>
    <x v="1"/>
    <x v="1"/>
  </r>
  <r>
    <x v="0"/>
    <s v="Retail Media Expansion 2026"/>
    <s v="Billing Request- 00103157"/>
    <x v="5"/>
    <d v="2026-02-10T00:00:00"/>
    <d v="2026-05-06T00:00:00"/>
    <x v="2"/>
    <s v="a6JHn6498821"/>
    <x v="4"/>
    <s v="Jan; Feb"/>
    <s v="Finance validation process delay."/>
    <n v="85"/>
    <x v="0"/>
    <x v="1"/>
    <x v="3"/>
    <x v="1"/>
  </r>
  <r>
    <x v="0"/>
    <s v="Global Consumer Products 2026"/>
    <s v="Billing Request- 00103160"/>
    <x v="9"/>
    <d v="2026-02-26T00:00:00"/>
    <d v="2026-05-04T00:00:00"/>
    <x v="1"/>
    <s v="a6JXt9087865"/>
    <x v="2"/>
    <s v="Aug"/>
    <s v="Invoice details mismatch with approved campaign."/>
    <n v="67"/>
    <x v="0"/>
    <x v="1"/>
    <x v="3"/>
    <x v="1"/>
  </r>
  <r>
    <x v="4"/>
    <s v="NWSL Halftime Sponsorship 2025"/>
    <s v="Billing Request- 00103164"/>
    <x v="7"/>
    <d v="2025-11-10T00:00:00"/>
    <d v="2025-11-19T00:00:00"/>
    <x v="0"/>
    <s v="a6Jat5113922"/>
    <x v="1"/>
    <s v="Aug"/>
    <s v="Client requested retroactive billing adjustments."/>
    <n v="9"/>
    <x v="4"/>
    <x v="15"/>
    <x v="1"/>
    <x v="0"/>
  </r>
  <r>
    <x v="0"/>
    <s v="NASCAR P&amp;Q 2025"/>
    <s v="Billing Request- 00103165"/>
    <x v="4"/>
    <d v="2025-07-11T00:00:00"/>
    <d v="2025-08-18T00:00:00"/>
    <x v="2"/>
    <s v="a6JHn8212278"/>
    <x v="2"/>
    <s v="Jun"/>
    <s v="Client requested retroactive billing adjustments."/>
    <n v="38"/>
    <x v="1"/>
    <x v="12"/>
    <x v="0"/>
    <x v="0"/>
  </r>
  <r>
    <x v="3"/>
    <s v="Amazon NBA Live Sports 2025"/>
    <s v="Billing Request- 00103166"/>
    <x v="1"/>
    <d v="2025-04-12T00:00:00"/>
    <d v="2025-04-24T00:00:00"/>
    <x v="2"/>
    <s v="a6JXt3656601"/>
    <x v="6"/>
    <s v="Aug"/>
    <s v="Missing supporting documentation from vendor."/>
    <n v="12"/>
    <x v="4"/>
    <x v="3"/>
    <x v="2"/>
    <x v="0"/>
  </r>
  <r>
    <x v="0"/>
    <s v="NWSL Prime Video 2025"/>
    <s v="Billing Request- 00103167"/>
    <x v="9"/>
    <d v="2025-07-31T00:00:00"/>
    <d v="2025-10-03T00:00:00"/>
    <x v="0"/>
    <s v="a6JHn8652763"/>
    <x v="3"/>
    <s v="Dec"/>
    <s v="Invoice details mismatch with approved campaign."/>
    <n v="64"/>
    <x v="0"/>
    <x v="12"/>
    <x v="1"/>
    <x v="0"/>
  </r>
  <r>
    <x v="0"/>
    <s v="NFL Prime Video 2025"/>
    <s v="Billing Request- 00103170"/>
    <x v="3"/>
    <d v="2025-04-07T00:00:00"/>
    <d v="2025-06-30T00:00:00"/>
    <x v="0"/>
    <s v="a6Jat6223184"/>
    <x v="3"/>
    <s v="Nov"/>
    <s v="Client requested retroactive billing adjustments."/>
    <n v="84"/>
    <x v="0"/>
    <x v="3"/>
    <x v="3"/>
    <x v="0"/>
  </r>
  <r>
    <x v="0"/>
    <s v="NASCAR P&amp;Q 2025"/>
    <s v="Billing Request- 00103171"/>
    <x v="9"/>
    <d v="2025-03-15T00:00:00"/>
    <d v="2025-05-03T00:00:00"/>
    <x v="0"/>
    <s v="a6JHn1238332"/>
    <x v="0"/>
    <s v="Oct"/>
    <s v="Incorrect legal terms delayed PTS."/>
    <n v="49"/>
    <x v="1"/>
    <x v="13"/>
    <x v="0"/>
    <x v="0"/>
  </r>
  <r>
    <x v="4"/>
    <s v="NASCAR Apex 2025 2025"/>
    <s v="Billing Request- 00103172"/>
    <x v="9"/>
    <d v="2025-03-05T00:00:00"/>
    <d v="2025-06-09T00:00:00"/>
    <x v="2"/>
    <s v="a6Jat2801242"/>
    <x v="3"/>
    <s v="Nov; Dec"/>
    <s v="Manual billing entry issue."/>
    <n v="96"/>
    <x v="0"/>
    <x v="13"/>
    <x v="0"/>
    <x v="0"/>
  </r>
  <r>
    <x v="0"/>
    <s v="Amazon NBA Live Sports 2025"/>
    <s v="Billing Request- 00103173"/>
    <x v="7"/>
    <d v="2025-05-11T00:00:00"/>
    <d v="2025-08-04T00:00:00"/>
    <x v="0"/>
    <s v="a6JXt8610341"/>
    <x v="6"/>
    <s v="Jun"/>
    <s v="Late media plan changes from client."/>
    <n v="85"/>
    <x v="0"/>
    <x v="4"/>
    <x v="2"/>
    <x v="0"/>
  </r>
  <r>
    <x v="0"/>
    <s v="DirecTV NASCAR Campaign 2025"/>
    <s v="Billing Request- 00103175"/>
    <x v="0"/>
    <d v="2025-02-27T00:00:00"/>
    <d v="2025-03-20T00:00:00"/>
    <x v="2"/>
    <s v="a6JXt2419895"/>
    <x v="2"/>
    <s v="Oct"/>
    <s v="Invoice details mismatch with approved campaign."/>
    <n v="21"/>
    <x v="3"/>
    <x v="6"/>
    <x v="0"/>
    <x v="0"/>
  </r>
  <r>
    <x v="0"/>
    <s v="DirecTV NASCAR Campaign 2026"/>
    <s v="Billing Request- 00103176"/>
    <x v="6"/>
    <d v="2026-04-09T00:00:00"/>
    <d v="2026-05-04T00:00:00"/>
    <x v="0"/>
    <s v="a6JXt5635519"/>
    <x v="1"/>
    <s v="Jan; Feb"/>
    <s v="Late media plan changes from client."/>
    <n v="25"/>
    <x v="3"/>
    <x v="10"/>
    <x v="0"/>
    <x v="1"/>
  </r>
  <r>
    <x v="4"/>
    <s v="NBA Playoffs Campaign 2026"/>
    <s v="Billing Request- 00103177"/>
    <x v="6"/>
    <d v="2026-04-21T00:00:00"/>
    <d v="2026-05-07T00:00:00"/>
    <x v="2"/>
    <s v="a6JHn2217192"/>
    <x v="4"/>
    <s v="Oct"/>
    <s v="Agency submitted updated invoice mapping."/>
    <n v="16"/>
    <x v="3"/>
    <x v="10"/>
    <x v="2"/>
    <x v="1"/>
  </r>
  <r>
    <x v="0"/>
    <s v="NASCAR Apex 2025 2026"/>
    <s v="Billing Request- 00103178"/>
    <x v="0"/>
    <d v="2026-04-07T00:00:00"/>
    <d v="2026-05-05T00:00:00"/>
    <x v="0"/>
    <s v="a6Jat9423948"/>
    <x v="0"/>
    <s v="Jul; Aug"/>
    <s v="Invoice details mismatch with approved campaign."/>
    <n v="28"/>
    <x v="3"/>
    <x v="10"/>
    <x v="0"/>
    <x v="1"/>
  </r>
  <r>
    <x v="0"/>
    <s v="NASCAR Apex 2025 2026"/>
    <s v="Billing Request- 00103179"/>
    <x v="9"/>
    <d v="2026-02-01T00:00:00"/>
    <d v="2026-05-04T00:00:00"/>
    <x v="2"/>
    <s v="a6JXt4833760"/>
    <x v="0"/>
    <s v="May"/>
    <s v="Invoice details mismatch with approved campaign."/>
    <n v="92"/>
    <x v="0"/>
    <x v="1"/>
    <x v="0"/>
    <x v="1"/>
  </r>
  <r>
    <x v="4"/>
    <s v="Amazon TNF 2024 2026"/>
    <s v="Billing Request- 00103180"/>
    <x v="8"/>
    <d v="2026-02-02T00:00:00"/>
    <d v="2026-05-05T00:00:00"/>
    <x v="2"/>
    <s v="a6Jat8741447"/>
    <x v="2"/>
    <s v="Feb"/>
    <s v="Finance validation process delay."/>
    <n v="92"/>
    <x v="0"/>
    <x v="1"/>
    <x v="4"/>
    <x v="1"/>
  </r>
  <r>
    <x v="0"/>
    <s v="NASCAR Apex 2025 2026"/>
    <s v="Billing Request- 00103182"/>
    <x v="2"/>
    <d v="2026-01-23T00:00:00"/>
    <d v="2026-03-14T00:00:00"/>
    <x v="0"/>
    <s v="a6JHn6793356"/>
    <x v="2"/>
    <s v="Jun"/>
    <s v=""/>
    <n v="50"/>
    <x v="1"/>
    <x v="7"/>
    <x v="0"/>
    <x v="1"/>
  </r>
  <r>
    <x v="0"/>
    <s v="NBA Playoffs Campaign 2025"/>
    <s v="Billing Request- 00103183"/>
    <x v="6"/>
    <d v="2025-12-08T00:00:00"/>
    <d v="2026-03-30T00:00:00"/>
    <x v="0"/>
    <s v="a6JHn9424230"/>
    <x v="6"/>
    <s v="Dec"/>
    <s v="Client requested retroactive billing adjustments."/>
    <n v="112"/>
    <x v="0"/>
    <x v="11"/>
    <x v="2"/>
    <x v="0"/>
  </r>
  <r>
    <x v="0"/>
    <s v="Confluence Academy 2025"/>
    <s v="Billing Request- 00103184"/>
    <x v="6"/>
    <d v="2025-07-20T00:00:00"/>
    <d v="2025-09-25T00:00:00"/>
    <x v="0"/>
    <s v="a6Jat6454293"/>
    <x v="1"/>
    <s v="Mar; Apr"/>
    <s v="Missing supporting documentation from vendor."/>
    <n v="67"/>
    <x v="0"/>
    <x v="12"/>
    <x v="3"/>
    <x v="0"/>
  </r>
  <r>
    <x v="0"/>
    <s v="Prime Sports NFL 2025"/>
    <s v="Billing Request- 00103186"/>
    <x v="0"/>
    <d v="2025-07-09T00:00:00"/>
    <d v="2025-08-19T00:00:00"/>
    <x v="0"/>
    <s v="a6Jat4473726"/>
    <x v="3"/>
    <s v="Mar; Apr"/>
    <s v="Manual billing entry issue."/>
    <n v="41"/>
    <x v="1"/>
    <x v="12"/>
    <x v="3"/>
    <x v="0"/>
  </r>
  <r>
    <x v="0"/>
    <s v="NWSL Prime Video 2026"/>
    <s v="Billing Request- 00103188"/>
    <x v="3"/>
    <d v="2026-04-20T00:00:00"/>
    <d v="2026-05-05T00:00:00"/>
    <x v="0"/>
    <s v="a6JHn9155137"/>
    <x v="3"/>
    <s v="Sep; Oct"/>
    <s v="Finance validation process delay."/>
    <n v="15"/>
    <x v="3"/>
    <x v="10"/>
    <x v="1"/>
    <x v="1"/>
  </r>
  <r>
    <x v="0"/>
    <s v="Streaming Bundle Initiative 2025"/>
    <s v="Billing Request- 00103189"/>
    <x v="4"/>
    <d v="2025-09-17T00:00:00"/>
    <d v="2025-12-07T00:00:00"/>
    <x v="2"/>
    <s v="a6JHn4765929"/>
    <x v="3"/>
    <s v="Jun"/>
    <s v="Finance validation process delay."/>
    <n v="81"/>
    <x v="0"/>
    <x v="14"/>
    <x v="3"/>
    <x v="0"/>
  </r>
  <r>
    <x v="0"/>
    <s v="Amazon NBA Live Sports 2025"/>
    <s v="Billing Request- 00103190"/>
    <x v="6"/>
    <d v="2025-05-14T00:00:00"/>
    <d v="2025-08-13T00:00:00"/>
    <x v="0"/>
    <s v="a6Jat4027128"/>
    <x v="1"/>
    <s v="Mar"/>
    <s v="Missing supporting documentation from vendor."/>
    <n v="91"/>
    <x v="0"/>
    <x v="4"/>
    <x v="2"/>
    <x v="0"/>
  </r>
  <r>
    <x v="0"/>
    <s v="Streaming Bundle Initiative 2026"/>
    <s v="Billing Request- 00103192"/>
    <x v="3"/>
    <d v="2026-01-24T00:00:00"/>
    <d v="2026-04-08T00:00:00"/>
    <x v="1"/>
    <s v="a6JXt1284865"/>
    <x v="3"/>
    <s v="Dec"/>
    <s v="Manual billing entry issue."/>
    <n v="74"/>
    <x v="0"/>
    <x v="7"/>
    <x v="3"/>
    <x v="1"/>
  </r>
  <r>
    <x v="0"/>
    <s v="NBA Playoffs Campaign 2026"/>
    <s v="Billing Request- 00103193"/>
    <x v="8"/>
    <d v="2026-01-02T00:00:00"/>
    <d v="2026-02-25T00:00:00"/>
    <x v="2"/>
    <s v="a6JHn7999097"/>
    <x v="4"/>
    <s v="Dec"/>
    <s v="Finance validation process delay."/>
    <n v="54"/>
    <x v="1"/>
    <x v="7"/>
    <x v="2"/>
    <x v="1"/>
  </r>
  <r>
    <x v="0"/>
    <s v="NASCAR P&amp;Q 2025"/>
    <s v="Billing Request- 00103194"/>
    <x v="2"/>
    <d v="2025-07-20T00:00:00"/>
    <d v="2025-10-08T00:00:00"/>
    <x v="2"/>
    <s v="a6Jat1031325"/>
    <x v="6"/>
    <s v="Feb"/>
    <s v="Manual billing entry issue."/>
    <n v="80"/>
    <x v="0"/>
    <x v="12"/>
    <x v="0"/>
    <x v="0"/>
  </r>
  <r>
    <x v="0"/>
    <s v="WNBA Incremental Scatter 2026"/>
    <s v="Billing Request- 00103195"/>
    <x v="8"/>
    <d v="2026-02-10T00:00:00"/>
    <d v="2026-04-12T00:00:00"/>
    <x v="2"/>
    <s v="a6JXt3921160"/>
    <x v="3"/>
    <s v="Jan; Feb"/>
    <s v="Manual billing entry issue."/>
    <n v="61"/>
    <x v="0"/>
    <x v="1"/>
    <x v="2"/>
    <x v="1"/>
  </r>
  <r>
    <x v="4"/>
    <s v="NBA League Pass 2025"/>
    <s v="Billing Request- 00103196"/>
    <x v="5"/>
    <d v="2025-06-16T00:00:00"/>
    <d v="2025-07-03T00:00:00"/>
    <x v="2"/>
    <s v="a6JXt9637783"/>
    <x v="6"/>
    <s v="Aug"/>
    <s v=""/>
    <n v="17"/>
    <x v="3"/>
    <x v="9"/>
    <x v="2"/>
    <x v="0"/>
  </r>
  <r>
    <x v="0"/>
    <s v="WNBA Incremental Scatter 2025"/>
    <s v="Billing Request- 00103198"/>
    <x v="9"/>
    <d v="2025-02-18T00:00:00"/>
    <d v="2025-05-13T00:00:00"/>
    <x v="0"/>
    <s v="a6Jat4508080"/>
    <x v="0"/>
    <s v="Jan; Feb"/>
    <s v="Missing supporting documentation from vendor."/>
    <n v="84"/>
    <x v="0"/>
    <x v="6"/>
    <x v="2"/>
    <x v="0"/>
  </r>
  <r>
    <x v="0"/>
    <s v="WNBA Incremental Scatter 2025"/>
    <s v="Billing Request- 00103201"/>
    <x v="5"/>
    <d v="2025-06-26T00:00:00"/>
    <d v="2025-09-16T00:00:00"/>
    <x v="2"/>
    <s v="a6JHn6753744"/>
    <x v="1"/>
    <s v="May; Jun"/>
    <s v="Invoice details mismatch with approved campaign."/>
    <n v="82"/>
    <x v="0"/>
    <x v="9"/>
    <x v="2"/>
    <x v="0"/>
  </r>
  <r>
    <x v="4"/>
    <s v="NASCAR P&amp;Q 2025"/>
    <s v="Billing Request- 00103202"/>
    <x v="4"/>
    <d v="2025-02-20T00:00:00"/>
    <d v="2025-05-06T00:00:00"/>
    <x v="0"/>
    <s v="a6JXt5186332"/>
    <x v="3"/>
    <s v="Jan; Feb"/>
    <s v=""/>
    <n v="75"/>
    <x v="0"/>
    <x v="6"/>
    <x v="0"/>
    <x v="0"/>
  </r>
  <r>
    <x v="0"/>
    <s v="NFL Prime Video 2025"/>
    <s v="Billing Request- 00103203"/>
    <x v="2"/>
    <d v="2025-02-01T00:00:00"/>
    <d v="2025-04-01T00:00:00"/>
    <x v="0"/>
    <s v="a6JHn3546156"/>
    <x v="1"/>
    <s v="Oct"/>
    <s v=""/>
    <n v="59"/>
    <x v="1"/>
    <x v="6"/>
    <x v="3"/>
    <x v="0"/>
  </r>
  <r>
    <x v="0"/>
    <s v="NBA Playoffs Campaign 2025"/>
    <s v="Billing Request- 00103204"/>
    <x v="6"/>
    <d v="2025-09-14T00:00:00"/>
    <d v="2025-10-30T00:00:00"/>
    <x v="0"/>
    <s v="a6Jat2238779"/>
    <x v="6"/>
    <s v="Sep"/>
    <s v="Finance validation process delay."/>
    <n v="46"/>
    <x v="1"/>
    <x v="14"/>
    <x v="2"/>
    <x v="0"/>
  </r>
  <r>
    <x v="0"/>
    <s v="Confluence Academy 2025"/>
    <s v="Billing Request- 00103205"/>
    <x v="8"/>
    <d v="2025-07-31T00:00:00"/>
    <d v="2025-09-04T00:00:00"/>
    <x v="0"/>
    <s v="a6JHn6906398"/>
    <x v="0"/>
    <s v="Dec"/>
    <s v="Agency submitted updated invoice mapping."/>
    <n v="35"/>
    <x v="1"/>
    <x v="12"/>
    <x v="3"/>
    <x v="0"/>
  </r>
  <r>
    <x v="4"/>
    <s v="NWSL Halftime Sponsorship 2025"/>
    <s v="Billing Request- 00103206"/>
    <x v="0"/>
    <d v="2025-03-27T00:00:00"/>
    <d v="2025-04-14T00:00:00"/>
    <x v="0"/>
    <s v="a6JXt5511285"/>
    <x v="2"/>
    <s v="Jan"/>
    <s v="Agency submitted updated invoice mapping."/>
    <n v="18"/>
    <x v="3"/>
    <x v="13"/>
    <x v="1"/>
    <x v="0"/>
  </r>
  <r>
    <x v="0"/>
    <s v="DirecTV NASCAR Campaign 2025"/>
    <s v="Billing Request- 00103207"/>
    <x v="6"/>
    <d v="2025-10-15T00:00:00"/>
    <d v="2026-02-02T00:00:00"/>
    <x v="2"/>
    <s v="a6JXt5295390"/>
    <x v="0"/>
    <s v="Jul; Aug"/>
    <s v="Missing supporting documentation from vendor."/>
    <n v="110"/>
    <x v="0"/>
    <x v="5"/>
    <x v="0"/>
    <x v="0"/>
  </r>
  <r>
    <x v="0"/>
    <s v="Amazon NBA Live Sports 2026"/>
    <s v="Billing Request- 00103208"/>
    <x v="0"/>
    <d v="2026-01-20T00:00:00"/>
    <d v="2026-04-23T00:00:00"/>
    <x v="2"/>
    <s v="a6JXt1569792"/>
    <x v="1"/>
    <s v="Mar"/>
    <s v="Invoice details mismatch with approved campaign."/>
    <n v="93"/>
    <x v="0"/>
    <x v="7"/>
    <x v="2"/>
    <x v="1"/>
  </r>
  <r>
    <x v="0"/>
    <s v="NWSL Halftime Sponsorship 2025"/>
    <s v="Billing Request- 00103209"/>
    <x v="0"/>
    <d v="2025-07-24T00:00:00"/>
    <d v="2025-10-28T00:00:00"/>
    <x v="2"/>
    <s v="a6JXt7116865"/>
    <x v="1"/>
    <s v="Jul"/>
    <s v="Missing supporting documentation from vendor."/>
    <n v="96"/>
    <x v="0"/>
    <x v="12"/>
    <x v="1"/>
    <x v="0"/>
  </r>
  <r>
    <x v="0"/>
    <s v="NASCAR P&amp;Q 2026"/>
    <s v="Billing Request- 00103210"/>
    <x v="1"/>
    <d v="2026-01-30T00:00:00"/>
    <d v="2026-04-15T00:00:00"/>
    <x v="2"/>
    <s v="a6JHn7423351"/>
    <x v="5"/>
    <s v="Nov"/>
    <s v="Manual billing entry issue."/>
    <n v="75"/>
    <x v="0"/>
    <x v="7"/>
    <x v="0"/>
    <x v="1"/>
  </r>
  <r>
    <x v="1"/>
    <s v="NWSL Halftime Sponsorship 2025"/>
    <s v="Billing Request- 00103211"/>
    <x v="4"/>
    <d v="2025-12-28T00:00:00"/>
    <d v="2026-03-06T00:00:00"/>
    <x v="2"/>
    <s v="a6Jat3346371"/>
    <x v="1"/>
    <s v="Aug"/>
    <s v="Manual billing entry issue."/>
    <n v="68"/>
    <x v="0"/>
    <x v="11"/>
    <x v="1"/>
    <x v="0"/>
  </r>
  <r>
    <x v="0"/>
    <s v="NFL Prime Video 2025"/>
    <s v="Billing Request- 00103212"/>
    <x v="9"/>
    <d v="2025-10-09T00:00:00"/>
    <d v="2025-10-22T00:00:00"/>
    <x v="0"/>
    <s v="a6JXt8162586"/>
    <x v="1"/>
    <s v="Jul; Aug"/>
    <s v="Missing supporting documentation from vendor."/>
    <n v="13"/>
    <x v="4"/>
    <x v="5"/>
    <x v="3"/>
    <x v="0"/>
  </r>
  <r>
    <x v="0"/>
    <s v="Amazon NBA Live Sports 2026"/>
    <s v="Billing Request- 00103213"/>
    <x v="9"/>
    <d v="2026-04-24T00:00:00"/>
    <d v="2026-05-09T00:00:00"/>
    <x v="0"/>
    <s v="a6JXt4754552"/>
    <x v="3"/>
    <s v="Mar; Apr"/>
    <s v="Finance validation process delay."/>
    <n v="15"/>
    <x v="3"/>
    <x v="10"/>
    <x v="2"/>
    <x v="1"/>
  </r>
  <r>
    <x v="4"/>
    <s v="NASCAR Apex 2025 2025"/>
    <s v="Billing Request- 00103215"/>
    <x v="9"/>
    <d v="2025-01-18T00:00:00"/>
    <d v="2025-02-28T00:00:00"/>
    <x v="2"/>
    <s v="a6Jat2273300"/>
    <x v="3"/>
    <s v="Jan"/>
    <s v="Invoice details mismatch with approved campaign."/>
    <n v="41"/>
    <x v="1"/>
    <x v="0"/>
    <x v="0"/>
    <x v="0"/>
  </r>
  <r>
    <x v="0"/>
    <s v="NBA League Pass 2025"/>
    <s v="Billing Request- 00103217"/>
    <x v="9"/>
    <d v="2025-01-30T00:00:00"/>
    <d v="2025-05-19T00:00:00"/>
    <x v="2"/>
    <s v="a6JXt3954424"/>
    <x v="1"/>
    <s v="Mar; Apr"/>
    <s v="Agency submitted updated invoice mapping."/>
    <n v="109"/>
    <x v="0"/>
    <x v="0"/>
    <x v="2"/>
    <x v="0"/>
  </r>
  <r>
    <x v="0"/>
    <s v="Confluence Academy 2025"/>
    <s v="Billing Request- 00103218"/>
    <x v="2"/>
    <d v="2025-09-11T00:00:00"/>
    <d v="2025-12-20T00:00:00"/>
    <x v="2"/>
    <s v="a6JXt1868201"/>
    <x v="6"/>
    <s v="Mar"/>
    <s v="Late media plan changes from client."/>
    <n v="100"/>
    <x v="0"/>
    <x v="14"/>
    <x v="3"/>
    <x v="0"/>
  </r>
  <r>
    <x v="0"/>
    <s v="NWSL Halftime Sponsorship 2025"/>
    <s v="Billing Request- 00103219"/>
    <x v="4"/>
    <d v="2025-06-11T00:00:00"/>
    <d v="2025-08-28T00:00:00"/>
    <x v="2"/>
    <s v="a6JXt1932739"/>
    <x v="0"/>
    <s v="Jul"/>
    <s v=""/>
    <n v="78"/>
    <x v="0"/>
    <x v="9"/>
    <x v="1"/>
    <x v="0"/>
  </r>
  <r>
    <x v="3"/>
    <s v="NWSL Prime Video 2025"/>
    <s v="Billing Request- 00103220"/>
    <x v="8"/>
    <d v="2025-06-13T00:00:00"/>
    <d v="2025-07-16T00:00:00"/>
    <x v="0"/>
    <s v="a6JXt6184666"/>
    <x v="3"/>
    <s v="Aug"/>
    <s v="Missing supporting documentation from vendor."/>
    <n v="33"/>
    <x v="1"/>
    <x v="9"/>
    <x v="1"/>
    <x v="0"/>
  </r>
  <r>
    <x v="0"/>
    <s v="TNF Sponsorship 2026"/>
    <s v="Billing Request- 00103221"/>
    <x v="0"/>
    <d v="2026-03-01T00:00:00"/>
    <d v="2026-05-05T00:00:00"/>
    <x v="2"/>
    <s v="a6JXt6334431"/>
    <x v="0"/>
    <s v="Jul; Aug"/>
    <s v="Incorrect legal terms delayed PTS."/>
    <n v="65"/>
    <x v="0"/>
    <x v="2"/>
    <x v="4"/>
    <x v="1"/>
  </r>
  <r>
    <x v="0"/>
    <s v="WNBA Incremental Scatter 2025"/>
    <s v="Billing Request- 00103222"/>
    <x v="5"/>
    <d v="2025-03-15T00:00:00"/>
    <d v="2025-03-29T00:00:00"/>
    <x v="2"/>
    <s v="a6JXt5246633"/>
    <x v="3"/>
    <s v="Mar"/>
    <s v="Incorrect legal terms delayed PTS."/>
    <n v="14"/>
    <x v="4"/>
    <x v="13"/>
    <x v="2"/>
    <x v="0"/>
  </r>
  <r>
    <x v="0"/>
    <s v="NWSL Prime Video 2025"/>
    <s v="Billing Request- 00103225"/>
    <x v="5"/>
    <d v="2025-12-30T00:00:00"/>
    <d v="2026-02-26T00:00:00"/>
    <x v="2"/>
    <s v="a6JXt7496851"/>
    <x v="1"/>
    <s v="Sep; Oct"/>
    <s v="Invoice details mismatch with approved campaign."/>
    <n v="58"/>
    <x v="1"/>
    <x v="11"/>
    <x v="1"/>
    <x v="0"/>
  </r>
  <r>
    <x v="0"/>
    <s v="NASCAR P&amp;Q 2026"/>
    <s v="Billing Request- 00103226"/>
    <x v="3"/>
    <d v="2026-01-19T00:00:00"/>
    <d v="2026-05-08T00:00:00"/>
    <x v="2"/>
    <s v="a6JHn4655209"/>
    <x v="0"/>
    <s v="Oct"/>
    <s v="Late media plan changes from client."/>
    <n v="109"/>
    <x v="0"/>
    <x v="7"/>
    <x v="0"/>
    <x v="1"/>
  </r>
  <r>
    <x v="0"/>
    <s v="Amazon TNF 2024 2025"/>
    <s v="Billing Request- 00103227"/>
    <x v="0"/>
    <d v="2025-12-01T00:00:00"/>
    <d v="2025-12-26T00:00:00"/>
    <x v="2"/>
    <s v="a6Jat4431419"/>
    <x v="1"/>
    <s v="May; Jun"/>
    <s v="Client requested retroactive billing adjustments."/>
    <n v="25"/>
    <x v="3"/>
    <x v="11"/>
    <x v="4"/>
    <x v="0"/>
  </r>
  <r>
    <x v="0"/>
    <s v="NBA Playoffs Campaign 2026"/>
    <s v="Billing Request- 00103230"/>
    <x v="3"/>
    <d v="2026-05-07T00:00:00"/>
    <d v="2026-05-05T00:00:00"/>
    <x v="0"/>
    <s v="a6Jat3618679"/>
    <x v="0"/>
    <s v="Nov"/>
    <s v="Finance validation process delay."/>
    <n v="-2"/>
    <x v="2"/>
    <x v="16"/>
    <x v="2"/>
    <x v="1"/>
  </r>
  <r>
    <x v="0"/>
    <s v="NBA League Pass 2025"/>
    <s v="Billing Request- 00103232"/>
    <x v="6"/>
    <d v="2025-02-26T00:00:00"/>
    <d v="2025-05-14T00:00:00"/>
    <x v="2"/>
    <s v="a6Jat7341872"/>
    <x v="3"/>
    <s v="May; Jun"/>
    <s v="Incorrect legal terms delayed PTS."/>
    <n v="77"/>
    <x v="0"/>
    <x v="6"/>
    <x v="2"/>
    <x v="0"/>
  </r>
  <r>
    <x v="1"/>
    <s v="NWSL Prime Video 2025"/>
    <s v="Billing Request- 00103234"/>
    <x v="5"/>
    <d v="2025-04-01T00:00:00"/>
    <d v="2025-05-17T00:00:00"/>
    <x v="2"/>
    <s v="a6JXt9922855"/>
    <x v="1"/>
    <s v="Nov"/>
    <s v="Agency submitted updated invoice mapping."/>
    <n v="46"/>
    <x v="1"/>
    <x v="3"/>
    <x v="1"/>
    <x v="0"/>
  </r>
  <r>
    <x v="0"/>
    <s v="Confluence Academy 2025"/>
    <s v="Billing Request- 00103235"/>
    <x v="1"/>
    <d v="2025-12-02T00:00:00"/>
    <d v="2026-03-20T00:00:00"/>
    <x v="0"/>
    <s v="a6JHn2748663"/>
    <x v="1"/>
    <s v="Apr"/>
    <s v="Invoice details mismatch with approved campaign."/>
    <n v="108"/>
    <x v="0"/>
    <x v="11"/>
    <x v="3"/>
    <x v="0"/>
  </r>
  <r>
    <x v="0"/>
    <s v="NBA Playoffs Campaign 2025"/>
    <s v="Billing Request- 00103236"/>
    <x v="9"/>
    <d v="2025-09-01T00:00:00"/>
    <d v="2025-12-25T00:00:00"/>
    <x v="2"/>
    <s v="a6JHn8716630"/>
    <x v="3"/>
    <s v="Mar; Apr"/>
    <s v="Finance validation process delay."/>
    <n v="115"/>
    <x v="0"/>
    <x v="14"/>
    <x v="2"/>
    <x v="0"/>
  </r>
  <r>
    <x v="1"/>
    <s v="NWSL Halftime Sponsorship 2026"/>
    <s v="Billing Request- 00103237"/>
    <x v="1"/>
    <d v="2026-04-05T00:00:00"/>
    <d v="2026-04-13T00:00:00"/>
    <x v="2"/>
    <s v="a6JXt4515139"/>
    <x v="1"/>
    <s v="Aug"/>
    <s v="Late media plan changes from client."/>
    <n v="8"/>
    <x v="4"/>
    <x v="10"/>
    <x v="1"/>
    <x v="1"/>
  </r>
  <r>
    <x v="0"/>
    <s v="Amazon NBA Live Sports 2025"/>
    <s v="Billing Request- 00103238"/>
    <x v="2"/>
    <d v="2025-12-26T00:00:00"/>
    <d v="2026-01-03T00:00:00"/>
    <x v="1"/>
    <s v="a6Jat5171220"/>
    <x v="2"/>
    <s v="Dec"/>
    <s v="Missing supporting documentation from vendor."/>
    <n v="8"/>
    <x v="4"/>
    <x v="11"/>
    <x v="2"/>
    <x v="0"/>
  </r>
  <r>
    <x v="0"/>
    <s v="Amazon NBA Live Sports 2025"/>
    <s v="Billing Request- 00103242"/>
    <x v="8"/>
    <d v="2025-07-19T00:00:00"/>
    <d v="2025-10-26T00:00:00"/>
    <x v="2"/>
    <s v="a6JXt5210028"/>
    <x v="0"/>
    <s v="Jun"/>
    <s v="Manual billing entry issue."/>
    <n v="99"/>
    <x v="0"/>
    <x v="12"/>
    <x v="2"/>
    <x v="0"/>
  </r>
  <r>
    <x v="0"/>
    <s v="Global Consumer Products 2025"/>
    <s v="Billing Request- 00103243"/>
    <x v="5"/>
    <d v="2025-01-13T00:00:00"/>
    <d v="2025-02-09T00:00:00"/>
    <x v="2"/>
    <s v="a6JXt8447413"/>
    <x v="0"/>
    <s v="Sep; Oct"/>
    <s v="Incorrect legal terms delayed PTS."/>
    <n v="27"/>
    <x v="3"/>
    <x v="0"/>
    <x v="3"/>
    <x v="0"/>
  </r>
  <r>
    <x v="0"/>
    <s v="NFL Prime Video 2025"/>
    <s v="Billing Request- 00103244"/>
    <x v="5"/>
    <d v="2025-04-07T00:00:00"/>
    <d v="2025-08-03T00:00:00"/>
    <x v="2"/>
    <s v="a6JHn2514586"/>
    <x v="2"/>
    <s v="Aug"/>
    <s v="Agency submitted updated invoice mapping."/>
    <n v="118"/>
    <x v="0"/>
    <x v="3"/>
    <x v="3"/>
    <x v="0"/>
  </r>
  <r>
    <x v="0"/>
    <s v="NWSL Halftime Sponsorship 2025"/>
    <s v="Billing Request- 00103245"/>
    <x v="3"/>
    <d v="2025-12-23T00:00:00"/>
    <d v="2025-12-24T00:00:00"/>
    <x v="0"/>
    <s v="a6JHn2590365"/>
    <x v="3"/>
    <s v="Sep"/>
    <s v="Invoice details mismatch with approved campaign."/>
    <n v="1"/>
    <x v="2"/>
    <x v="11"/>
    <x v="1"/>
    <x v="0"/>
  </r>
  <r>
    <x v="0"/>
    <s v="Retail Media Expansion 2025"/>
    <s v="Billing Request- 00103246"/>
    <x v="2"/>
    <d v="2025-02-02T00:00:00"/>
    <d v="2025-05-21T00:00:00"/>
    <x v="0"/>
    <s v="a6Jat2435092"/>
    <x v="1"/>
    <s v="Jan"/>
    <s v="Client requested retroactive billing adjustments."/>
    <n v="108"/>
    <x v="0"/>
    <x v="6"/>
    <x v="3"/>
    <x v="0"/>
  </r>
  <r>
    <x v="3"/>
    <s v="NFL Prime Video 2026"/>
    <s v="Billing Request- 00103247"/>
    <x v="8"/>
    <d v="2026-03-30T00:00:00"/>
    <d v="2026-05-08T00:00:00"/>
    <x v="2"/>
    <s v="a6Jat8232531"/>
    <x v="4"/>
    <s v="Nov"/>
    <s v="Late media plan changes from client."/>
    <n v="39"/>
    <x v="1"/>
    <x v="2"/>
    <x v="3"/>
    <x v="1"/>
  </r>
  <r>
    <x v="0"/>
    <s v="NWSL Prime Video 2026"/>
    <s v="Billing Request- 00103248"/>
    <x v="5"/>
    <d v="2026-01-03T00:00:00"/>
    <d v="2026-02-12T00:00:00"/>
    <x v="2"/>
    <s v="a6JXt8326379"/>
    <x v="6"/>
    <s v="Jul"/>
    <s v="Agency submitted updated invoice mapping."/>
    <n v="40"/>
    <x v="1"/>
    <x v="7"/>
    <x v="1"/>
    <x v="1"/>
  </r>
  <r>
    <x v="0"/>
    <s v="Streaming Bundle Initiative 2026"/>
    <s v="Billing Request- 00103249"/>
    <x v="9"/>
    <d v="2026-04-04T00:00:00"/>
    <d v="2026-04-12T00:00:00"/>
    <x v="2"/>
    <s v="a6JXt6263495"/>
    <x v="3"/>
    <s v="Jul"/>
    <s v="Late media plan changes from client."/>
    <n v="8"/>
    <x v="4"/>
    <x v="10"/>
    <x v="3"/>
    <x v="1"/>
  </r>
  <r>
    <x v="0"/>
    <s v="Retail Media Expansion 2025"/>
    <s v="Billing Request- 00103250"/>
    <x v="5"/>
    <d v="2025-01-26T00:00:00"/>
    <d v="2025-04-24T00:00:00"/>
    <x v="2"/>
    <s v="a6JHn8371274"/>
    <x v="5"/>
    <s v="Oct"/>
    <s v="Missing supporting documentation from vendor."/>
    <n v="88"/>
    <x v="0"/>
    <x v="0"/>
    <x v="3"/>
    <x v="0"/>
  </r>
  <r>
    <x v="0"/>
    <s v="NWSL Halftime Sponsorship 2025"/>
    <s v="Billing Request- 00103251"/>
    <x v="9"/>
    <d v="2025-12-07T00:00:00"/>
    <d v="2026-01-04T00:00:00"/>
    <x v="2"/>
    <s v="a6Jat5924337"/>
    <x v="6"/>
    <s v="Apr"/>
    <s v="Finance validation process delay."/>
    <n v="28"/>
    <x v="3"/>
    <x v="11"/>
    <x v="1"/>
    <x v="0"/>
  </r>
  <r>
    <x v="0"/>
    <s v="Amazon TNF 2024 2026"/>
    <s v="Billing Request- 00103253"/>
    <x v="4"/>
    <d v="2026-05-08T00:00:00"/>
    <d v="2026-05-05T00:00:00"/>
    <x v="1"/>
    <s v="a6JHn4734099"/>
    <x v="4"/>
    <s v="Apr"/>
    <s v="Client requested retroactive billing adjustments."/>
    <n v="-3"/>
    <x v="2"/>
    <x v="16"/>
    <x v="4"/>
    <x v="1"/>
  </r>
  <r>
    <x v="0"/>
    <s v="NWSL Prime Video 2025"/>
    <s v="Billing Request- 00103254"/>
    <x v="3"/>
    <d v="2025-12-20T00:00:00"/>
    <d v="2026-01-02T00:00:00"/>
    <x v="2"/>
    <s v="a6Jat3410505"/>
    <x v="3"/>
    <s v="Dec"/>
    <s v="Invoice details mismatch with approved campaign."/>
    <n v="13"/>
    <x v="4"/>
    <x v="11"/>
    <x v="1"/>
    <x v="0"/>
  </r>
  <r>
    <x v="0"/>
    <s v="TNF Sponsorship 2025"/>
    <s v="Billing Request- 00103255"/>
    <x v="5"/>
    <d v="2025-05-29T00:00:00"/>
    <d v="2025-09-03T00:00:00"/>
    <x v="0"/>
    <s v="a6JHn3554558"/>
    <x v="5"/>
    <s v="Dec"/>
    <s v="Incorrect legal terms delayed PTS."/>
    <n v="97"/>
    <x v="0"/>
    <x v="4"/>
    <x v="4"/>
    <x v="0"/>
  </r>
  <r>
    <x v="0"/>
    <s v="TNF Sponsorship 2026"/>
    <s v="Billing Request- 00103256"/>
    <x v="4"/>
    <d v="2026-01-27T00:00:00"/>
    <d v="2026-04-19T00:00:00"/>
    <x v="2"/>
    <s v="a6JHn7955364"/>
    <x v="2"/>
    <s v="Feb"/>
    <s v="Agency submitted updated invoice mapping."/>
    <n v="82"/>
    <x v="0"/>
    <x v="7"/>
    <x v="4"/>
    <x v="1"/>
  </r>
  <r>
    <x v="0"/>
    <s v="NWSL Halftime Sponsorship 2026"/>
    <s v="Billing Request- 00103257"/>
    <x v="7"/>
    <d v="2026-01-02T00:00:00"/>
    <d v="2026-02-09T00:00:00"/>
    <x v="2"/>
    <s v="a6JXt6628763"/>
    <x v="5"/>
    <s v="Apr"/>
    <s v="Missing supporting documentation from vendor."/>
    <n v="38"/>
    <x v="1"/>
    <x v="7"/>
    <x v="1"/>
    <x v="1"/>
  </r>
  <r>
    <x v="1"/>
    <s v="NASCAR P&amp;Q 2026"/>
    <s v="Billing Request- 00103258"/>
    <x v="3"/>
    <d v="2026-02-04T00:00:00"/>
    <d v="2026-05-07T00:00:00"/>
    <x v="2"/>
    <s v="a6JXt9247788"/>
    <x v="5"/>
    <s v="Oct"/>
    <s v="Invoice details mismatch with approved campaign."/>
    <n v="92"/>
    <x v="0"/>
    <x v="1"/>
    <x v="0"/>
    <x v="1"/>
  </r>
  <r>
    <x v="0"/>
    <s v="Prime Sports NFL 2026"/>
    <s v="Billing Request- 00103259"/>
    <x v="5"/>
    <d v="2026-02-26T00:00:00"/>
    <d v="2026-05-08T00:00:00"/>
    <x v="0"/>
    <s v="a6JXt5593695"/>
    <x v="4"/>
    <s v="Sep; Oct"/>
    <s v="Manual billing entry issue."/>
    <n v="71"/>
    <x v="0"/>
    <x v="1"/>
    <x v="3"/>
    <x v="1"/>
  </r>
  <r>
    <x v="0"/>
    <s v="Prime Sports NFL 2025"/>
    <s v="Billing Request- 00103260"/>
    <x v="5"/>
    <d v="2025-05-11T00:00:00"/>
    <d v="2025-08-28T00:00:00"/>
    <x v="2"/>
    <s v="a6Jat8785546"/>
    <x v="5"/>
    <s v="Sep; Oct"/>
    <s v="Invoice details mismatch with approved campaign."/>
    <n v="109"/>
    <x v="0"/>
    <x v="4"/>
    <x v="3"/>
    <x v="0"/>
  </r>
  <r>
    <x v="0"/>
    <s v="WNBA Incremental Scatter 2025"/>
    <s v="Billing Request- 00103262"/>
    <x v="6"/>
    <d v="2025-04-24T00:00:00"/>
    <d v="2025-07-18T00:00:00"/>
    <x v="2"/>
    <s v="a6JHn6314844"/>
    <x v="3"/>
    <s v="Mar"/>
    <s v="Agency submitted updated invoice mapping."/>
    <n v="85"/>
    <x v="0"/>
    <x v="3"/>
    <x v="2"/>
    <x v="0"/>
  </r>
  <r>
    <x v="0"/>
    <s v="NBA League Pass 2025"/>
    <s v="Billing Request- 00103263"/>
    <x v="5"/>
    <d v="2025-10-10T00:00:00"/>
    <d v="2026-01-07T00:00:00"/>
    <x v="2"/>
    <s v="a6Jat1097082"/>
    <x v="5"/>
    <s v="Nov; Dec"/>
    <s v="Incorrect legal terms delayed PTS."/>
    <n v="89"/>
    <x v="0"/>
    <x v="5"/>
    <x v="2"/>
    <x v="0"/>
  </r>
  <r>
    <x v="0"/>
    <s v="TNF Sponsorship 2025"/>
    <s v="Billing Request- 00103264"/>
    <x v="1"/>
    <d v="2025-12-01T00:00:00"/>
    <d v="2025-12-25T00:00:00"/>
    <x v="0"/>
    <s v="a6JHn1060153"/>
    <x v="1"/>
    <s v="Jun"/>
    <s v="Missing supporting documentation from vendor."/>
    <n v="24"/>
    <x v="3"/>
    <x v="11"/>
    <x v="4"/>
    <x v="0"/>
  </r>
  <r>
    <x v="0"/>
    <s v="TNF Sponsorship 2025"/>
    <s v="Billing Request- 00103265"/>
    <x v="2"/>
    <d v="2025-03-27T00:00:00"/>
    <d v="2025-05-09T00:00:00"/>
    <x v="2"/>
    <s v="a6Jat3279537"/>
    <x v="2"/>
    <s v="Mar"/>
    <s v="Manual billing entry issue."/>
    <n v="43"/>
    <x v="1"/>
    <x v="13"/>
    <x v="4"/>
    <x v="0"/>
  </r>
  <r>
    <x v="4"/>
    <s v="NFL Prime Video 2026"/>
    <s v="Billing Request- 00103266"/>
    <x v="4"/>
    <d v="2026-03-17T00:00:00"/>
    <d v="2026-04-17T00:00:00"/>
    <x v="0"/>
    <s v="a6Jat7129971"/>
    <x v="2"/>
    <s v="Jun"/>
    <s v="Finance validation process delay."/>
    <n v="31"/>
    <x v="1"/>
    <x v="2"/>
    <x v="3"/>
    <x v="1"/>
  </r>
  <r>
    <x v="0"/>
    <s v="NBA League Pass 2025"/>
    <s v="Billing Request- 00103268"/>
    <x v="4"/>
    <d v="2025-07-01T00:00:00"/>
    <d v="2025-08-03T00:00:00"/>
    <x v="0"/>
    <s v="a6JHn9800406"/>
    <x v="4"/>
    <s v="Aug"/>
    <s v="Client requested retroactive billing adjustments."/>
    <n v="33"/>
    <x v="1"/>
    <x v="12"/>
    <x v="2"/>
    <x v="0"/>
  </r>
  <r>
    <x v="0"/>
    <s v="TNF Sponsorship 2025"/>
    <s v="Billing Request- 00103269"/>
    <x v="3"/>
    <d v="2025-11-24T00:00:00"/>
    <d v="2025-12-27T00:00:00"/>
    <x v="0"/>
    <s v="a6Jat1785305"/>
    <x v="3"/>
    <s v="Jan"/>
    <s v="Invoice details mismatch with approved campaign."/>
    <n v="33"/>
    <x v="1"/>
    <x v="15"/>
    <x v="4"/>
    <x v="0"/>
  </r>
  <r>
    <x v="0"/>
    <s v="Streaming Bundle Initiative 2026"/>
    <s v="Billing Request- 00103270"/>
    <x v="1"/>
    <d v="2026-03-11T00:00:00"/>
    <d v="2026-05-04T00:00:00"/>
    <x v="2"/>
    <s v="a6Jat6284035"/>
    <x v="5"/>
    <s v="May"/>
    <s v="Manual billing entry issue."/>
    <n v="54"/>
    <x v="1"/>
    <x v="2"/>
    <x v="3"/>
    <x v="1"/>
  </r>
  <r>
    <x v="0"/>
    <s v="Amazon TNF 2024 2025"/>
    <s v="Billing Request- 00103271"/>
    <x v="0"/>
    <d v="2025-03-29T00:00:00"/>
    <d v="2025-04-12T00:00:00"/>
    <x v="2"/>
    <s v="a6JHn4884000"/>
    <x v="6"/>
    <s v="Mar"/>
    <s v="Finance validation process delay."/>
    <n v="14"/>
    <x v="4"/>
    <x v="13"/>
    <x v="4"/>
    <x v="0"/>
  </r>
  <r>
    <x v="0"/>
    <s v="NWSL Halftime Sponsorship 2025"/>
    <s v="Billing Request- 00103273"/>
    <x v="9"/>
    <d v="2025-12-12T00:00:00"/>
    <d v="2026-04-11T00:00:00"/>
    <x v="0"/>
    <s v="a6JXt7347837"/>
    <x v="0"/>
    <s v="Jan"/>
    <s v="Finance validation process delay."/>
    <n v="120"/>
    <x v="0"/>
    <x v="11"/>
    <x v="1"/>
    <x v="0"/>
  </r>
  <r>
    <x v="0"/>
    <s v="Retail Media Expansion 2025"/>
    <s v="Billing Request- 00103275"/>
    <x v="0"/>
    <d v="2025-04-09T00:00:00"/>
    <d v="2025-06-04T00:00:00"/>
    <x v="2"/>
    <s v="a6Jat9950282"/>
    <x v="2"/>
    <s v="Oct"/>
    <s v="Client requested retroactive billing adjustments."/>
    <n v="56"/>
    <x v="1"/>
    <x v="3"/>
    <x v="3"/>
    <x v="0"/>
  </r>
  <r>
    <x v="0"/>
    <s v="NASCAR P&amp;Q 2025"/>
    <s v="Billing Request- 00103276"/>
    <x v="8"/>
    <d v="2025-10-25T00:00:00"/>
    <d v="2025-11-26T00:00:00"/>
    <x v="2"/>
    <s v="a6JXt6513147"/>
    <x v="0"/>
    <s v="Dec"/>
    <s v="Agency submitted updated invoice mapping."/>
    <n v="32"/>
    <x v="1"/>
    <x v="5"/>
    <x v="0"/>
    <x v="0"/>
  </r>
  <r>
    <x v="2"/>
    <s v="Global Consumer Products 2025"/>
    <s v="Billing Request- 00103277"/>
    <x v="9"/>
    <d v="2025-08-09T00:00:00"/>
    <d v="2025-10-02T00:00:00"/>
    <x v="1"/>
    <s v="a6Jat2655024"/>
    <x v="4"/>
    <s v="Jan; Feb"/>
    <s v="Finance validation process delay."/>
    <n v="54"/>
    <x v="1"/>
    <x v="8"/>
    <x v="3"/>
    <x v="0"/>
  </r>
  <r>
    <x v="4"/>
    <s v="NBA League Pass 2025"/>
    <s v="Billing Request- 00103278"/>
    <x v="7"/>
    <d v="2025-08-24T00:00:00"/>
    <d v="2025-10-04T00:00:00"/>
    <x v="2"/>
    <s v="a6Jat6675783"/>
    <x v="0"/>
    <s v="Jan; Feb"/>
    <s v="Late media plan changes from client."/>
    <n v="41"/>
    <x v="1"/>
    <x v="8"/>
    <x v="2"/>
    <x v="0"/>
  </r>
  <r>
    <x v="0"/>
    <s v="Amazon TNF 2024 2026"/>
    <s v="Billing Request- 00103283"/>
    <x v="6"/>
    <d v="2026-03-01T00:00:00"/>
    <d v="2026-05-06T00:00:00"/>
    <x v="0"/>
    <s v="a6JHn1356297"/>
    <x v="0"/>
    <s v="Jul"/>
    <s v="Missing supporting documentation from vendor."/>
    <n v="66"/>
    <x v="0"/>
    <x v="2"/>
    <x v="4"/>
    <x v="1"/>
  </r>
  <r>
    <x v="0"/>
    <s v="Amazon TNF 2024 2025"/>
    <s v="Billing Request- 00103284"/>
    <x v="6"/>
    <d v="2025-10-25T00:00:00"/>
    <d v="2025-11-07T00:00:00"/>
    <x v="2"/>
    <s v="a6JXt9336813"/>
    <x v="0"/>
    <s v="Sep"/>
    <s v="Manual billing entry issue."/>
    <n v="13"/>
    <x v="4"/>
    <x v="5"/>
    <x v="4"/>
    <x v="0"/>
  </r>
  <r>
    <x v="0"/>
    <s v="DirecTV NASCAR Campaign 2026"/>
    <s v="Billing Request- 00103286"/>
    <x v="1"/>
    <d v="2026-01-26T00:00:00"/>
    <d v="2026-03-17T00:00:00"/>
    <x v="2"/>
    <s v="a6Jat6170784"/>
    <x v="6"/>
    <s v="Feb"/>
    <s v="Late media plan changes from client."/>
    <n v="50"/>
    <x v="1"/>
    <x v="7"/>
    <x v="0"/>
    <x v="1"/>
  </r>
  <r>
    <x v="0"/>
    <s v="Streaming Bundle Initiative 2025"/>
    <s v="Billing Request- 00103287"/>
    <x v="6"/>
    <d v="2025-06-19T00:00:00"/>
    <d v="2025-08-15T00:00:00"/>
    <x v="0"/>
    <s v="a6Jat7459817"/>
    <x v="1"/>
    <s v="Jul; Aug"/>
    <s v="Agency submitted updated invoice mapping."/>
    <n v="57"/>
    <x v="1"/>
    <x v="9"/>
    <x v="3"/>
    <x v="0"/>
  </r>
  <r>
    <x v="0"/>
    <s v="WNBA Incremental Scatter 2025"/>
    <s v="Billing Request- 00103288"/>
    <x v="3"/>
    <d v="2025-02-04T00:00:00"/>
    <d v="2025-04-16T00:00:00"/>
    <x v="2"/>
    <s v="a6JXt9959503"/>
    <x v="3"/>
    <s v="Jun"/>
    <s v="Late media plan changes from client."/>
    <n v="71"/>
    <x v="0"/>
    <x v="6"/>
    <x v="2"/>
    <x v="0"/>
  </r>
  <r>
    <x v="0"/>
    <s v="Prime Sports NFL 2025"/>
    <s v="Billing Request- 00103289"/>
    <x v="3"/>
    <d v="2025-12-11T00:00:00"/>
    <d v="2026-02-24T00:00:00"/>
    <x v="2"/>
    <s v="a6Jat6833015"/>
    <x v="1"/>
    <s v="Nov"/>
    <s v="Invoice details mismatch with approved campaign."/>
    <n v="75"/>
    <x v="0"/>
    <x v="11"/>
    <x v="3"/>
    <x v="0"/>
  </r>
  <r>
    <x v="0"/>
    <s v="Prime Sports NFL 2026"/>
    <s v="Billing Request- 00103291"/>
    <x v="2"/>
    <d v="2026-01-06T00:00:00"/>
    <d v="2026-03-11T00:00:00"/>
    <x v="0"/>
    <s v="a6JHn2601856"/>
    <x v="2"/>
    <s v="Oct"/>
    <s v="Client requested retroactive billing adjustments."/>
    <n v="64"/>
    <x v="0"/>
    <x v="7"/>
    <x v="3"/>
    <x v="1"/>
  </r>
  <r>
    <x v="0"/>
    <s v="NWSL Halftime Sponsorship 2026"/>
    <s v="Billing Request- 00103293"/>
    <x v="2"/>
    <d v="2026-05-05T00:00:00"/>
    <d v="2026-05-05T00:00:00"/>
    <x v="2"/>
    <s v="a6JXt6539664"/>
    <x v="4"/>
    <s v="May; Jun"/>
    <s v="Manual billing entry issue."/>
    <n v="0"/>
    <x v="2"/>
    <x v="16"/>
    <x v="1"/>
    <x v="1"/>
  </r>
  <r>
    <x v="3"/>
    <s v="NWSL Halftime Sponsorship 2025"/>
    <s v="Billing Request- 00103294"/>
    <x v="7"/>
    <d v="2025-05-13T00:00:00"/>
    <d v="2025-07-28T00:00:00"/>
    <x v="2"/>
    <s v="a6JXt9060455"/>
    <x v="1"/>
    <s v="Mar; Apr"/>
    <s v="Missing supporting documentation from vendor."/>
    <n v="76"/>
    <x v="0"/>
    <x v="4"/>
    <x v="1"/>
    <x v="0"/>
  </r>
  <r>
    <x v="0"/>
    <s v="NWSL Prime Video 2025"/>
    <s v="Billing Request- 00103295"/>
    <x v="8"/>
    <d v="2025-06-14T00:00:00"/>
    <d v="2025-07-20T00:00:00"/>
    <x v="0"/>
    <s v="a6JXt5083365"/>
    <x v="6"/>
    <s v="Feb"/>
    <s v="Invoice details mismatch with approved campaign."/>
    <n v="36"/>
    <x v="1"/>
    <x v="9"/>
    <x v="1"/>
    <x v="0"/>
  </r>
  <r>
    <x v="0"/>
    <s v="NASCAR P&amp;Q 2026"/>
    <s v="Billing Request- 00103298"/>
    <x v="8"/>
    <d v="2026-01-16T00:00:00"/>
    <d v="2026-01-22T00:00:00"/>
    <x v="2"/>
    <s v="a6JXt7657967"/>
    <x v="0"/>
    <s v="Dec"/>
    <s v="Agency submitted updated invoice mapping."/>
    <n v="6"/>
    <x v="2"/>
    <x v="7"/>
    <x v="0"/>
    <x v="1"/>
  </r>
  <r>
    <x v="3"/>
    <s v="NFL Prime Video 2025"/>
    <s v="Billing Request- 00103299"/>
    <x v="1"/>
    <d v="2025-01-01T00:00:00"/>
    <d v="2025-02-27T00:00:00"/>
    <x v="2"/>
    <s v="a6JXt8863701"/>
    <x v="0"/>
    <s v="Mar; Apr"/>
    <s v="Manual billing entry issue."/>
    <n v="57"/>
    <x v="1"/>
    <x v="0"/>
    <x v="3"/>
    <x v="0"/>
  </r>
  <r>
    <x v="0"/>
    <s v="NWSL Prime Video 2025"/>
    <s v="Billing Request- 00103300"/>
    <x v="2"/>
    <d v="2025-06-16T00:00:00"/>
    <d v="2025-06-18T00:00:00"/>
    <x v="0"/>
    <s v="a6Jat1394507"/>
    <x v="4"/>
    <s v="Sep; Oct"/>
    <s v=""/>
    <n v="2"/>
    <x v="2"/>
    <x v="9"/>
    <x v="1"/>
    <x v="0"/>
  </r>
  <r>
    <x v="0"/>
    <s v="NWSL Prime Video 2025"/>
    <s v="Billing Request- 00103301"/>
    <x v="4"/>
    <d v="2025-09-07T00:00:00"/>
    <d v="2026-01-02T00:00:00"/>
    <x v="1"/>
    <s v="a6Jat8355184"/>
    <x v="4"/>
    <s v="Dec"/>
    <s v="Late media plan changes from client."/>
    <n v="117"/>
    <x v="0"/>
    <x v="14"/>
    <x v="1"/>
    <x v="0"/>
  </r>
  <r>
    <x v="0"/>
    <s v="NFL Prime Video 2025"/>
    <s v="Billing Request- 00103304"/>
    <x v="0"/>
    <d v="2025-12-26T00:00:00"/>
    <d v="2026-02-09T00:00:00"/>
    <x v="2"/>
    <s v="a6JHn1495124"/>
    <x v="1"/>
    <s v="Jul; Aug"/>
    <s v="Manual billing entry issue."/>
    <n v="45"/>
    <x v="1"/>
    <x v="11"/>
    <x v="3"/>
    <x v="0"/>
  </r>
  <r>
    <x v="3"/>
    <s v="DirecTV NASCAR Campaign 2025"/>
    <s v="Billing Request- 00103307"/>
    <x v="6"/>
    <d v="2025-12-07T00:00:00"/>
    <d v="2025-12-09T00:00:00"/>
    <x v="2"/>
    <s v="a6JXt1537243"/>
    <x v="0"/>
    <s v="Aug"/>
    <s v="Agency submitted updated invoice mapping."/>
    <n v="2"/>
    <x v="2"/>
    <x v="11"/>
    <x v="0"/>
    <x v="0"/>
  </r>
  <r>
    <x v="0"/>
    <s v="NASCAR Apex 2025 2025"/>
    <s v="Billing Request- 00103310"/>
    <x v="5"/>
    <d v="2025-09-10T00:00:00"/>
    <d v="2026-01-02T00:00:00"/>
    <x v="0"/>
    <s v="a6JHn8281628"/>
    <x v="3"/>
    <s v="Nov; Dec"/>
    <s v="Missing supporting documentation from vendor."/>
    <n v="114"/>
    <x v="0"/>
    <x v="14"/>
    <x v="0"/>
    <x v="0"/>
  </r>
  <r>
    <x v="0"/>
    <s v="NASCAR Apex 2025 2025"/>
    <s v="Billing Request- 00103311"/>
    <x v="6"/>
    <d v="2025-07-24T00:00:00"/>
    <d v="2025-08-25T00:00:00"/>
    <x v="2"/>
    <s v="a6Jat6615773"/>
    <x v="6"/>
    <s v="Dec"/>
    <s v="Incorrect legal terms delayed PTS."/>
    <n v="32"/>
    <x v="1"/>
    <x v="12"/>
    <x v="0"/>
    <x v="0"/>
  </r>
  <r>
    <x v="0"/>
    <s v="NWSL Prime Video 2025"/>
    <s v="Billing Request- 00103312"/>
    <x v="2"/>
    <d v="2025-10-28T00:00:00"/>
    <d v="2026-02-17T00:00:00"/>
    <x v="2"/>
    <s v="a6JHn9740624"/>
    <x v="5"/>
    <s v="Nov"/>
    <s v="Manual billing entry issue."/>
    <n v="112"/>
    <x v="0"/>
    <x v="5"/>
    <x v="1"/>
    <x v="0"/>
  </r>
  <r>
    <x v="0"/>
    <s v="NBA League Pass 2025"/>
    <s v="Billing Request- 00103314"/>
    <x v="1"/>
    <d v="2025-03-23T00:00:00"/>
    <d v="2025-04-07T00:00:00"/>
    <x v="2"/>
    <s v="a6JHn7320094"/>
    <x v="3"/>
    <s v="May"/>
    <s v="Missing supporting documentation from vendor."/>
    <n v="15"/>
    <x v="3"/>
    <x v="13"/>
    <x v="2"/>
    <x v="0"/>
  </r>
  <r>
    <x v="4"/>
    <s v="NBA Playoffs Campaign 2026"/>
    <s v="Billing Request- 00103315"/>
    <x v="3"/>
    <d v="2026-03-05T00:00:00"/>
    <d v="2026-03-25T00:00:00"/>
    <x v="0"/>
    <s v="a6JHn1656427"/>
    <x v="6"/>
    <s v="Jan"/>
    <s v="Incorrect legal terms delayed PTS."/>
    <n v="20"/>
    <x v="3"/>
    <x v="2"/>
    <x v="2"/>
    <x v="1"/>
  </r>
  <r>
    <x v="3"/>
    <s v="NFL Prime Video 2025"/>
    <s v="Billing Request- 00103317"/>
    <x v="4"/>
    <d v="2025-06-04T00:00:00"/>
    <d v="2025-08-14T00:00:00"/>
    <x v="2"/>
    <s v="a6JHn5189926"/>
    <x v="2"/>
    <s v="Jan"/>
    <s v=""/>
    <n v="71"/>
    <x v="0"/>
    <x v="9"/>
    <x v="3"/>
    <x v="0"/>
  </r>
  <r>
    <x v="0"/>
    <s v="Confluence Academy 2026"/>
    <s v="Billing Request- 00103318"/>
    <x v="3"/>
    <d v="2026-03-24T00:00:00"/>
    <d v="2026-05-05T00:00:00"/>
    <x v="0"/>
    <s v="a6JXt1701296"/>
    <x v="6"/>
    <s v="Sep"/>
    <s v="Client requested retroactive billing adjustments."/>
    <n v="42"/>
    <x v="1"/>
    <x v="2"/>
    <x v="3"/>
    <x v="1"/>
  </r>
  <r>
    <x v="0"/>
    <s v="NWSL Halftime Sponsorship 2025"/>
    <s v="Billing Request- 00103320"/>
    <x v="1"/>
    <d v="2025-11-25T00:00:00"/>
    <d v="2026-01-31T00:00:00"/>
    <x v="1"/>
    <s v="a6Jat2149024"/>
    <x v="0"/>
    <s v="Mar; Apr"/>
    <s v="Late media plan changes from client."/>
    <n v="67"/>
    <x v="0"/>
    <x v="15"/>
    <x v="1"/>
    <x v="0"/>
  </r>
  <r>
    <x v="3"/>
    <s v="NFL Prime Video 2025"/>
    <s v="Billing Request- 00103321"/>
    <x v="9"/>
    <d v="2025-03-12T00:00:00"/>
    <d v="2025-06-02T00:00:00"/>
    <x v="0"/>
    <s v="a6JHn8516480"/>
    <x v="1"/>
    <s v="Sep"/>
    <s v="Agency submitted updated invoice mapping."/>
    <n v="82"/>
    <x v="0"/>
    <x v="13"/>
    <x v="3"/>
    <x v="0"/>
  </r>
  <r>
    <x v="0"/>
    <s v="DirecTV NASCAR Campaign 2025"/>
    <s v="Billing Request- 00103322"/>
    <x v="8"/>
    <d v="2025-03-18T00:00:00"/>
    <d v="2025-06-17T00:00:00"/>
    <x v="2"/>
    <s v="a6Jat1865277"/>
    <x v="1"/>
    <s v="Sep"/>
    <s v=""/>
    <n v="91"/>
    <x v="0"/>
    <x v="13"/>
    <x v="0"/>
    <x v="0"/>
  </r>
  <r>
    <x v="0"/>
    <s v="DirecTV NASCAR Campaign 2026"/>
    <s v="Billing Request- 00103323"/>
    <x v="4"/>
    <d v="2026-03-09T00:00:00"/>
    <d v="2026-05-04T00:00:00"/>
    <x v="2"/>
    <s v="a6Jat3493689"/>
    <x v="4"/>
    <s v="Aug"/>
    <s v="Incorrect legal terms delayed PTS."/>
    <n v="56"/>
    <x v="1"/>
    <x v="2"/>
    <x v="0"/>
    <x v="1"/>
  </r>
  <r>
    <x v="0"/>
    <s v="NWSL Prime Video 2025"/>
    <s v="Billing Request- 00103324"/>
    <x v="9"/>
    <d v="2025-05-13T00:00:00"/>
    <d v="2025-08-17T00:00:00"/>
    <x v="0"/>
    <s v="a6JHn3012984"/>
    <x v="0"/>
    <s v="Dec"/>
    <s v="Finance validation process delay."/>
    <n v="96"/>
    <x v="0"/>
    <x v="4"/>
    <x v="1"/>
    <x v="0"/>
  </r>
  <r>
    <x v="1"/>
    <s v="TNF Sponsorship 2026"/>
    <s v="Billing Request- 00103325"/>
    <x v="7"/>
    <d v="2026-01-25T00:00:00"/>
    <d v="2026-02-22T00:00:00"/>
    <x v="0"/>
    <s v="a6Jat6086958"/>
    <x v="5"/>
    <s v="Jan; Feb"/>
    <s v="Late media plan changes from client."/>
    <n v="28"/>
    <x v="3"/>
    <x v="7"/>
    <x v="4"/>
    <x v="1"/>
  </r>
  <r>
    <x v="0"/>
    <s v="NASCAR P&amp;Q 2025"/>
    <s v="Billing Request- 00103326"/>
    <x v="7"/>
    <d v="2025-07-23T00:00:00"/>
    <d v="2025-08-27T00:00:00"/>
    <x v="2"/>
    <s v="a6JXt6418402"/>
    <x v="1"/>
    <s v="May"/>
    <s v="Agency submitted updated invoice mapping."/>
    <n v="35"/>
    <x v="1"/>
    <x v="12"/>
    <x v="0"/>
    <x v="0"/>
  </r>
  <r>
    <x v="3"/>
    <s v="NBA League Pass 2026"/>
    <s v="Billing Request- 00103327"/>
    <x v="9"/>
    <d v="2026-01-06T00:00:00"/>
    <d v="2026-03-08T00:00:00"/>
    <x v="1"/>
    <s v="a6JXt9207371"/>
    <x v="3"/>
    <s v="Apr"/>
    <s v="Agency submitted updated invoice mapping."/>
    <n v="61"/>
    <x v="0"/>
    <x v="7"/>
    <x v="2"/>
    <x v="1"/>
  </r>
  <r>
    <x v="4"/>
    <s v="Global Consumer Products 2025"/>
    <s v="Billing Request- 00103328"/>
    <x v="2"/>
    <d v="2025-04-22T00:00:00"/>
    <d v="2025-07-17T00:00:00"/>
    <x v="1"/>
    <s v="a6JHn9220960"/>
    <x v="3"/>
    <s v="Nov; Dec"/>
    <s v="Missing supporting documentation from vendor."/>
    <n v="86"/>
    <x v="0"/>
    <x v="3"/>
    <x v="3"/>
    <x v="0"/>
  </r>
  <r>
    <x v="0"/>
    <s v="DirecTV NASCAR Campaign 2026"/>
    <s v="Billing Request- 00103330"/>
    <x v="4"/>
    <d v="2026-05-02T00:00:00"/>
    <d v="2026-05-05T00:00:00"/>
    <x v="2"/>
    <s v="a6JXt3885423"/>
    <x v="0"/>
    <s v="Jan; Feb"/>
    <s v="Invoice details mismatch with approved campaign."/>
    <n v="3"/>
    <x v="2"/>
    <x v="16"/>
    <x v="0"/>
    <x v="1"/>
  </r>
  <r>
    <x v="3"/>
    <s v="DirecTV NASCAR Campaign 2025"/>
    <s v="Billing Request- 00103331"/>
    <x v="9"/>
    <d v="2025-04-11T00:00:00"/>
    <d v="2025-05-04T00:00:00"/>
    <x v="2"/>
    <s v="a6Jat8692084"/>
    <x v="2"/>
    <s v="Jun"/>
    <s v="Agency submitted updated invoice mapping."/>
    <n v="23"/>
    <x v="3"/>
    <x v="3"/>
    <x v="0"/>
    <x v="0"/>
  </r>
  <r>
    <x v="0"/>
    <s v="Confluence Academy 2025"/>
    <s v="Billing Request- 00103333"/>
    <x v="4"/>
    <d v="2025-08-29T00:00:00"/>
    <d v="2025-12-14T00:00:00"/>
    <x v="1"/>
    <s v="a6Jat9622178"/>
    <x v="6"/>
    <s v="May; Jun"/>
    <s v="Finance validation process delay."/>
    <n v="107"/>
    <x v="0"/>
    <x v="8"/>
    <x v="3"/>
    <x v="0"/>
  </r>
  <r>
    <x v="4"/>
    <s v="Prime Sports NFL 2025"/>
    <s v="Billing Request- 00103336"/>
    <x v="9"/>
    <d v="2025-04-06T00:00:00"/>
    <d v="2025-05-07T00:00:00"/>
    <x v="0"/>
    <s v="a6JHn1837807"/>
    <x v="0"/>
    <s v="Jul; Aug"/>
    <s v="Late media plan changes from client."/>
    <n v="31"/>
    <x v="1"/>
    <x v="3"/>
    <x v="3"/>
    <x v="0"/>
  </r>
  <r>
    <x v="0"/>
    <s v="WNBA Incremental Scatter 2025"/>
    <s v="Billing Request- 00103337"/>
    <x v="2"/>
    <d v="2025-11-27T00:00:00"/>
    <d v="2026-02-17T00:00:00"/>
    <x v="2"/>
    <s v="a6JXt2032082"/>
    <x v="6"/>
    <s v="Nov; Dec"/>
    <s v="Manual billing entry issue."/>
    <n v="82"/>
    <x v="0"/>
    <x v="15"/>
    <x v="2"/>
    <x v="0"/>
  </r>
  <r>
    <x v="0"/>
    <s v="NWSL Halftime Sponsorship 2025"/>
    <s v="Billing Request- 00103338"/>
    <x v="8"/>
    <d v="2025-05-07T00:00:00"/>
    <d v="2025-08-10T00:00:00"/>
    <x v="0"/>
    <s v="a6JXt8498835"/>
    <x v="2"/>
    <s v="Jul; Aug"/>
    <s v="Invoice details mismatch with approved campaign."/>
    <n v="95"/>
    <x v="0"/>
    <x v="4"/>
    <x v="1"/>
    <x v="0"/>
  </r>
  <r>
    <x v="0"/>
    <s v="NASCAR P&amp;Q 2025"/>
    <s v="Billing Request- 00103339"/>
    <x v="5"/>
    <d v="2025-04-07T00:00:00"/>
    <d v="2025-07-27T00:00:00"/>
    <x v="2"/>
    <s v="a6Jat3175531"/>
    <x v="3"/>
    <s v="May"/>
    <s v="Invoice details mismatch with approved campaign."/>
    <n v="111"/>
    <x v="0"/>
    <x v="3"/>
    <x v="0"/>
    <x v="0"/>
  </r>
  <r>
    <x v="0"/>
    <s v="Amazon NBA Live Sports 2026"/>
    <s v="Billing Request- 00103340"/>
    <x v="4"/>
    <d v="2026-05-07T00:00:00"/>
    <d v="2026-05-06T00:00:00"/>
    <x v="2"/>
    <s v="a6JXt6688767"/>
    <x v="4"/>
    <s v="Apr"/>
    <s v=""/>
    <n v="-1"/>
    <x v="2"/>
    <x v="16"/>
    <x v="2"/>
    <x v="1"/>
  </r>
  <r>
    <x v="2"/>
    <s v="Amazon TNF 2024 2025"/>
    <s v="Billing Request- 00103341"/>
    <x v="4"/>
    <d v="2025-06-26T00:00:00"/>
    <d v="2025-07-20T00:00:00"/>
    <x v="2"/>
    <s v="a6JHn8247353"/>
    <x v="4"/>
    <s v="Jan; Feb"/>
    <s v="Manual billing entry issue."/>
    <n v="24"/>
    <x v="3"/>
    <x v="9"/>
    <x v="4"/>
    <x v="0"/>
  </r>
  <r>
    <x v="0"/>
    <s v="NWSL Prime Video 2025"/>
    <s v="Billing Request- 00103342"/>
    <x v="4"/>
    <d v="2025-10-26T00:00:00"/>
    <d v="2026-02-09T00:00:00"/>
    <x v="2"/>
    <s v="a6JHn3958594"/>
    <x v="1"/>
    <s v="Oct"/>
    <s v="Finance validation process delay."/>
    <n v="106"/>
    <x v="0"/>
    <x v="5"/>
    <x v="1"/>
    <x v="0"/>
  </r>
  <r>
    <x v="0"/>
    <s v="Retail Media Expansion 2025"/>
    <s v="Billing Request- 00103343"/>
    <x v="8"/>
    <d v="2025-12-19T00:00:00"/>
    <d v="2026-03-10T00:00:00"/>
    <x v="2"/>
    <s v="a6JXt6218945"/>
    <x v="1"/>
    <s v="Jul; Aug"/>
    <s v="Client requested retroactive billing adjustments."/>
    <n v="81"/>
    <x v="0"/>
    <x v="11"/>
    <x v="3"/>
    <x v="0"/>
  </r>
  <r>
    <x v="0"/>
    <s v="NBA League Pass 2026"/>
    <s v="Billing Request- 00103344"/>
    <x v="6"/>
    <d v="2026-03-04T00:00:00"/>
    <d v="2026-05-05T00:00:00"/>
    <x v="0"/>
    <s v="a6Jat3520163"/>
    <x v="3"/>
    <s v="Mar; Apr"/>
    <s v="Incorrect legal terms delayed PTS."/>
    <n v="62"/>
    <x v="0"/>
    <x v="2"/>
    <x v="2"/>
    <x v="1"/>
  </r>
  <r>
    <x v="0"/>
    <s v="NWSL Prime Video 2026"/>
    <s v="Billing Request- 00103345"/>
    <x v="0"/>
    <d v="2026-05-02T00:00:00"/>
    <d v="2026-05-07T00:00:00"/>
    <x v="2"/>
    <s v="a6Jat9721090"/>
    <x v="5"/>
    <s v="Mar; Apr"/>
    <s v="Manual billing entry issue."/>
    <n v="5"/>
    <x v="2"/>
    <x v="16"/>
    <x v="1"/>
    <x v="1"/>
  </r>
  <r>
    <x v="0"/>
    <s v="NBA League Pass 2025"/>
    <s v="Billing Request- 00103346"/>
    <x v="0"/>
    <d v="2025-02-10T00:00:00"/>
    <d v="2025-06-02T00:00:00"/>
    <x v="2"/>
    <s v="a6JXt6503422"/>
    <x v="4"/>
    <s v="Mar"/>
    <s v="Incorrect legal terms delayed PTS."/>
    <n v="112"/>
    <x v="0"/>
    <x v="6"/>
    <x v="2"/>
    <x v="0"/>
  </r>
  <r>
    <x v="0"/>
    <s v="NWSL Halftime Sponsorship 2025"/>
    <s v="Billing Request- 00103347"/>
    <x v="1"/>
    <d v="2025-06-21T00:00:00"/>
    <d v="2025-09-25T00:00:00"/>
    <x v="0"/>
    <s v="a6JXt1866695"/>
    <x v="5"/>
    <s v="Sep"/>
    <s v="Finance validation process delay."/>
    <n v="96"/>
    <x v="0"/>
    <x v="9"/>
    <x v="1"/>
    <x v="0"/>
  </r>
  <r>
    <x v="4"/>
    <s v="Retail Media Expansion 2025"/>
    <s v="Billing Request- 00103349"/>
    <x v="3"/>
    <d v="2025-12-29T00:00:00"/>
    <d v="2026-03-01T00:00:00"/>
    <x v="0"/>
    <s v="a6Jat1738071"/>
    <x v="2"/>
    <s v="Apr"/>
    <s v="Client requested retroactive billing adjustments."/>
    <n v="62"/>
    <x v="0"/>
    <x v="11"/>
    <x v="3"/>
    <x v="0"/>
  </r>
  <r>
    <x v="0"/>
    <s v="NASCAR P&amp;Q 2026"/>
    <s v="Billing Request- 00103350"/>
    <x v="9"/>
    <d v="2026-01-25T00:00:00"/>
    <d v="2026-05-01T00:00:00"/>
    <x v="2"/>
    <s v="a6JHn1968191"/>
    <x v="4"/>
    <s v="Nov"/>
    <s v="Incorrect legal terms delayed PTS."/>
    <n v="96"/>
    <x v="0"/>
    <x v="7"/>
    <x v="0"/>
    <x v="1"/>
  </r>
  <r>
    <x v="0"/>
    <s v="NASCAR P&amp;Q 2025"/>
    <s v="Billing Request- 00103351"/>
    <x v="8"/>
    <d v="2025-06-15T00:00:00"/>
    <d v="2025-08-30T00:00:00"/>
    <x v="2"/>
    <s v="a6Jat7669589"/>
    <x v="6"/>
    <s v="Jan"/>
    <s v=""/>
    <n v="76"/>
    <x v="0"/>
    <x v="9"/>
    <x v="0"/>
    <x v="0"/>
  </r>
  <r>
    <x v="4"/>
    <s v="NBA League Pass 2025"/>
    <s v="Billing Request- 00103353"/>
    <x v="1"/>
    <d v="2025-12-27T00:00:00"/>
    <d v="2026-03-22T00:00:00"/>
    <x v="2"/>
    <s v="a6Jat6793696"/>
    <x v="0"/>
    <s v="Apr"/>
    <s v="Finance validation process delay."/>
    <n v="85"/>
    <x v="0"/>
    <x v="11"/>
    <x v="2"/>
    <x v="0"/>
  </r>
  <r>
    <x v="0"/>
    <s v="NWSL Prime Video 2025"/>
    <s v="Billing Request- 00103355"/>
    <x v="6"/>
    <d v="2025-12-15T00:00:00"/>
    <d v="2026-02-15T00:00:00"/>
    <x v="0"/>
    <s v="a6Jat7509604"/>
    <x v="5"/>
    <s v="Jul; Aug"/>
    <s v="Invoice details mismatch with approved campaign."/>
    <n v="62"/>
    <x v="0"/>
    <x v="11"/>
    <x v="1"/>
    <x v="0"/>
  </r>
  <r>
    <x v="4"/>
    <s v="Streaming Bundle Initiative 2025"/>
    <s v="Billing Request- 00103358"/>
    <x v="8"/>
    <d v="2025-12-29T00:00:00"/>
    <d v="2026-02-20T00:00:00"/>
    <x v="2"/>
    <s v="a6Jat2511667"/>
    <x v="6"/>
    <s v="Jun"/>
    <s v="Late media plan changes from client."/>
    <n v="53"/>
    <x v="1"/>
    <x v="11"/>
    <x v="3"/>
    <x v="0"/>
  </r>
  <r>
    <x v="4"/>
    <s v="Retail Media Expansion 2026"/>
    <s v="Billing Request- 00103359"/>
    <x v="6"/>
    <d v="2026-04-05T00:00:00"/>
    <d v="2026-05-06T00:00:00"/>
    <x v="0"/>
    <s v="a6Jat3577642"/>
    <x v="1"/>
    <s v="Jul"/>
    <s v="Missing supporting documentation from vendor."/>
    <n v="31"/>
    <x v="1"/>
    <x v="10"/>
    <x v="3"/>
    <x v="1"/>
  </r>
  <r>
    <x v="0"/>
    <s v="NASCAR Apex 2025 2026"/>
    <s v="Billing Request- 00103360"/>
    <x v="7"/>
    <d v="2026-04-06T00:00:00"/>
    <d v="2026-05-08T00:00:00"/>
    <x v="0"/>
    <s v="a6JHn9214464"/>
    <x v="3"/>
    <s v="Jan"/>
    <s v="Finance validation process delay."/>
    <n v="32"/>
    <x v="1"/>
    <x v="10"/>
    <x v="0"/>
    <x v="1"/>
  </r>
  <r>
    <x v="0"/>
    <s v="Prime Sports NFL 2026"/>
    <s v="Billing Request- 00103361"/>
    <x v="8"/>
    <d v="2026-01-24T00:00:00"/>
    <d v="2026-04-30T00:00:00"/>
    <x v="0"/>
    <s v="a6JXt5991806"/>
    <x v="1"/>
    <s v="Jan; Feb"/>
    <s v="Late media plan changes from client."/>
    <n v="96"/>
    <x v="0"/>
    <x v="7"/>
    <x v="3"/>
    <x v="1"/>
  </r>
  <r>
    <x v="0"/>
    <s v="NFL Prime Video 2026"/>
    <s v="Billing Request- 00103362"/>
    <x v="9"/>
    <d v="2026-04-17T00:00:00"/>
    <d v="2026-05-04T00:00:00"/>
    <x v="2"/>
    <s v="a6JXt4432778"/>
    <x v="2"/>
    <s v="Aug"/>
    <s v="Incorrect legal terms delayed PTS."/>
    <n v="17"/>
    <x v="3"/>
    <x v="10"/>
    <x v="3"/>
    <x v="1"/>
  </r>
  <r>
    <x v="0"/>
    <s v="NWSL Prime Video 2026"/>
    <s v="Billing Request- 00103363"/>
    <x v="0"/>
    <d v="2026-04-12T00:00:00"/>
    <d v="2026-05-05T00:00:00"/>
    <x v="2"/>
    <s v="a6Jat1641726"/>
    <x v="3"/>
    <s v="Mar"/>
    <s v="Invoice details mismatch with approved campaign."/>
    <n v="23"/>
    <x v="3"/>
    <x v="10"/>
    <x v="1"/>
    <x v="1"/>
  </r>
  <r>
    <x v="0"/>
    <s v="Amazon TNF 2024 2025"/>
    <s v="Billing Request- 00103364"/>
    <x v="4"/>
    <d v="2025-07-25T00:00:00"/>
    <d v="2025-08-22T00:00:00"/>
    <x v="2"/>
    <s v="a6Jat2981728"/>
    <x v="3"/>
    <s v="Mar"/>
    <s v="Missing supporting documentation from vendor."/>
    <n v="28"/>
    <x v="3"/>
    <x v="12"/>
    <x v="4"/>
    <x v="0"/>
  </r>
  <r>
    <x v="0"/>
    <s v="Amazon NBA Live Sports 2026"/>
    <s v="Billing Request- 00103366"/>
    <x v="0"/>
    <d v="2026-05-02T00:00:00"/>
    <d v="2026-05-04T00:00:00"/>
    <x v="2"/>
    <s v="a6JXt3737845"/>
    <x v="3"/>
    <s v="Nov; Dec"/>
    <s v="Missing supporting documentation from vendor."/>
    <n v="2"/>
    <x v="2"/>
    <x v="16"/>
    <x v="2"/>
    <x v="1"/>
  </r>
  <r>
    <x v="0"/>
    <s v="TNF Sponsorship 2025"/>
    <s v="Billing Request- 00103367"/>
    <x v="8"/>
    <d v="2025-08-29T00:00:00"/>
    <d v="2025-11-27T00:00:00"/>
    <x v="2"/>
    <s v="a6JXt1619634"/>
    <x v="6"/>
    <s v="Jun"/>
    <s v="Missing supporting documentation from vendor."/>
    <n v="90"/>
    <x v="0"/>
    <x v="8"/>
    <x v="4"/>
    <x v="0"/>
  </r>
  <r>
    <x v="0"/>
    <s v="TNF Sponsorship 2025"/>
    <s v="Billing Request- 00103368"/>
    <x v="4"/>
    <d v="2025-11-04T00:00:00"/>
    <d v="2026-03-04T00:00:00"/>
    <x v="2"/>
    <s v="a6JHn1158805"/>
    <x v="2"/>
    <s v="May"/>
    <s v="Manual billing entry issue."/>
    <n v="120"/>
    <x v="0"/>
    <x v="15"/>
    <x v="4"/>
    <x v="0"/>
  </r>
  <r>
    <x v="0"/>
    <s v="NBA League Pass 2025"/>
    <s v="Billing Request- 00103372"/>
    <x v="3"/>
    <d v="2025-03-22T00:00:00"/>
    <d v="2025-04-11T00:00:00"/>
    <x v="2"/>
    <s v="a6JXt6421783"/>
    <x v="0"/>
    <s v="Jan"/>
    <s v="Missing supporting documentation from vendor."/>
    <n v="20"/>
    <x v="3"/>
    <x v="13"/>
    <x v="2"/>
    <x v="0"/>
  </r>
  <r>
    <x v="4"/>
    <s v="NBA League Pass 2025"/>
    <s v="Billing Request- 00103374"/>
    <x v="8"/>
    <d v="2025-02-23T00:00:00"/>
    <d v="2025-04-12T00:00:00"/>
    <x v="2"/>
    <s v="a6JHn6038546"/>
    <x v="4"/>
    <s v="Mar; Apr"/>
    <s v=""/>
    <n v="48"/>
    <x v="1"/>
    <x v="6"/>
    <x v="2"/>
    <x v="0"/>
  </r>
  <r>
    <x v="0"/>
    <s v="NWSL Prime Video 2025"/>
    <s v="Billing Request- 00103375"/>
    <x v="3"/>
    <d v="2025-09-13T00:00:00"/>
    <d v="2025-10-18T00:00:00"/>
    <x v="2"/>
    <s v="a6JHn3531523"/>
    <x v="4"/>
    <s v="Apr"/>
    <s v="Client requested retroactive billing adjustments."/>
    <n v="35"/>
    <x v="1"/>
    <x v="14"/>
    <x v="1"/>
    <x v="0"/>
  </r>
  <r>
    <x v="0"/>
    <s v="DirecTV NASCAR Campaign 2026"/>
    <s v="Billing Request- 00103376"/>
    <x v="6"/>
    <d v="2026-02-01T00:00:00"/>
    <d v="2026-04-13T00:00:00"/>
    <x v="2"/>
    <s v="a6Jat9056135"/>
    <x v="0"/>
    <s v="Oct"/>
    <s v="Invoice details mismatch with approved campaign."/>
    <n v="71"/>
    <x v="0"/>
    <x v="1"/>
    <x v="0"/>
    <x v="1"/>
  </r>
  <r>
    <x v="0"/>
    <s v="TNF Sponsorship 2026"/>
    <s v="Billing Request- 00103377"/>
    <x v="8"/>
    <d v="2026-03-28T00:00:00"/>
    <d v="2026-05-09T00:00:00"/>
    <x v="2"/>
    <s v="a6JXt8054268"/>
    <x v="5"/>
    <s v="Jul; Aug"/>
    <s v="Late media plan changes from client."/>
    <n v="42"/>
    <x v="1"/>
    <x v="2"/>
    <x v="4"/>
    <x v="1"/>
  </r>
  <r>
    <x v="0"/>
    <s v="NBA Playoffs Campaign 2025"/>
    <s v="Billing Request- 00103379"/>
    <x v="7"/>
    <d v="2025-06-19T00:00:00"/>
    <d v="2025-07-21T00:00:00"/>
    <x v="2"/>
    <s v="a6JHn7852215"/>
    <x v="4"/>
    <s v="Jul; Aug"/>
    <s v="Agency submitted updated invoice mapping."/>
    <n v="32"/>
    <x v="1"/>
    <x v="9"/>
    <x v="2"/>
    <x v="0"/>
  </r>
  <r>
    <x v="1"/>
    <s v="NBA League Pass 2025"/>
    <s v="Billing Request- 00103381"/>
    <x v="0"/>
    <d v="2025-11-24T00:00:00"/>
    <d v="2026-01-27T00:00:00"/>
    <x v="2"/>
    <s v="a6Jat2934478"/>
    <x v="3"/>
    <s v="Jan"/>
    <s v="Invoice details mismatch with approved campaign."/>
    <n v="64"/>
    <x v="0"/>
    <x v="15"/>
    <x v="2"/>
    <x v="0"/>
  </r>
  <r>
    <x v="0"/>
    <s v="NWSL Halftime Sponsorship 2026"/>
    <s v="Billing Request- 00103382"/>
    <x v="5"/>
    <d v="2026-01-01T00:00:00"/>
    <d v="2026-02-03T00:00:00"/>
    <x v="2"/>
    <s v="a6JHn8165002"/>
    <x v="5"/>
    <s v="Mar"/>
    <s v="Late media plan changes from client."/>
    <n v="33"/>
    <x v="1"/>
    <x v="7"/>
    <x v="1"/>
    <x v="1"/>
  </r>
  <r>
    <x v="1"/>
    <s v="NWSL Halftime Sponsorship 2025"/>
    <s v="Billing Request- 00103383"/>
    <x v="6"/>
    <d v="2025-10-28T00:00:00"/>
    <d v="2025-12-30T00:00:00"/>
    <x v="2"/>
    <s v="a6Jat9936102"/>
    <x v="5"/>
    <s v="Apr"/>
    <s v=""/>
    <n v="63"/>
    <x v="0"/>
    <x v="5"/>
    <x v="1"/>
    <x v="0"/>
  </r>
  <r>
    <x v="0"/>
    <s v="NASCAR Apex 2025 2026"/>
    <s v="Billing Request- 00103385"/>
    <x v="2"/>
    <d v="2026-03-30T00:00:00"/>
    <d v="2026-05-04T00:00:00"/>
    <x v="2"/>
    <s v="a6JXt9979502"/>
    <x v="3"/>
    <s v="Sep"/>
    <s v="Missing supporting documentation from vendor."/>
    <n v="35"/>
    <x v="1"/>
    <x v="2"/>
    <x v="0"/>
    <x v="1"/>
  </r>
  <r>
    <x v="0"/>
    <s v="NBA League Pass 2025"/>
    <s v="Billing Request- 00103387"/>
    <x v="0"/>
    <d v="2025-02-10T00:00:00"/>
    <d v="2025-03-01T00:00:00"/>
    <x v="2"/>
    <s v="a6JHn2219835"/>
    <x v="6"/>
    <s v="Nov; Dec"/>
    <s v=""/>
    <n v="19"/>
    <x v="3"/>
    <x v="6"/>
    <x v="2"/>
    <x v="0"/>
  </r>
  <r>
    <x v="0"/>
    <s v="Retail Media Expansion 2025"/>
    <s v="Billing Request- 00103388"/>
    <x v="4"/>
    <d v="2025-07-11T00:00:00"/>
    <d v="2025-09-13T00:00:00"/>
    <x v="2"/>
    <s v="a6JXt1679316"/>
    <x v="6"/>
    <s v="Nov"/>
    <s v="Client requested retroactive billing adjustments."/>
    <n v="64"/>
    <x v="0"/>
    <x v="12"/>
    <x v="3"/>
    <x v="0"/>
  </r>
  <r>
    <x v="0"/>
    <s v="Prime Sports NFL 2025"/>
    <s v="Billing Request- 00103389"/>
    <x v="4"/>
    <d v="2025-06-29T00:00:00"/>
    <d v="2025-10-02T00:00:00"/>
    <x v="2"/>
    <s v="a6JHn5771146"/>
    <x v="3"/>
    <s v="Mar"/>
    <s v="Manual billing entry issue."/>
    <n v="95"/>
    <x v="0"/>
    <x v="9"/>
    <x v="3"/>
    <x v="0"/>
  </r>
  <r>
    <x v="0"/>
    <s v="NWSL Prime Video 2026"/>
    <s v="Billing Request- 00103391"/>
    <x v="0"/>
    <d v="2026-01-15T00:00:00"/>
    <d v="2026-04-25T00:00:00"/>
    <x v="2"/>
    <s v="a6Jat7181186"/>
    <x v="0"/>
    <s v="Nov"/>
    <s v=""/>
    <n v="100"/>
    <x v="0"/>
    <x v="7"/>
    <x v="1"/>
    <x v="1"/>
  </r>
  <r>
    <x v="0"/>
    <s v="Retail Media Expansion 2026"/>
    <s v="Billing Request- 00103393"/>
    <x v="9"/>
    <d v="2026-03-25T00:00:00"/>
    <d v="2026-05-06T00:00:00"/>
    <x v="0"/>
    <s v="a6Jat8802571"/>
    <x v="4"/>
    <s v="Feb"/>
    <s v="Finance validation process delay."/>
    <n v="42"/>
    <x v="1"/>
    <x v="2"/>
    <x v="3"/>
    <x v="1"/>
  </r>
  <r>
    <x v="3"/>
    <s v="Retail Media Expansion 2025"/>
    <s v="Billing Request- 00103394"/>
    <x v="0"/>
    <d v="2025-10-25T00:00:00"/>
    <d v="2026-01-16T00:00:00"/>
    <x v="0"/>
    <s v="a6JHn1456764"/>
    <x v="0"/>
    <s v="Jul; Aug"/>
    <s v=""/>
    <n v="83"/>
    <x v="0"/>
    <x v="5"/>
    <x v="3"/>
    <x v="0"/>
  </r>
  <r>
    <x v="0"/>
    <s v="TNF Sponsorship 2026"/>
    <s v="Billing Request- 00103395"/>
    <x v="5"/>
    <d v="2026-03-27T00:00:00"/>
    <d v="2026-03-29T00:00:00"/>
    <x v="2"/>
    <s v="a6Jat8443889"/>
    <x v="5"/>
    <s v="Jan; Feb"/>
    <s v="Agency submitted updated invoice mapping."/>
    <n v="2"/>
    <x v="2"/>
    <x v="2"/>
    <x v="4"/>
    <x v="1"/>
  </r>
  <r>
    <x v="2"/>
    <s v="Amazon TNF 2024 2026"/>
    <s v="Billing Request- 00103396"/>
    <x v="5"/>
    <d v="2026-01-07T00:00:00"/>
    <d v="2026-04-05T00:00:00"/>
    <x v="2"/>
    <s v="a6JXt4052888"/>
    <x v="0"/>
    <s v="Dec"/>
    <s v="Agency submitted updated invoice mapping."/>
    <n v="88"/>
    <x v="0"/>
    <x v="7"/>
    <x v="4"/>
    <x v="1"/>
  </r>
  <r>
    <x v="0"/>
    <s v="NASCAR Apex 2025 2025"/>
    <s v="Billing Request- 00103397"/>
    <x v="6"/>
    <d v="2025-03-23T00:00:00"/>
    <d v="2025-05-07T00:00:00"/>
    <x v="2"/>
    <s v="a6JHn2315491"/>
    <x v="0"/>
    <s v="Jul; Aug"/>
    <s v="Incorrect legal terms delayed PTS."/>
    <n v="45"/>
    <x v="1"/>
    <x v="13"/>
    <x v="0"/>
    <x v="0"/>
  </r>
  <r>
    <x v="0"/>
    <s v="Global Consumer Products 2025"/>
    <s v="Billing Request- 00103399"/>
    <x v="3"/>
    <d v="2025-09-17T00:00:00"/>
    <d v="2025-12-12T00:00:00"/>
    <x v="2"/>
    <s v="a6JHn4363522"/>
    <x v="1"/>
    <s v="Jan"/>
    <s v="Invoice details mismatch with approved campaign."/>
    <n v="86"/>
    <x v="0"/>
    <x v="14"/>
    <x v="3"/>
    <x v="0"/>
  </r>
  <r>
    <x v="0"/>
    <s v="Prime Sports NFL 2025"/>
    <s v="Billing Request- 00103401"/>
    <x v="3"/>
    <d v="2025-04-08T00:00:00"/>
    <d v="2025-07-27T00:00:00"/>
    <x v="2"/>
    <s v="a6Jat3155733"/>
    <x v="6"/>
    <s v="Nov"/>
    <s v="Missing supporting documentation from vendor."/>
    <n v="110"/>
    <x v="0"/>
    <x v="3"/>
    <x v="3"/>
    <x v="0"/>
  </r>
  <r>
    <x v="0"/>
    <s v="NFL Prime Video 2025"/>
    <s v="Billing Request- 00103402"/>
    <x v="8"/>
    <d v="2025-10-11T00:00:00"/>
    <d v="2025-12-08T00:00:00"/>
    <x v="1"/>
    <s v="a6JHn4764716"/>
    <x v="5"/>
    <s v="Nov; Dec"/>
    <s v="Agency submitted updated invoice mapping."/>
    <n v="58"/>
    <x v="1"/>
    <x v="5"/>
    <x v="3"/>
    <x v="0"/>
  </r>
  <r>
    <x v="0"/>
    <s v="Prime Sports NFL 2026"/>
    <s v="Billing Request- 00103404"/>
    <x v="9"/>
    <d v="2026-04-06T00:00:00"/>
    <d v="2026-05-08T00:00:00"/>
    <x v="0"/>
    <s v="a6JXt4425716"/>
    <x v="1"/>
    <s v="Sep; Oct"/>
    <s v="Incorrect legal terms delayed PTS."/>
    <n v="32"/>
    <x v="1"/>
    <x v="10"/>
    <x v="3"/>
    <x v="1"/>
  </r>
  <r>
    <x v="0"/>
    <s v="Streaming Bundle Initiative 2025"/>
    <s v="Billing Request- 00103405"/>
    <x v="8"/>
    <d v="2025-03-24T00:00:00"/>
    <d v="2025-04-19T00:00:00"/>
    <x v="0"/>
    <s v="a6Jat7695628"/>
    <x v="0"/>
    <s v="Dec"/>
    <s v="Invoice details mismatch with approved campaign."/>
    <n v="26"/>
    <x v="3"/>
    <x v="13"/>
    <x v="3"/>
    <x v="0"/>
  </r>
  <r>
    <x v="0"/>
    <s v="NBA League Pass 2025"/>
    <s v="Billing Request- 00103406"/>
    <x v="8"/>
    <d v="2025-08-18T00:00:00"/>
    <d v="2025-11-27T00:00:00"/>
    <x v="0"/>
    <s v="a6JHn8414162"/>
    <x v="2"/>
    <s v="May"/>
    <s v="Invoice details mismatch with approved campaign."/>
    <n v="101"/>
    <x v="0"/>
    <x v="8"/>
    <x v="2"/>
    <x v="0"/>
  </r>
  <r>
    <x v="0"/>
    <s v="NBA League Pass 2026"/>
    <s v="Billing Request- 00103407"/>
    <x v="3"/>
    <d v="2026-03-17T00:00:00"/>
    <d v="2026-03-23T00:00:00"/>
    <x v="0"/>
    <s v="a6JXt9425407"/>
    <x v="6"/>
    <s v="Jan"/>
    <s v=""/>
    <n v="6"/>
    <x v="2"/>
    <x v="2"/>
    <x v="2"/>
    <x v="1"/>
  </r>
  <r>
    <x v="0"/>
    <s v="NBA Playoffs Campaign 2026"/>
    <s v="Billing Request- 00103408"/>
    <x v="5"/>
    <d v="2026-03-25T00:00:00"/>
    <d v="2026-05-06T00:00:00"/>
    <x v="2"/>
    <s v="a6JHn8929430"/>
    <x v="6"/>
    <s v="Sep; Oct"/>
    <s v="Client requested retroactive billing adjustments."/>
    <n v="42"/>
    <x v="1"/>
    <x v="2"/>
    <x v="2"/>
    <x v="1"/>
  </r>
  <r>
    <x v="0"/>
    <s v="Prime Sports NFL 2025"/>
    <s v="Billing Request- 00103410"/>
    <x v="6"/>
    <d v="2025-09-25T00:00:00"/>
    <d v="2025-12-20T00:00:00"/>
    <x v="0"/>
    <s v="a6Jat6759222"/>
    <x v="2"/>
    <s v="Jan; Feb"/>
    <s v="Missing supporting documentation from vendor."/>
    <n v="86"/>
    <x v="0"/>
    <x v="14"/>
    <x v="3"/>
    <x v="0"/>
  </r>
  <r>
    <x v="0"/>
    <s v="Retail Media Expansion 2025"/>
    <s v="Billing Request- 00103412"/>
    <x v="9"/>
    <d v="2025-01-18T00:00:00"/>
    <d v="2025-04-11T00:00:00"/>
    <x v="2"/>
    <s v="a6JHn1623068"/>
    <x v="3"/>
    <s v="Oct"/>
    <s v="Manual billing entry issue."/>
    <n v="83"/>
    <x v="0"/>
    <x v="0"/>
    <x v="3"/>
    <x v="0"/>
  </r>
  <r>
    <x v="2"/>
    <s v="Confluence Academy 2025"/>
    <s v="Billing Request- 00103413"/>
    <x v="7"/>
    <d v="2025-11-29T00:00:00"/>
    <d v="2026-01-13T00:00:00"/>
    <x v="2"/>
    <s v="a6JXt7605885"/>
    <x v="5"/>
    <s v="Jul"/>
    <s v="Missing supporting documentation from vendor."/>
    <n v="45"/>
    <x v="1"/>
    <x v="15"/>
    <x v="3"/>
    <x v="0"/>
  </r>
  <r>
    <x v="0"/>
    <s v="NASCAR P&amp;Q 2026"/>
    <s v="Billing Request- 00103416"/>
    <x v="2"/>
    <d v="2026-01-09T00:00:00"/>
    <d v="2026-02-12T00:00:00"/>
    <x v="1"/>
    <s v="a6JXt1304979"/>
    <x v="2"/>
    <s v="Nov; Dec"/>
    <s v=""/>
    <n v="34"/>
    <x v="1"/>
    <x v="7"/>
    <x v="0"/>
    <x v="1"/>
  </r>
  <r>
    <x v="0"/>
    <s v="NBA League Pass 2026"/>
    <s v="Billing Request- 00103417"/>
    <x v="1"/>
    <d v="2026-04-17T00:00:00"/>
    <d v="2026-05-04T00:00:00"/>
    <x v="2"/>
    <s v="a6JXt7316280"/>
    <x v="2"/>
    <s v="May; Jun"/>
    <s v="Client requested retroactive billing adjustments."/>
    <n v="17"/>
    <x v="3"/>
    <x v="10"/>
    <x v="2"/>
    <x v="1"/>
  </r>
  <r>
    <x v="0"/>
    <s v="WNBA Incremental Scatter 2025"/>
    <s v="Billing Request- 00103418"/>
    <x v="1"/>
    <d v="2025-09-15T00:00:00"/>
    <d v="2025-11-12T00:00:00"/>
    <x v="2"/>
    <s v="a6JXt9406813"/>
    <x v="0"/>
    <s v="Mar; Apr"/>
    <s v=""/>
    <n v="58"/>
    <x v="1"/>
    <x v="14"/>
    <x v="2"/>
    <x v="0"/>
  </r>
  <r>
    <x v="4"/>
    <s v="NFL Prime Video 2026"/>
    <s v="Billing Request- 00103419"/>
    <x v="5"/>
    <d v="2026-01-27T00:00:00"/>
    <d v="2026-02-25T00:00:00"/>
    <x v="2"/>
    <s v="a6JHn2821701"/>
    <x v="5"/>
    <s v="Apr"/>
    <s v="Invoice details mismatch with approved campaign."/>
    <n v="29"/>
    <x v="3"/>
    <x v="7"/>
    <x v="3"/>
    <x v="1"/>
  </r>
  <r>
    <x v="0"/>
    <s v="NFL Prime Video 2026"/>
    <s v="Billing Request- 00103421"/>
    <x v="5"/>
    <d v="2026-02-26T00:00:00"/>
    <d v="2026-04-21T00:00:00"/>
    <x v="2"/>
    <s v="a6JHn7621332"/>
    <x v="1"/>
    <s v="Jun"/>
    <s v="Invoice details mismatch with approved campaign."/>
    <n v="54"/>
    <x v="1"/>
    <x v="1"/>
    <x v="3"/>
    <x v="1"/>
  </r>
  <r>
    <x v="0"/>
    <s v="NASCAR P&amp;Q 2026"/>
    <s v="Billing Request- 00103422"/>
    <x v="0"/>
    <d v="2026-03-21T00:00:00"/>
    <d v="2026-05-07T00:00:00"/>
    <x v="0"/>
    <s v="a6JXt9482758"/>
    <x v="1"/>
    <s v="May; Jun"/>
    <s v="Incorrect legal terms delayed PTS."/>
    <n v="47"/>
    <x v="1"/>
    <x v="2"/>
    <x v="0"/>
    <x v="1"/>
  </r>
  <r>
    <x v="0"/>
    <s v="WNBA Incremental Scatter 2025"/>
    <s v="Billing Request- 00103423"/>
    <x v="4"/>
    <d v="2025-04-29T00:00:00"/>
    <d v="2025-07-22T00:00:00"/>
    <x v="0"/>
    <s v="a6Jat8118604"/>
    <x v="3"/>
    <s v="Jun"/>
    <s v="Missing supporting documentation from vendor."/>
    <n v="84"/>
    <x v="0"/>
    <x v="3"/>
    <x v="2"/>
    <x v="0"/>
  </r>
  <r>
    <x v="0"/>
    <s v="NASCAR Apex 2025 2026"/>
    <s v="Billing Request- 00103424"/>
    <x v="2"/>
    <d v="2026-01-22T00:00:00"/>
    <d v="2026-02-25T00:00:00"/>
    <x v="2"/>
    <s v="a6Jat5444436"/>
    <x v="1"/>
    <s v="Apr"/>
    <s v="Invoice details mismatch with approved campaign."/>
    <n v="34"/>
    <x v="1"/>
    <x v="7"/>
    <x v="0"/>
    <x v="1"/>
  </r>
  <r>
    <x v="4"/>
    <s v="Retail Media Expansion 2026"/>
    <s v="Billing Request- 00103427"/>
    <x v="0"/>
    <d v="2026-02-04T00:00:00"/>
    <d v="2026-02-07T00:00:00"/>
    <x v="0"/>
    <s v="a6JHn5136095"/>
    <x v="0"/>
    <s v="Nov"/>
    <s v="Agency submitted updated invoice mapping."/>
    <n v="3"/>
    <x v="2"/>
    <x v="1"/>
    <x v="3"/>
    <x v="1"/>
  </r>
  <r>
    <x v="0"/>
    <s v="NWSL Prime Video 2025"/>
    <s v="Billing Request- 00103428"/>
    <x v="2"/>
    <d v="2025-03-30T00:00:00"/>
    <d v="2025-07-13T00:00:00"/>
    <x v="0"/>
    <s v="a6JHn3031137"/>
    <x v="0"/>
    <s v="Sep"/>
    <s v="Late media plan changes from client."/>
    <n v="105"/>
    <x v="0"/>
    <x v="13"/>
    <x v="1"/>
    <x v="0"/>
  </r>
  <r>
    <x v="0"/>
    <s v="NWSL Halftime Sponsorship 2026"/>
    <s v="Billing Request- 00103432"/>
    <x v="2"/>
    <d v="2026-02-14T00:00:00"/>
    <d v="2026-05-09T00:00:00"/>
    <x v="2"/>
    <s v="a6Jat4448087"/>
    <x v="6"/>
    <s v="Jun"/>
    <s v="Manual billing entry issue."/>
    <n v="84"/>
    <x v="0"/>
    <x v="1"/>
    <x v="1"/>
    <x v="1"/>
  </r>
  <r>
    <x v="0"/>
    <s v="NBA Playoffs Campaign 2025"/>
    <s v="Billing Request- 00103433"/>
    <x v="5"/>
    <d v="2025-02-23T00:00:00"/>
    <d v="2025-05-28T00:00:00"/>
    <x v="2"/>
    <s v="a6Jat5091002"/>
    <x v="0"/>
    <s v="May"/>
    <s v="Finance validation process delay."/>
    <n v="94"/>
    <x v="0"/>
    <x v="6"/>
    <x v="2"/>
    <x v="0"/>
  </r>
  <r>
    <x v="3"/>
    <s v="NASCAR Apex 2025 2025"/>
    <s v="Billing Request- 00103434"/>
    <x v="1"/>
    <d v="2025-08-08T00:00:00"/>
    <d v="2025-10-04T00:00:00"/>
    <x v="2"/>
    <s v="a6JXt9534529"/>
    <x v="5"/>
    <s v="Oct"/>
    <s v="Missing supporting documentation from vendor."/>
    <n v="57"/>
    <x v="1"/>
    <x v="8"/>
    <x v="0"/>
    <x v="0"/>
  </r>
  <r>
    <x v="0"/>
    <s v="NWSL Prime Video 2025"/>
    <s v="Billing Request- 00103435"/>
    <x v="2"/>
    <d v="2025-08-17T00:00:00"/>
    <d v="2025-11-07T00:00:00"/>
    <x v="2"/>
    <s v="a6JXt5857486"/>
    <x v="5"/>
    <s v="Jul"/>
    <s v="Incorrect legal terms delayed PTS."/>
    <n v="82"/>
    <x v="0"/>
    <x v="8"/>
    <x v="1"/>
    <x v="0"/>
  </r>
  <r>
    <x v="0"/>
    <s v="NASCAR P&amp;Q 2025"/>
    <s v="Billing Request- 00103438"/>
    <x v="7"/>
    <d v="2025-11-02T00:00:00"/>
    <d v="2025-11-04T00:00:00"/>
    <x v="0"/>
    <s v="a6JXt9959229"/>
    <x v="4"/>
    <s v="Jul"/>
    <s v="Incorrect legal terms delayed PTS."/>
    <n v="2"/>
    <x v="2"/>
    <x v="15"/>
    <x v="0"/>
    <x v="0"/>
  </r>
  <r>
    <x v="0"/>
    <s v="Amazon TNF 2024 2025"/>
    <s v="Billing Request- 00103439"/>
    <x v="5"/>
    <d v="2025-12-07T00:00:00"/>
    <d v="2026-03-31T00:00:00"/>
    <x v="2"/>
    <s v="a6JXt1190110"/>
    <x v="4"/>
    <s v="Mar; Apr"/>
    <s v="Agency submitted updated invoice mapping."/>
    <n v="114"/>
    <x v="0"/>
    <x v="11"/>
    <x v="4"/>
    <x v="0"/>
  </r>
  <r>
    <x v="0"/>
    <s v="Retail Media Expansion 2025"/>
    <s v="Billing Request- 00103440"/>
    <x v="7"/>
    <d v="2025-03-03T00:00:00"/>
    <d v="2025-06-23T00:00:00"/>
    <x v="0"/>
    <s v="a6JXt7129798"/>
    <x v="6"/>
    <s v="Apr"/>
    <s v="Invoice details mismatch with approved campaign."/>
    <n v="112"/>
    <x v="0"/>
    <x v="13"/>
    <x v="3"/>
    <x v="0"/>
  </r>
  <r>
    <x v="0"/>
    <s v="NWSL Prime Video 2025"/>
    <s v="Billing Request- 00103442"/>
    <x v="9"/>
    <d v="2025-02-13T00:00:00"/>
    <d v="2025-02-16T00:00:00"/>
    <x v="2"/>
    <s v="a6Jat4954062"/>
    <x v="3"/>
    <s v="Feb"/>
    <s v="Late media plan changes from client."/>
    <n v="3"/>
    <x v="2"/>
    <x v="6"/>
    <x v="1"/>
    <x v="0"/>
  </r>
  <r>
    <x v="0"/>
    <s v="NBA Playoffs Campaign 2025"/>
    <s v="Billing Request- 00103443"/>
    <x v="5"/>
    <d v="2025-03-14T00:00:00"/>
    <d v="2025-05-06T00:00:00"/>
    <x v="1"/>
    <s v="a6JXt3211698"/>
    <x v="3"/>
    <s v="Apr"/>
    <s v=""/>
    <n v="53"/>
    <x v="1"/>
    <x v="13"/>
    <x v="2"/>
    <x v="0"/>
  </r>
  <r>
    <x v="0"/>
    <s v="NFL Prime Video 2026"/>
    <s v="Billing Request- 00103444"/>
    <x v="4"/>
    <d v="2026-02-07T00:00:00"/>
    <d v="2026-05-06T00:00:00"/>
    <x v="1"/>
    <s v="a6Jat2091522"/>
    <x v="5"/>
    <s v="Oct"/>
    <s v="Client requested retroactive billing adjustments."/>
    <n v="88"/>
    <x v="0"/>
    <x v="1"/>
    <x v="3"/>
    <x v="1"/>
  </r>
  <r>
    <x v="0"/>
    <s v="WNBA Incremental Scatter 2025"/>
    <s v="Billing Request- 00103447"/>
    <x v="7"/>
    <d v="2025-12-11T00:00:00"/>
    <d v="2026-04-10T00:00:00"/>
    <x v="2"/>
    <s v="a6Jat8902812"/>
    <x v="6"/>
    <s v="Sep; Oct"/>
    <s v="Finance validation process delay."/>
    <n v="120"/>
    <x v="0"/>
    <x v="11"/>
    <x v="2"/>
    <x v="0"/>
  </r>
  <r>
    <x v="1"/>
    <s v="NFL Prime Video 2025"/>
    <s v="Billing Request- 00103449"/>
    <x v="3"/>
    <d v="2025-01-21T00:00:00"/>
    <d v="2025-03-24T00:00:00"/>
    <x v="1"/>
    <s v="a6JHn5788492"/>
    <x v="1"/>
    <s v="Nov"/>
    <s v="Finance validation process delay."/>
    <n v="62"/>
    <x v="0"/>
    <x v="0"/>
    <x v="3"/>
    <x v="0"/>
  </r>
  <r>
    <x v="0"/>
    <s v="Retail Media Expansion 2025"/>
    <s v="Billing Request- 00103450"/>
    <x v="1"/>
    <d v="2025-10-01T00:00:00"/>
    <d v="2026-01-17T00:00:00"/>
    <x v="2"/>
    <s v="a6Jat9941407"/>
    <x v="3"/>
    <s v="Jun"/>
    <s v="Agency submitted updated invoice mapping."/>
    <n v="108"/>
    <x v="0"/>
    <x v="5"/>
    <x v="3"/>
    <x v="0"/>
  </r>
  <r>
    <x v="0"/>
    <s v="Amazon NBA Live Sports 2025"/>
    <s v="Billing Request- 00103451"/>
    <x v="4"/>
    <d v="2025-04-17T00:00:00"/>
    <d v="2025-05-10T00:00:00"/>
    <x v="2"/>
    <s v="a6JHn5293662"/>
    <x v="6"/>
    <s v="Oct"/>
    <s v="Manual billing entry issue."/>
    <n v="23"/>
    <x v="3"/>
    <x v="3"/>
    <x v="2"/>
    <x v="0"/>
  </r>
  <r>
    <x v="0"/>
    <s v="NASCAR Apex 2025 2025"/>
    <s v="Billing Request- 00103452"/>
    <x v="2"/>
    <d v="2025-06-01T00:00:00"/>
    <d v="2025-08-03T00:00:00"/>
    <x v="2"/>
    <s v="a6JXt7741393"/>
    <x v="3"/>
    <s v="Sep"/>
    <s v="Finance validation process delay."/>
    <n v="63"/>
    <x v="0"/>
    <x v="9"/>
    <x v="0"/>
    <x v="0"/>
  </r>
  <r>
    <x v="0"/>
    <s v="Retail Media Expansion 2025"/>
    <s v="Billing Request- 00103453"/>
    <x v="9"/>
    <d v="2025-01-30T00:00:00"/>
    <d v="2025-04-01T00:00:00"/>
    <x v="2"/>
    <s v="a6JHn4635373"/>
    <x v="0"/>
    <s v="Sep; Oct"/>
    <s v="Manual billing entry issue."/>
    <n v="61"/>
    <x v="0"/>
    <x v="0"/>
    <x v="3"/>
    <x v="0"/>
  </r>
  <r>
    <x v="0"/>
    <s v="DirecTV NASCAR Campaign 2025"/>
    <s v="Billing Request- 00103454"/>
    <x v="3"/>
    <d v="2025-06-29T00:00:00"/>
    <d v="2025-08-15T00:00:00"/>
    <x v="0"/>
    <s v="a6JHn5093787"/>
    <x v="0"/>
    <s v="Dec"/>
    <s v="Client requested retroactive billing adjustments."/>
    <n v="47"/>
    <x v="1"/>
    <x v="9"/>
    <x v="0"/>
    <x v="0"/>
  </r>
  <r>
    <x v="1"/>
    <s v="NBA League Pass 2025"/>
    <s v="Billing Request- 00103456"/>
    <x v="7"/>
    <d v="2025-02-09T00:00:00"/>
    <d v="2025-05-22T00:00:00"/>
    <x v="0"/>
    <s v="a6Jat5743807"/>
    <x v="4"/>
    <s v="Aug"/>
    <s v="Incorrect legal terms delayed PTS."/>
    <n v="102"/>
    <x v="0"/>
    <x v="6"/>
    <x v="2"/>
    <x v="0"/>
  </r>
  <r>
    <x v="0"/>
    <s v="Streaming Bundle Initiative 2026"/>
    <s v="Billing Request- 00103457"/>
    <x v="9"/>
    <d v="2026-04-06T00:00:00"/>
    <d v="2026-05-06T00:00:00"/>
    <x v="2"/>
    <s v="a6Jat6240906"/>
    <x v="6"/>
    <s v="Mar"/>
    <s v="Manual billing entry issue."/>
    <n v="30"/>
    <x v="3"/>
    <x v="10"/>
    <x v="3"/>
    <x v="1"/>
  </r>
  <r>
    <x v="4"/>
    <s v="WNBA Incremental Scatter 2026"/>
    <s v="Billing Request- 00103458"/>
    <x v="4"/>
    <d v="2026-02-23T00:00:00"/>
    <d v="2026-04-06T00:00:00"/>
    <x v="2"/>
    <s v="a6Jat7429312"/>
    <x v="2"/>
    <s v="Jul"/>
    <s v="Incorrect legal terms delayed PTS."/>
    <n v="42"/>
    <x v="1"/>
    <x v="1"/>
    <x v="2"/>
    <x v="1"/>
  </r>
  <r>
    <x v="4"/>
    <s v="NWSL Prime Video 2026"/>
    <s v="Billing Request- 00103459"/>
    <x v="1"/>
    <d v="2026-03-12T00:00:00"/>
    <d v="2026-03-29T00:00:00"/>
    <x v="2"/>
    <s v="a6Jat7360916"/>
    <x v="3"/>
    <s v="Feb"/>
    <s v=""/>
    <n v="17"/>
    <x v="3"/>
    <x v="2"/>
    <x v="1"/>
    <x v="1"/>
  </r>
  <r>
    <x v="0"/>
    <s v="Amazon TNF 2024 2026"/>
    <s v="Billing Request- 00103460"/>
    <x v="6"/>
    <d v="2026-02-18T00:00:00"/>
    <d v="2026-03-04T00:00:00"/>
    <x v="0"/>
    <s v="a6Jat5951010"/>
    <x v="0"/>
    <s v="Sep"/>
    <s v="Client requested retroactive billing adjustments."/>
    <n v="14"/>
    <x v="4"/>
    <x v="1"/>
    <x v="4"/>
    <x v="1"/>
  </r>
  <r>
    <x v="0"/>
    <s v="Global Consumer Products 2025"/>
    <s v="Billing Request- 00103461"/>
    <x v="4"/>
    <d v="2025-02-26T00:00:00"/>
    <d v="2025-05-15T00:00:00"/>
    <x v="2"/>
    <s v="a6JXt1194860"/>
    <x v="1"/>
    <s v="Nov"/>
    <s v="Missing supporting documentation from vendor."/>
    <n v="78"/>
    <x v="0"/>
    <x v="6"/>
    <x v="3"/>
    <x v="0"/>
  </r>
  <r>
    <x v="1"/>
    <s v="Amazon NBA Live Sports 2026"/>
    <s v="Billing Request- 00103462"/>
    <x v="8"/>
    <d v="2026-03-01T00:00:00"/>
    <d v="2026-05-07T00:00:00"/>
    <x v="2"/>
    <s v="a6JHn2460092"/>
    <x v="1"/>
    <s v="Mar; Apr"/>
    <s v="Manual billing entry issue."/>
    <n v="67"/>
    <x v="0"/>
    <x v="2"/>
    <x v="2"/>
    <x v="1"/>
  </r>
  <r>
    <x v="0"/>
    <s v="WNBA Incremental Scatter 2025"/>
    <s v="Billing Request- 00103463"/>
    <x v="8"/>
    <d v="2025-05-16T00:00:00"/>
    <d v="2025-05-31T00:00:00"/>
    <x v="2"/>
    <s v="a6JXt7314480"/>
    <x v="6"/>
    <s v="Feb"/>
    <s v="Missing supporting documentation from vendor."/>
    <n v="15"/>
    <x v="3"/>
    <x v="4"/>
    <x v="2"/>
    <x v="0"/>
  </r>
  <r>
    <x v="0"/>
    <s v="NBA League Pass 2025"/>
    <s v="Billing Request- 00103464"/>
    <x v="8"/>
    <d v="2025-08-05T00:00:00"/>
    <d v="2025-08-08T00:00:00"/>
    <x v="1"/>
    <s v="a6JHn8478464"/>
    <x v="0"/>
    <s v="Oct"/>
    <s v="Incorrect legal terms delayed PTS."/>
    <n v="3"/>
    <x v="2"/>
    <x v="8"/>
    <x v="2"/>
    <x v="0"/>
  </r>
  <r>
    <x v="0"/>
    <s v="NASCAR Apex 2025 2025"/>
    <s v="Billing Request- 00103465"/>
    <x v="8"/>
    <d v="2025-10-24T00:00:00"/>
    <d v="2025-10-30T00:00:00"/>
    <x v="2"/>
    <s v="a6Jat3155957"/>
    <x v="1"/>
    <s v="Jul; Aug"/>
    <s v="Invoice details mismatch with approved campaign."/>
    <n v="6"/>
    <x v="2"/>
    <x v="5"/>
    <x v="0"/>
    <x v="0"/>
  </r>
  <r>
    <x v="0"/>
    <s v="NWSL Halftime Sponsorship 2026"/>
    <s v="Billing Request- 00103467"/>
    <x v="2"/>
    <d v="2026-03-05T00:00:00"/>
    <d v="2026-03-18T00:00:00"/>
    <x v="1"/>
    <s v="a6Jat2118894"/>
    <x v="4"/>
    <s v="Sep"/>
    <s v="Incorrect legal terms delayed PTS."/>
    <n v="13"/>
    <x v="4"/>
    <x v="2"/>
    <x v="1"/>
    <x v="1"/>
  </r>
  <r>
    <x v="0"/>
    <s v="Global Consumer Products 2026"/>
    <s v="Billing Request- 00103470"/>
    <x v="4"/>
    <d v="2026-03-23T00:00:00"/>
    <d v="2026-05-09T00:00:00"/>
    <x v="0"/>
    <s v="a6Jat5264203"/>
    <x v="6"/>
    <s v="Mar"/>
    <s v="Finance validation process delay."/>
    <n v="47"/>
    <x v="1"/>
    <x v="2"/>
    <x v="3"/>
    <x v="1"/>
  </r>
  <r>
    <x v="0"/>
    <s v="Prime Sports NFL 2025"/>
    <s v="Billing Request- 00103471"/>
    <x v="1"/>
    <d v="2025-02-15T00:00:00"/>
    <d v="2025-04-16T00:00:00"/>
    <x v="0"/>
    <s v="a6Jat2901784"/>
    <x v="2"/>
    <s v="May"/>
    <s v="Finance validation process delay."/>
    <n v="60"/>
    <x v="1"/>
    <x v="6"/>
    <x v="3"/>
    <x v="0"/>
  </r>
  <r>
    <x v="0"/>
    <s v="Amazon TNF 2024 2026"/>
    <s v="Billing Request- 00103473"/>
    <x v="2"/>
    <d v="2026-04-19T00:00:00"/>
    <d v="2026-05-09T00:00:00"/>
    <x v="0"/>
    <s v="a6JXt6321605"/>
    <x v="1"/>
    <s v="May"/>
    <s v="Missing supporting documentation from vendor."/>
    <n v="20"/>
    <x v="3"/>
    <x v="10"/>
    <x v="4"/>
    <x v="1"/>
  </r>
  <r>
    <x v="4"/>
    <s v="NWSL Halftime Sponsorship 2025"/>
    <s v="Billing Request- 00103474"/>
    <x v="7"/>
    <d v="2025-12-30T00:00:00"/>
    <d v="2026-04-24T00:00:00"/>
    <x v="2"/>
    <s v="a6JHn5700300"/>
    <x v="3"/>
    <s v="Jun"/>
    <s v="Late media plan changes from client."/>
    <n v="115"/>
    <x v="0"/>
    <x v="11"/>
    <x v="1"/>
    <x v="0"/>
  </r>
  <r>
    <x v="3"/>
    <s v="TNF Sponsorship 2026"/>
    <s v="Billing Request- 00103475"/>
    <x v="9"/>
    <d v="2026-01-18T00:00:00"/>
    <d v="2026-05-06T00:00:00"/>
    <x v="2"/>
    <s v="a6JHn7639677"/>
    <x v="4"/>
    <s v="Sep"/>
    <s v=""/>
    <n v="108"/>
    <x v="0"/>
    <x v="7"/>
    <x v="4"/>
    <x v="1"/>
  </r>
  <r>
    <x v="0"/>
    <s v="Global Consumer Products 2025"/>
    <s v="Billing Request- 00103477"/>
    <x v="7"/>
    <d v="2025-04-25T00:00:00"/>
    <d v="2025-07-01T00:00:00"/>
    <x v="0"/>
    <s v="a6JXt3496583"/>
    <x v="3"/>
    <s v="Mar; Apr"/>
    <s v="Missing supporting documentation from vendor."/>
    <n v="67"/>
    <x v="0"/>
    <x v="3"/>
    <x v="3"/>
    <x v="0"/>
  </r>
  <r>
    <x v="0"/>
    <s v="NWSL Prime Video 2025"/>
    <s v="Billing Request- 00103478"/>
    <x v="9"/>
    <d v="2025-02-03T00:00:00"/>
    <d v="2025-05-23T00:00:00"/>
    <x v="2"/>
    <s v="a6Jat2653386"/>
    <x v="1"/>
    <s v="Sep"/>
    <s v="Invoice details mismatch with approved campaign."/>
    <n v="109"/>
    <x v="0"/>
    <x v="6"/>
    <x v="1"/>
    <x v="0"/>
  </r>
  <r>
    <x v="0"/>
    <s v="NWSL Halftime Sponsorship 2025"/>
    <s v="Billing Request- 00103480"/>
    <x v="3"/>
    <d v="2025-05-29T00:00:00"/>
    <d v="2025-08-20T00:00:00"/>
    <x v="0"/>
    <s v="a6Jat9327645"/>
    <x v="5"/>
    <s v="Feb"/>
    <s v="Finance validation process delay."/>
    <n v="83"/>
    <x v="0"/>
    <x v="4"/>
    <x v="1"/>
    <x v="0"/>
  </r>
  <r>
    <x v="0"/>
    <s v="NASCAR Apex 2025 2025"/>
    <s v="Billing Request- 00103481"/>
    <x v="7"/>
    <d v="2025-10-23T00:00:00"/>
    <d v="2026-02-07T00:00:00"/>
    <x v="2"/>
    <s v="a6JXt9839713"/>
    <x v="6"/>
    <s v="Sep"/>
    <s v="Incorrect legal terms delayed PTS."/>
    <n v="107"/>
    <x v="0"/>
    <x v="5"/>
    <x v="0"/>
    <x v="0"/>
  </r>
  <r>
    <x v="0"/>
    <s v="DirecTV NASCAR Campaign 2025"/>
    <s v="Billing Request- 00103482"/>
    <x v="7"/>
    <d v="2025-06-15T00:00:00"/>
    <d v="2025-09-05T00:00:00"/>
    <x v="2"/>
    <s v="a6JHn5033996"/>
    <x v="3"/>
    <s v="Aug"/>
    <s v="Invoice details mismatch with approved campaign."/>
    <n v="82"/>
    <x v="0"/>
    <x v="9"/>
    <x v="0"/>
    <x v="0"/>
  </r>
  <r>
    <x v="0"/>
    <s v="Streaming Bundle Initiative 2026"/>
    <s v="Billing Request- 00103483"/>
    <x v="5"/>
    <d v="2026-05-01T00:00:00"/>
    <d v="2026-05-06T00:00:00"/>
    <x v="0"/>
    <s v="a6JXt7044006"/>
    <x v="1"/>
    <s v="Dec"/>
    <s v="Manual billing entry issue."/>
    <n v="5"/>
    <x v="2"/>
    <x v="16"/>
    <x v="3"/>
    <x v="1"/>
  </r>
  <r>
    <x v="0"/>
    <s v="Streaming Bundle Initiative 2025"/>
    <s v="Billing Request- 00103485"/>
    <x v="5"/>
    <d v="2025-11-15T00:00:00"/>
    <d v="2026-01-05T00:00:00"/>
    <x v="2"/>
    <s v="a6JXt7014111"/>
    <x v="5"/>
    <s v="Jan"/>
    <s v="Invoice details mismatch with approved campaign."/>
    <n v="51"/>
    <x v="1"/>
    <x v="15"/>
    <x v="3"/>
    <x v="0"/>
  </r>
  <r>
    <x v="0"/>
    <s v="TNF Sponsorship 2025"/>
    <s v="Billing Request- 00103486"/>
    <x v="3"/>
    <d v="2025-12-03T00:00:00"/>
    <d v="2026-01-18T00:00:00"/>
    <x v="2"/>
    <s v="a6JXt2131134"/>
    <x v="3"/>
    <s v="May; Jun"/>
    <s v="Agency submitted updated invoice mapping."/>
    <n v="46"/>
    <x v="1"/>
    <x v="11"/>
    <x v="4"/>
    <x v="0"/>
  </r>
  <r>
    <x v="0"/>
    <s v="NWSL Halftime Sponsorship 2025"/>
    <s v="Billing Request- 00103487"/>
    <x v="2"/>
    <d v="2025-09-16T00:00:00"/>
    <d v="2025-09-23T00:00:00"/>
    <x v="2"/>
    <s v="a6JXt3884191"/>
    <x v="6"/>
    <s v="Mar; Apr"/>
    <s v="Incorrect legal terms delayed PTS."/>
    <n v="7"/>
    <x v="2"/>
    <x v="14"/>
    <x v="1"/>
    <x v="0"/>
  </r>
  <r>
    <x v="0"/>
    <s v="Confluence Academy 2025"/>
    <s v="Billing Request- 00103489"/>
    <x v="5"/>
    <d v="2025-11-10T00:00:00"/>
    <d v="2025-11-14T00:00:00"/>
    <x v="0"/>
    <s v="a6Jat3059204"/>
    <x v="2"/>
    <s v="Apr"/>
    <s v="Finance validation process delay."/>
    <n v="4"/>
    <x v="2"/>
    <x v="15"/>
    <x v="3"/>
    <x v="0"/>
  </r>
  <r>
    <x v="0"/>
    <s v="Retail Media Expansion 2026"/>
    <s v="Billing Request- 00103490"/>
    <x v="1"/>
    <d v="2026-03-27T00:00:00"/>
    <d v="2026-05-08T00:00:00"/>
    <x v="0"/>
    <s v="a6Jat5050301"/>
    <x v="4"/>
    <s v="Nov"/>
    <s v="Missing supporting documentation from vendor."/>
    <n v="42"/>
    <x v="1"/>
    <x v="2"/>
    <x v="3"/>
    <x v="1"/>
  </r>
  <r>
    <x v="0"/>
    <s v="NFL Prime Video 2025"/>
    <s v="Billing Request- 00103491"/>
    <x v="9"/>
    <d v="2025-03-12T00:00:00"/>
    <d v="2025-04-26T00:00:00"/>
    <x v="2"/>
    <s v="a6JHn3068402"/>
    <x v="4"/>
    <s v="May; Jun"/>
    <s v="Incorrect legal terms delayed PTS."/>
    <n v="45"/>
    <x v="1"/>
    <x v="13"/>
    <x v="3"/>
    <x v="0"/>
  </r>
  <r>
    <x v="4"/>
    <s v="NBA League Pass 2026"/>
    <s v="Billing Request- 00103492"/>
    <x v="7"/>
    <d v="2026-03-08T00:00:00"/>
    <d v="2026-03-20T00:00:00"/>
    <x v="2"/>
    <s v="a6JXt9297407"/>
    <x v="4"/>
    <s v="Jul"/>
    <s v="Invoice details mismatch with approved campaign."/>
    <n v="12"/>
    <x v="4"/>
    <x v="2"/>
    <x v="2"/>
    <x v="1"/>
  </r>
  <r>
    <x v="0"/>
    <s v="NWSL Prime Video 2025"/>
    <s v="Billing Request- 00103493"/>
    <x v="5"/>
    <d v="2025-04-30T00:00:00"/>
    <d v="2025-07-29T00:00:00"/>
    <x v="0"/>
    <s v="a6JXt6192858"/>
    <x v="6"/>
    <s v="Sep"/>
    <s v="Agency submitted updated invoice mapping."/>
    <n v="90"/>
    <x v="0"/>
    <x v="3"/>
    <x v="1"/>
    <x v="0"/>
  </r>
  <r>
    <x v="0"/>
    <s v="Retail Media Expansion 2025"/>
    <s v="Billing Request- 00103495"/>
    <x v="4"/>
    <d v="2025-12-06T00:00:00"/>
    <d v="2026-01-18T00:00:00"/>
    <x v="0"/>
    <s v="a6JHn4795425"/>
    <x v="1"/>
    <s v="Dec"/>
    <s v="Invoice details mismatch with approved campaign."/>
    <n v="43"/>
    <x v="1"/>
    <x v="11"/>
    <x v="3"/>
    <x v="0"/>
  </r>
  <r>
    <x v="0"/>
    <s v="NWSL Prime Video 2025"/>
    <s v="Billing Request- 00103496"/>
    <x v="9"/>
    <d v="2025-12-17T00:00:00"/>
    <d v="2026-02-26T00:00:00"/>
    <x v="1"/>
    <s v="a6JXt4753691"/>
    <x v="3"/>
    <s v="Jun"/>
    <s v="Finance validation process delay."/>
    <n v="71"/>
    <x v="0"/>
    <x v="11"/>
    <x v="1"/>
    <x v="0"/>
  </r>
  <r>
    <x v="1"/>
    <s v="NWSL Halftime Sponsorship 2025"/>
    <s v="Billing Request- 00103501"/>
    <x v="3"/>
    <d v="2025-02-23T00:00:00"/>
    <d v="2025-03-27T00:00:00"/>
    <x v="1"/>
    <s v="a6JXt8375373"/>
    <x v="4"/>
    <s v="Jul; Aug"/>
    <s v="Agency submitted updated invoice mapping."/>
    <n v="32"/>
    <x v="1"/>
    <x v="6"/>
    <x v="1"/>
    <x v="0"/>
  </r>
  <r>
    <x v="0"/>
    <s v="DirecTV NASCAR Campaign 2025"/>
    <s v="Billing Request- 00103504"/>
    <x v="1"/>
    <d v="2025-04-12T00:00:00"/>
    <d v="2025-06-08T00:00:00"/>
    <x v="0"/>
    <s v="a6Jat3068650"/>
    <x v="4"/>
    <s v="Jul"/>
    <s v="Finance validation process delay."/>
    <n v="57"/>
    <x v="1"/>
    <x v="3"/>
    <x v="0"/>
    <x v="0"/>
  </r>
  <r>
    <x v="0"/>
    <s v="Retail Media Expansion 2026"/>
    <s v="Billing Request- 00103507"/>
    <x v="4"/>
    <d v="2026-01-08T00:00:00"/>
    <d v="2026-04-04T00:00:00"/>
    <x v="0"/>
    <s v="a6JXt6402451"/>
    <x v="1"/>
    <s v="May"/>
    <s v=""/>
    <n v="86"/>
    <x v="0"/>
    <x v="7"/>
    <x v="3"/>
    <x v="1"/>
  </r>
  <r>
    <x v="0"/>
    <s v="NASCAR P&amp;Q 2025"/>
    <s v="Billing Request- 00103509"/>
    <x v="9"/>
    <d v="2025-05-31T00:00:00"/>
    <d v="2025-06-13T00:00:00"/>
    <x v="2"/>
    <s v="a6Jat7397582"/>
    <x v="0"/>
    <s v="Jul; Aug"/>
    <s v="Client requested retroactive billing adjustments."/>
    <n v="13"/>
    <x v="4"/>
    <x v="4"/>
    <x v="0"/>
    <x v="0"/>
  </r>
  <r>
    <x v="0"/>
    <s v="NWSL Halftime Sponsorship 2025"/>
    <s v="Billing Request- 00103510"/>
    <x v="9"/>
    <d v="2025-12-06T00:00:00"/>
    <d v="2026-03-06T00:00:00"/>
    <x v="2"/>
    <s v="a6Jat2159104"/>
    <x v="2"/>
    <s v="Mar"/>
    <s v="Incorrect legal terms delayed PTS."/>
    <n v="90"/>
    <x v="0"/>
    <x v="11"/>
    <x v="1"/>
    <x v="0"/>
  </r>
  <r>
    <x v="0"/>
    <s v="WNBA Incremental Scatter 2026"/>
    <s v="Billing Request- 00103511"/>
    <x v="7"/>
    <d v="2026-03-27T00:00:00"/>
    <d v="2026-05-04T00:00:00"/>
    <x v="2"/>
    <s v="a6JXt2914094"/>
    <x v="3"/>
    <s v="Feb"/>
    <s v="Manual billing entry issue."/>
    <n v="38"/>
    <x v="1"/>
    <x v="2"/>
    <x v="2"/>
    <x v="1"/>
  </r>
  <r>
    <x v="0"/>
    <s v="NWSL Halftime Sponsorship 2025"/>
    <s v="Billing Request- 00103512"/>
    <x v="4"/>
    <d v="2025-11-15T00:00:00"/>
    <d v="2025-11-25T00:00:00"/>
    <x v="2"/>
    <s v="a6JXt4543473"/>
    <x v="0"/>
    <s v="Apr"/>
    <s v=""/>
    <n v="10"/>
    <x v="4"/>
    <x v="15"/>
    <x v="1"/>
    <x v="0"/>
  </r>
  <r>
    <x v="1"/>
    <s v="TNF Sponsorship 2025"/>
    <s v="Billing Request- 00103513"/>
    <x v="8"/>
    <d v="2025-01-27T00:00:00"/>
    <d v="2025-05-22T00:00:00"/>
    <x v="2"/>
    <s v="a6Jat1756380"/>
    <x v="4"/>
    <s v="Apr"/>
    <s v="Missing supporting documentation from vendor."/>
    <n v="115"/>
    <x v="0"/>
    <x v="0"/>
    <x v="4"/>
    <x v="0"/>
  </r>
  <r>
    <x v="0"/>
    <s v="Confluence Academy 2026"/>
    <s v="Billing Request- 00103515"/>
    <x v="0"/>
    <d v="2026-03-26T00:00:00"/>
    <d v="2026-05-08T00:00:00"/>
    <x v="0"/>
    <s v="a6JHn8401391"/>
    <x v="2"/>
    <s v="Apr"/>
    <s v="Agency submitted updated invoice mapping."/>
    <n v="43"/>
    <x v="1"/>
    <x v="2"/>
    <x v="3"/>
    <x v="1"/>
  </r>
  <r>
    <x v="0"/>
    <s v="Streaming Bundle Initiative 2026"/>
    <s v="Billing Request- 00103517"/>
    <x v="2"/>
    <d v="2026-01-26T00:00:00"/>
    <d v="2026-04-09T00:00:00"/>
    <x v="0"/>
    <s v="a6JXt5413309"/>
    <x v="3"/>
    <s v="Mar; Apr"/>
    <s v="Invoice details mismatch with approved campaign."/>
    <n v="73"/>
    <x v="0"/>
    <x v="7"/>
    <x v="3"/>
    <x v="1"/>
  </r>
  <r>
    <x v="4"/>
    <s v="Confluence Academy 2026"/>
    <s v="Billing Request- 00103518"/>
    <x v="4"/>
    <d v="2026-04-25T00:00:00"/>
    <d v="2026-05-04T00:00:00"/>
    <x v="2"/>
    <s v="a6JHn4111331"/>
    <x v="3"/>
    <s v="Sep"/>
    <s v="Client requested retroactive billing adjustments."/>
    <n v="9"/>
    <x v="4"/>
    <x v="10"/>
    <x v="3"/>
    <x v="1"/>
  </r>
  <r>
    <x v="0"/>
    <s v="DirecTV NASCAR Campaign 2026"/>
    <s v="Billing Request- 00103519"/>
    <x v="0"/>
    <d v="2026-04-03T00:00:00"/>
    <d v="2026-05-09T00:00:00"/>
    <x v="2"/>
    <s v="a6JHn1161392"/>
    <x v="1"/>
    <s v="Jun"/>
    <s v="Client requested retroactive billing adjustments."/>
    <n v="36"/>
    <x v="1"/>
    <x v="10"/>
    <x v="0"/>
    <x v="1"/>
  </r>
  <r>
    <x v="0"/>
    <s v="TNF Sponsorship 2026"/>
    <s v="Billing Request- 00103521"/>
    <x v="4"/>
    <d v="2026-01-21T00:00:00"/>
    <d v="2026-03-01T00:00:00"/>
    <x v="2"/>
    <s v="a6JHn9032177"/>
    <x v="5"/>
    <s v="Mar"/>
    <s v="Late media plan changes from client."/>
    <n v="39"/>
    <x v="1"/>
    <x v="7"/>
    <x v="4"/>
    <x v="1"/>
  </r>
  <r>
    <x v="0"/>
    <s v="NASCAR Apex 2025 2026"/>
    <s v="Billing Request- 00103522"/>
    <x v="4"/>
    <d v="2026-03-11T00:00:00"/>
    <d v="2026-05-06T00:00:00"/>
    <x v="2"/>
    <s v="a6Jat1227355"/>
    <x v="3"/>
    <s v="Feb"/>
    <s v="Client requested retroactive billing adjustments."/>
    <n v="56"/>
    <x v="1"/>
    <x v="2"/>
    <x v="0"/>
    <x v="1"/>
  </r>
  <r>
    <x v="0"/>
    <s v="Confluence Academy 2025"/>
    <s v="Billing Request- 00103525"/>
    <x v="1"/>
    <d v="2025-02-12T00:00:00"/>
    <d v="2025-03-09T00:00:00"/>
    <x v="2"/>
    <s v="a6JXt2327411"/>
    <x v="5"/>
    <s v="Apr"/>
    <s v="Agency submitted updated invoice mapping."/>
    <n v="25"/>
    <x v="3"/>
    <x v="6"/>
    <x v="3"/>
    <x v="0"/>
  </r>
  <r>
    <x v="0"/>
    <s v="NWSL Prime Video 2025"/>
    <s v="Billing Request- 00103526"/>
    <x v="6"/>
    <d v="2025-02-24T00:00:00"/>
    <d v="2025-06-06T00:00:00"/>
    <x v="0"/>
    <s v="a6Jat2971351"/>
    <x v="5"/>
    <s v="Nov"/>
    <s v="Client requested retroactive billing adjustments."/>
    <n v="102"/>
    <x v="0"/>
    <x v="6"/>
    <x v="1"/>
    <x v="0"/>
  </r>
  <r>
    <x v="3"/>
    <s v="Prime Sports NFL 2025"/>
    <s v="Billing Request- 00103527"/>
    <x v="2"/>
    <d v="2025-02-25T00:00:00"/>
    <d v="2025-04-10T00:00:00"/>
    <x v="1"/>
    <s v="a6Jat9342623"/>
    <x v="6"/>
    <s v="Mar; Apr"/>
    <s v="Late media plan changes from client."/>
    <n v="44"/>
    <x v="1"/>
    <x v="6"/>
    <x v="3"/>
    <x v="0"/>
  </r>
  <r>
    <x v="4"/>
    <s v="NWSL Halftime Sponsorship 2025"/>
    <s v="Billing Request- 00103528"/>
    <x v="7"/>
    <d v="2025-09-05T00:00:00"/>
    <d v="2025-12-24T00:00:00"/>
    <x v="0"/>
    <s v="a6Jat1668899"/>
    <x v="1"/>
    <s v="Jun"/>
    <s v="Manual billing entry issue."/>
    <n v="110"/>
    <x v="0"/>
    <x v="14"/>
    <x v="1"/>
    <x v="0"/>
  </r>
  <r>
    <x v="3"/>
    <s v="Confluence Academy 2026"/>
    <s v="Billing Request- 00103531"/>
    <x v="5"/>
    <d v="2026-02-28T00:00:00"/>
    <d v="2026-03-24T00:00:00"/>
    <x v="0"/>
    <s v="a6Jat8447954"/>
    <x v="3"/>
    <s v="Sep"/>
    <s v="Finance validation process delay."/>
    <n v="24"/>
    <x v="3"/>
    <x v="1"/>
    <x v="3"/>
    <x v="1"/>
  </r>
  <r>
    <x v="1"/>
    <s v="NWSL Prime Video 2026"/>
    <s v="Billing Request- 00103532"/>
    <x v="3"/>
    <d v="2026-02-10T00:00:00"/>
    <d v="2026-05-05T00:00:00"/>
    <x v="2"/>
    <s v="a6JHn6022046"/>
    <x v="5"/>
    <s v="Oct"/>
    <s v="Client requested retroactive billing adjustments."/>
    <n v="84"/>
    <x v="0"/>
    <x v="1"/>
    <x v="1"/>
    <x v="1"/>
  </r>
  <r>
    <x v="3"/>
    <s v="Global Consumer Products 2026"/>
    <s v="Billing Request- 00103533"/>
    <x v="2"/>
    <d v="2026-03-21T00:00:00"/>
    <d v="2026-05-07T00:00:00"/>
    <x v="2"/>
    <s v="a6JXt3594882"/>
    <x v="5"/>
    <s v="Sep; Oct"/>
    <s v="Finance validation process delay."/>
    <n v="47"/>
    <x v="1"/>
    <x v="2"/>
    <x v="3"/>
    <x v="1"/>
  </r>
  <r>
    <x v="0"/>
    <s v="Amazon NBA Live Sports 2025"/>
    <s v="Billing Request- 00103534"/>
    <x v="2"/>
    <d v="2025-11-26T00:00:00"/>
    <d v="2026-01-27T00:00:00"/>
    <x v="0"/>
    <s v="a6JHn8013917"/>
    <x v="1"/>
    <s v="Jul; Aug"/>
    <s v="Manual billing entry issue."/>
    <n v="62"/>
    <x v="0"/>
    <x v="15"/>
    <x v="2"/>
    <x v="0"/>
  </r>
  <r>
    <x v="4"/>
    <s v="NBA League Pass 2025"/>
    <s v="Billing Request- 00103535"/>
    <x v="3"/>
    <d v="2025-01-24T00:00:00"/>
    <d v="2025-03-07T00:00:00"/>
    <x v="2"/>
    <s v="a6JXt2671275"/>
    <x v="0"/>
    <s v="Apr"/>
    <s v="Missing supporting documentation from vendor."/>
    <n v="42"/>
    <x v="1"/>
    <x v="0"/>
    <x v="2"/>
    <x v="0"/>
  </r>
  <r>
    <x v="0"/>
    <s v="NASCAR P&amp;Q 2025"/>
    <s v="Billing Request- 00103537"/>
    <x v="1"/>
    <d v="2025-11-04T00:00:00"/>
    <d v="2025-11-29T00:00:00"/>
    <x v="2"/>
    <s v="a6JHn4533194"/>
    <x v="0"/>
    <s v="Mar; Apr"/>
    <s v="Finance validation process delay."/>
    <n v="25"/>
    <x v="3"/>
    <x v="15"/>
    <x v="0"/>
    <x v="0"/>
  </r>
  <r>
    <x v="0"/>
    <s v="NASCAR Apex 2025 2026"/>
    <s v="Billing Request- 00103538"/>
    <x v="4"/>
    <d v="2026-01-04T00:00:00"/>
    <d v="2026-03-13T00:00:00"/>
    <x v="2"/>
    <s v="a6JXt2959175"/>
    <x v="2"/>
    <s v="Dec"/>
    <s v="Missing supporting documentation from vendor."/>
    <n v="68"/>
    <x v="0"/>
    <x v="7"/>
    <x v="0"/>
    <x v="1"/>
  </r>
  <r>
    <x v="0"/>
    <s v="Streaming Bundle Initiative 2025"/>
    <s v="Billing Request- 00103539"/>
    <x v="8"/>
    <d v="2025-04-19T00:00:00"/>
    <d v="2025-07-30T00:00:00"/>
    <x v="0"/>
    <s v="a6JHn8471444"/>
    <x v="0"/>
    <s v="Apr"/>
    <s v="Late media plan changes from client."/>
    <n v="102"/>
    <x v="0"/>
    <x v="3"/>
    <x v="3"/>
    <x v="0"/>
  </r>
  <r>
    <x v="0"/>
    <s v="DirecTV NASCAR Campaign 2026"/>
    <s v="Billing Request- 00103542"/>
    <x v="9"/>
    <d v="2026-03-10T00:00:00"/>
    <d v="2026-04-25T00:00:00"/>
    <x v="0"/>
    <s v="a6JHn7549426"/>
    <x v="4"/>
    <s v="Aug"/>
    <s v="Invoice details mismatch with approved campaign."/>
    <n v="46"/>
    <x v="1"/>
    <x v="2"/>
    <x v="0"/>
    <x v="1"/>
  </r>
  <r>
    <x v="1"/>
    <s v="NASCAR P&amp;Q 2025"/>
    <s v="Billing Request- 00103543"/>
    <x v="8"/>
    <d v="2025-04-05T00:00:00"/>
    <d v="2025-04-06T00:00:00"/>
    <x v="0"/>
    <s v="a6Jat1165496"/>
    <x v="4"/>
    <s v="Jul; Aug"/>
    <s v="Finance validation process delay."/>
    <n v="1"/>
    <x v="2"/>
    <x v="3"/>
    <x v="0"/>
    <x v="0"/>
  </r>
  <r>
    <x v="0"/>
    <s v="NWSL Prime Video 2026"/>
    <s v="Billing Request- 00103545"/>
    <x v="5"/>
    <d v="2026-02-10T00:00:00"/>
    <d v="2026-05-04T00:00:00"/>
    <x v="2"/>
    <s v="a6JHn1521984"/>
    <x v="1"/>
    <s v="May; Jun"/>
    <s v="Missing supporting documentation from vendor."/>
    <n v="83"/>
    <x v="0"/>
    <x v="1"/>
    <x v="1"/>
    <x v="1"/>
  </r>
  <r>
    <x v="0"/>
    <s v="Retail Media Expansion 2025"/>
    <s v="Billing Request- 00103546"/>
    <x v="6"/>
    <d v="2025-06-06T00:00:00"/>
    <d v="2025-07-10T00:00:00"/>
    <x v="0"/>
    <s v="a6JHn4297494"/>
    <x v="6"/>
    <s v="Feb"/>
    <s v="Finance validation process delay."/>
    <n v="34"/>
    <x v="1"/>
    <x v="9"/>
    <x v="3"/>
    <x v="0"/>
  </r>
  <r>
    <x v="0"/>
    <s v="Prime Sports NFL 2025"/>
    <s v="Billing Request- 00103547"/>
    <x v="2"/>
    <d v="2025-07-23T00:00:00"/>
    <d v="2025-11-03T00:00:00"/>
    <x v="2"/>
    <s v="a6JHn9816477"/>
    <x v="4"/>
    <s v="Sep"/>
    <s v="Finance validation process delay."/>
    <n v="103"/>
    <x v="0"/>
    <x v="12"/>
    <x v="3"/>
    <x v="0"/>
  </r>
  <r>
    <x v="0"/>
    <s v="Amazon TNF 2024 2025"/>
    <s v="Billing Request- 00103549"/>
    <x v="3"/>
    <d v="2025-04-01T00:00:00"/>
    <d v="2025-05-16T00:00:00"/>
    <x v="2"/>
    <s v="a6JHn8993201"/>
    <x v="6"/>
    <s v="Jul; Aug"/>
    <s v=""/>
    <n v="45"/>
    <x v="1"/>
    <x v="3"/>
    <x v="4"/>
    <x v="0"/>
  </r>
  <r>
    <x v="0"/>
    <s v="Amazon NBA Live Sports 2026"/>
    <s v="Billing Request- 00103551"/>
    <x v="1"/>
    <d v="2026-05-03T00:00:00"/>
    <d v="2026-05-08T00:00:00"/>
    <x v="0"/>
    <s v="a6JHn5721220"/>
    <x v="5"/>
    <s v="Jan"/>
    <s v="Incorrect legal terms delayed PTS."/>
    <n v="5"/>
    <x v="2"/>
    <x v="16"/>
    <x v="2"/>
    <x v="1"/>
  </r>
  <r>
    <x v="0"/>
    <s v="DirecTV NASCAR Campaign 2025"/>
    <s v="Billing Request- 00103552"/>
    <x v="0"/>
    <d v="2025-12-11T00:00:00"/>
    <d v="2026-02-23T00:00:00"/>
    <x v="2"/>
    <s v="a6JXt3928367"/>
    <x v="1"/>
    <s v="Oct"/>
    <s v="Missing supporting documentation from vendor."/>
    <n v="74"/>
    <x v="0"/>
    <x v="11"/>
    <x v="0"/>
    <x v="0"/>
  </r>
  <r>
    <x v="0"/>
    <s v="Amazon TNF 2024 2026"/>
    <s v="Billing Request- 00103553"/>
    <x v="2"/>
    <d v="2026-01-11T00:00:00"/>
    <d v="2026-02-12T00:00:00"/>
    <x v="2"/>
    <s v="a6JXt2584305"/>
    <x v="0"/>
    <s v="Dec"/>
    <s v="Invoice details mismatch with approved campaign."/>
    <n v="32"/>
    <x v="1"/>
    <x v="7"/>
    <x v="4"/>
    <x v="1"/>
  </r>
  <r>
    <x v="0"/>
    <s v="NASCAR P&amp;Q 2025"/>
    <s v="Billing Request- 00103555"/>
    <x v="3"/>
    <d v="2025-11-27T00:00:00"/>
    <d v="2026-02-10T00:00:00"/>
    <x v="1"/>
    <s v="a6JHn4168961"/>
    <x v="2"/>
    <s v="Jul"/>
    <s v="Finance validation process delay."/>
    <n v="75"/>
    <x v="0"/>
    <x v="15"/>
    <x v="0"/>
    <x v="0"/>
  </r>
  <r>
    <x v="0"/>
    <s v="NASCAR P&amp;Q 2025"/>
    <s v="Billing Request- 00103556"/>
    <x v="8"/>
    <d v="2025-12-13T00:00:00"/>
    <d v="2026-03-19T00:00:00"/>
    <x v="2"/>
    <s v="a6Jat8953151"/>
    <x v="4"/>
    <s v="Oct"/>
    <s v=""/>
    <n v="96"/>
    <x v="0"/>
    <x v="11"/>
    <x v="0"/>
    <x v="0"/>
  </r>
  <r>
    <x v="4"/>
    <s v="WNBA Incremental Scatter 2025"/>
    <s v="Billing Request- 00103557"/>
    <x v="5"/>
    <d v="2025-06-16T00:00:00"/>
    <d v="2025-06-23T00:00:00"/>
    <x v="0"/>
    <s v="a6JHn8967468"/>
    <x v="2"/>
    <s v="Mar"/>
    <s v="Finance validation process delay."/>
    <n v="7"/>
    <x v="2"/>
    <x v="9"/>
    <x v="2"/>
    <x v="0"/>
  </r>
  <r>
    <x v="0"/>
    <s v="NBA League Pass 2025"/>
    <s v="Billing Request- 00103558"/>
    <x v="5"/>
    <d v="2025-02-08T00:00:00"/>
    <d v="2025-04-01T00:00:00"/>
    <x v="0"/>
    <s v="a6JHn4319670"/>
    <x v="0"/>
    <s v="May; Jun"/>
    <s v="Agency submitted updated invoice mapping."/>
    <n v="52"/>
    <x v="1"/>
    <x v="6"/>
    <x v="2"/>
    <x v="0"/>
  </r>
  <r>
    <x v="3"/>
    <s v="Global Consumer Products 2026"/>
    <s v="Billing Request- 00103560"/>
    <x v="9"/>
    <d v="2026-05-05T00:00:00"/>
    <d v="2026-05-08T00:00:00"/>
    <x v="2"/>
    <s v="a6Jat9834338"/>
    <x v="0"/>
    <s v="Jun"/>
    <s v=""/>
    <n v="3"/>
    <x v="2"/>
    <x v="16"/>
    <x v="3"/>
    <x v="1"/>
  </r>
  <r>
    <x v="3"/>
    <s v="Streaming Bundle Initiative 2025"/>
    <s v="Billing Request- 00103561"/>
    <x v="8"/>
    <d v="2025-05-12T00:00:00"/>
    <d v="2025-07-15T00:00:00"/>
    <x v="2"/>
    <s v="a6JHn1302191"/>
    <x v="0"/>
    <s v="Jun"/>
    <s v="Missing supporting documentation from vendor."/>
    <n v="64"/>
    <x v="0"/>
    <x v="4"/>
    <x v="3"/>
    <x v="0"/>
  </r>
  <r>
    <x v="0"/>
    <s v="NASCAR P&amp;Q 2026"/>
    <s v="Billing Request- 00103562"/>
    <x v="4"/>
    <d v="2026-04-08T00:00:00"/>
    <d v="2026-05-08T00:00:00"/>
    <x v="2"/>
    <s v="a6Jat9620008"/>
    <x v="4"/>
    <s v="Jan"/>
    <s v="Late media plan changes from client."/>
    <n v="30"/>
    <x v="3"/>
    <x v="10"/>
    <x v="0"/>
    <x v="1"/>
  </r>
  <r>
    <x v="0"/>
    <s v="NFL Prime Video 2025"/>
    <s v="Billing Request- 00103566"/>
    <x v="8"/>
    <d v="2025-04-26T00:00:00"/>
    <d v="2025-08-17T00:00:00"/>
    <x v="0"/>
    <s v="a6JXt2100661"/>
    <x v="3"/>
    <s v="Jul"/>
    <s v="Incorrect legal terms delayed PTS."/>
    <n v="113"/>
    <x v="0"/>
    <x v="3"/>
    <x v="3"/>
    <x v="0"/>
  </r>
  <r>
    <x v="1"/>
    <s v="Prime Sports NFL 2026"/>
    <s v="Billing Request- 00103567"/>
    <x v="7"/>
    <d v="2026-04-26T00:00:00"/>
    <d v="2026-05-06T00:00:00"/>
    <x v="2"/>
    <s v="a6Jat8470975"/>
    <x v="0"/>
    <s v="Jul"/>
    <s v="Manual billing entry issue."/>
    <n v="10"/>
    <x v="4"/>
    <x v="10"/>
    <x v="3"/>
    <x v="1"/>
  </r>
  <r>
    <x v="4"/>
    <s v="Amazon TNF 2024 2026"/>
    <s v="Billing Request- 00103568"/>
    <x v="0"/>
    <d v="2026-05-04T00:00:00"/>
    <d v="2026-05-04T00:00:00"/>
    <x v="0"/>
    <s v="a6Jat5855738"/>
    <x v="4"/>
    <s v="Mar; Apr"/>
    <s v="Agency submitted updated invoice mapping."/>
    <n v="0"/>
    <x v="2"/>
    <x v="16"/>
    <x v="4"/>
    <x v="1"/>
  </r>
  <r>
    <x v="2"/>
    <s v="Streaming Bundle Initiative 2025"/>
    <s v="Billing Request- 00103570"/>
    <x v="1"/>
    <d v="2025-06-21T00:00:00"/>
    <d v="2025-07-26T00:00:00"/>
    <x v="2"/>
    <s v="a6JXt6252817"/>
    <x v="3"/>
    <s v="Aug"/>
    <s v="Invoice details mismatch with approved campaign."/>
    <n v="35"/>
    <x v="1"/>
    <x v="9"/>
    <x v="3"/>
    <x v="0"/>
  </r>
  <r>
    <x v="0"/>
    <s v="NASCAR Apex 2025 2025"/>
    <s v="Billing Request- 00103571"/>
    <x v="4"/>
    <d v="2025-01-22T00:00:00"/>
    <d v="2025-05-09T00:00:00"/>
    <x v="0"/>
    <s v="a6JXt1519061"/>
    <x v="3"/>
    <s v="Nov"/>
    <s v="Client requested retroactive billing adjustments."/>
    <n v="107"/>
    <x v="0"/>
    <x v="0"/>
    <x v="0"/>
    <x v="0"/>
  </r>
  <r>
    <x v="1"/>
    <s v="NASCAR Apex 2025 2025"/>
    <s v="Billing Request- 00103573"/>
    <x v="6"/>
    <d v="2025-04-08T00:00:00"/>
    <d v="2025-07-20T00:00:00"/>
    <x v="2"/>
    <s v="a6JHn1833582"/>
    <x v="3"/>
    <s v="Sep; Oct"/>
    <s v="Invoice details mismatch with approved campaign."/>
    <n v="103"/>
    <x v="0"/>
    <x v="3"/>
    <x v="0"/>
    <x v="0"/>
  </r>
  <r>
    <x v="4"/>
    <s v="NASCAR P&amp;Q 2025"/>
    <s v="Billing Request- 00103574"/>
    <x v="2"/>
    <d v="2025-06-12T00:00:00"/>
    <d v="2025-08-12T00:00:00"/>
    <x v="2"/>
    <s v="a6JHn7722820"/>
    <x v="1"/>
    <s v="Feb"/>
    <s v="Missing supporting documentation from vendor."/>
    <n v="61"/>
    <x v="0"/>
    <x v="9"/>
    <x v="0"/>
    <x v="0"/>
  </r>
  <r>
    <x v="0"/>
    <s v="Streaming Bundle Initiative 2025"/>
    <s v="Billing Request- 00103575"/>
    <x v="2"/>
    <d v="2025-05-15T00:00:00"/>
    <d v="2025-08-08T00:00:00"/>
    <x v="0"/>
    <s v="a6JHn6662471"/>
    <x v="6"/>
    <s v="Sep; Oct"/>
    <s v="Agency submitted updated invoice mapping."/>
    <n v="85"/>
    <x v="0"/>
    <x v="4"/>
    <x v="3"/>
    <x v="0"/>
  </r>
  <r>
    <x v="0"/>
    <s v="TNF Sponsorship 2025"/>
    <s v="Billing Request- 00103576"/>
    <x v="4"/>
    <d v="2025-09-13T00:00:00"/>
    <d v="2025-09-27T00:00:00"/>
    <x v="0"/>
    <s v="a6Jat7420346"/>
    <x v="3"/>
    <s v="Nov; Dec"/>
    <s v="Client requested retroactive billing adjustments."/>
    <n v="14"/>
    <x v="4"/>
    <x v="14"/>
    <x v="4"/>
    <x v="0"/>
  </r>
  <r>
    <x v="0"/>
    <s v="NASCAR Apex 2025 2026"/>
    <s v="Billing Request- 00103577"/>
    <x v="6"/>
    <d v="2026-05-08T00:00:00"/>
    <d v="2026-05-07T00:00:00"/>
    <x v="2"/>
    <s v="a6JHn7399105"/>
    <x v="6"/>
    <s v="Sep"/>
    <s v="Late media plan changes from client."/>
    <n v="-1"/>
    <x v="2"/>
    <x v="16"/>
    <x v="0"/>
    <x v="1"/>
  </r>
  <r>
    <x v="0"/>
    <s v="NASCAR Apex 2025 2025"/>
    <s v="Billing Request- 00103578"/>
    <x v="9"/>
    <d v="2025-02-16T00:00:00"/>
    <d v="2025-06-12T00:00:00"/>
    <x v="0"/>
    <s v="a6JHn3431866"/>
    <x v="0"/>
    <s v="Jan"/>
    <s v=""/>
    <n v="116"/>
    <x v="0"/>
    <x v="6"/>
    <x v="0"/>
    <x v="0"/>
  </r>
  <r>
    <x v="0"/>
    <s v="Amazon TNF 2024 2025"/>
    <s v="Billing Request- 00103579"/>
    <x v="9"/>
    <d v="2025-12-25T00:00:00"/>
    <d v="2026-02-08T00:00:00"/>
    <x v="2"/>
    <s v="a6JHn9586543"/>
    <x v="1"/>
    <s v="Jun"/>
    <s v="Missing supporting documentation from vendor."/>
    <n v="45"/>
    <x v="1"/>
    <x v="11"/>
    <x v="4"/>
    <x v="0"/>
  </r>
  <r>
    <x v="0"/>
    <s v="TNF Sponsorship 2025"/>
    <s v="Billing Request- 00103580"/>
    <x v="1"/>
    <d v="2025-11-13T00:00:00"/>
    <d v="2026-01-09T00:00:00"/>
    <x v="2"/>
    <s v="a6JXt9470972"/>
    <x v="3"/>
    <s v="May"/>
    <s v="Client requested retroactive billing adjustments."/>
    <n v="57"/>
    <x v="1"/>
    <x v="15"/>
    <x v="4"/>
    <x v="0"/>
  </r>
  <r>
    <x v="0"/>
    <s v="Confluence Academy 2025"/>
    <s v="Billing Request- 00103581"/>
    <x v="1"/>
    <d v="2025-07-15T00:00:00"/>
    <d v="2025-10-08T00:00:00"/>
    <x v="2"/>
    <s v="a6JHn9973709"/>
    <x v="3"/>
    <s v="Aug"/>
    <s v="Missing supporting documentation from vendor."/>
    <n v="85"/>
    <x v="0"/>
    <x v="12"/>
    <x v="3"/>
    <x v="0"/>
  </r>
  <r>
    <x v="0"/>
    <s v="Amazon NBA Live Sports 2025"/>
    <s v="Billing Request- 00103582"/>
    <x v="6"/>
    <d v="2025-08-30T00:00:00"/>
    <d v="2025-09-19T00:00:00"/>
    <x v="0"/>
    <s v="a6JXt1794762"/>
    <x v="3"/>
    <s v="Apr"/>
    <s v="Finance validation process delay."/>
    <n v="20"/>
    <x v="3"/>
    <x v="8"/>
    <x v="2"/>
    <x v="0"/>
  </r>
  <r>
    <x v="0"/>
    <s v="Prime Sports NFL 2026"/>
    <s v="Billing Request- 00103583"/>
    <x v="1"/>
    <d v="2026-03-24T00:00:00"/>
    <d v="2026-03-29T00:00:00"/>
    <x v="2"/>
    <s v="a6JHn6836177"/>
    <x v="2"/>
    <s v="Nov; Dec"/>
    <s v="Client requested retroactive billing adjustments."/>
    <n v="5"/>
    <x v="2"/>
    <x v="2"/>
    <x v="3"/>
    <x v="1"/>
  </r>
  <r>
    <x v="0"/>
    <s v="Prime Sports NFL 2025"/>
    <s v="Billing Request- 00103585"/>
    <x v="5"/>
    <d v="2025-09-05T00:00:00"/>
    <d v="2025-11-06T00:00:00"/>
    <x v="2"/>
    <s v="a6Jat3672979"/>
    <x v="5"/>
    <s v="Aug"/>
    <s v="Late media plan changes from client."/>
    <n v="62"/>
    <x v="0"/>
    <x v="14"/>
    <x v="3"/>
    <x v="0"/>
  </r>
  <r>
    <x v="1"/>
    <s v="WNBA Incremental Scatter 2025"/>
    <s v="Billing Request- 00103586"/>
    <x v="6"/>
    <d v="2025-03-02T00:00:00"/>
    <d v="2025-04-05T00:00:00"/>
    <x v="2"/>
    <s v="a6Jat2857991"/>
    <x v="4"/>
    <s v="May; Jun"/>
    <s v="Agency submitted updated invoice mapping."/>
    <n v="34"/>
    <x v="1"/>
    <x v="13"/>
    <x v="2"/>
    <x v="0"/>
  </r>
  <r>
    <x v="0"/>
    <s v="Retail Media Expansion 2025"/>
    <s v="Billing Request- 00103587"/>
    <x v="4"/>
    <d v="2025-11-15T00:00:00"/>
    <d v="2026-01-17T00:00:00"/>
    <x v="1"/>
    <s v="a6JHn5704132"/>
    <x v="5"/>
    <s v="Apr"/>
    <s v="Agency submitted updated invoice mapping."/>
    <n v="63"/>
    <x v="0"/>
    <x v="15"/>
    <x v="3"/>
    <x v="0"/>
  </r>
  <r>
    <x v="4"/>
    <s v="Global Consumer Products 2025"/>
    <s v="Billing Request- 00103588"/>
    <x v="0"/>
    <d v="2025-01-24T00:00:00"/>
    <d v="2025-03-10T00:00:00"/>
    <x v="0"/>
    <s v="a6JXt7561237"/>
    <x v="2"/>
    <s v="Nov; Dec"/>
    <s v=""/>
    <n v="45"/>
    <x v="1"/>
    <x v="0"/>
    <x v="3"/>
    <x v="0"/>
  </r>
  <r>
    <x v="4"/>
    <s v="NASCAR Apex 2025 2026"/>
    <s v="Billing Request- 00103590"/>
    <x v="5"/>
    <d v="2026-01-10T00:00:00"/>
    <d v="2026-01-30T00:00:00"/>
    <x v="2"/>
    <s v="a6Jat7768461"/>
    <x v="2"/>
    <s v="Feb"/>
    <s v="Missing supporting documentation from vendor."/>
    <n v="20"/>
    <x v="3"/>
    <x v="7"/>
    <x v="0"/>
    <x v="1"/>
  </r>
  <r>
    <x v="2"/>
    <s v="NBA League Pass 2025"/>
    <s v="Billing Request- 00103591"/>
    <x v="6"/>
    <d v="2025-08-23T00:00:00"/>
    <d v="2025-08-31T00:00:00"/>
    <x v="2"/>
    <s v="a6JXt2771823"/>
    <x v="6"/>
    <s v="Jan; Feb"/>
    <s v="Finance validation process delay."/>
    <n v="8"/>
    <x v="4"/>
    <x v="8"/>
    <x v="2"/>
    <x v="0"/>
  </r>
  <r>
    <x v="1"/>
    <s v="NWSL Halftime Sponsorship 2026"/>
    <s v="Billing Request- 00103592"/>
    <x v="7"/>
    <d v="2026-01-20T00:00:00"/>
    <d v="2026-03-17T00:00:00"/>
    <x v="2"/>
    <s v="a6JHn7653299"/>
    <x v="0"/>
    <s v="Feb"/>
    <s v="Agency submitted updated invoice mapping."/>
    <n v="56"/>
    <x v="1"/>
    <x v="7"/>
    <x v="1"/>
    <x v="1"/>
  </r>
  <r>
    <x v="0"/>
    <s v="Streaming Bundle Initiative 2026"/>
    <s v="Billing Request- 00103593"/>
    <x v="5"/>
    <d v="2026-03-04T00:00:00"/>
    <d v="2026-05-06T00:00:00"/>
    <x v="2"/>
    <s v="a6Jat3485914"/>
    <x v="3"/>
    <s v="Sep"/>
    <s v="Invoice details mismatch with approved campaign."/>
    <n v="63"/>
    <x v="0"/>
    <x v="2"/>
    <x v="3"/>
    <x v="1"/>
  </r>
  <r>
    <x v="1"/>
    <s v="Amazon TNF 2024 2026"/>
    <s v="Billing Request- 00103595"/>
    <x v="6"/>
    <d v="2026-02-21T00:00:00"/>
    <d v="2026-05-07T00:00:00"/>
    <x v="0"/>
    <s v="a6JHn7534892"/>
    <x v="5"/>
    <s v="Oct"/>
    <s v=""/>
    <n v="75"/>
    <x v="0"/>
    <x v="1"/>
    <x v="4"/>
    <x v="1"/>
  </r>
  <r>
    <x v="0"/>
    <s v="NWSL Prime Video 2025"/>
    <s v="Billing Request- 00103599"/>
    <x v="4"/>
    <d v="2025-03-23T00:00:00"/>
    <d v="2025-07-10T00:00:00"/>
    <x v="2"/>
    <s v="a6Jat1073535"/>
    <x v="3"/>
    <s v="Feb"/>
    <s v="Incorrect legal terms delayed PTS."/>
    <n v="109"/>
    <x v="0"/>
    <x v="13"/>
    <x v="1"/>
    <x v="0"/>
  </r>
  <r>
    <x v="0"/>
    <s v="NASCAR Apex 2025 2026"/>
    <s v="Billing Request- 00103600"/>
    <x v="3"/>
    <d v="2026-03-25T00:00:00"/>
    <d v="2026-05-06T00:00:00"/>
    <x v="0"/>
    <s v="a6JXt1003987"/>
    <x v="3"/>
    <s v="Jun"/>
    <s v="Finance validation process delay."/>
    <n v="42"/>
    <x v="1"/>
    <x v="2"/>
    <x v="0"/>
    <x v="1"/>
  </r>
  <r>
    <x v="0"/>
    <s v="Retail Media Expansion 2025"/>
    <s v="Billing Request- 00103601"/>
    <x v="6"/>
    <d v="2025-07-15T00:00:00"/>
    <d v="2025-08-05T00:00:00"/>
    <x v="0"/>
    <s v="a6JHn3748049"/>
    <x v="3"/>
    <s v="Aug"/>
    <s v="Agency submitted updated invoice mapping."/>
    <n v="21"/>
    <x v="3"/>
    <x v="12"/>
    <x v="3"/>
    <x v="0"/>
  </r>
  <r>
    <x v="0"/>
    <s v="NWSL Prime Video 2025"/>
    <s v="Billing Request- 00103603"/>
    <x v="6"/>
    <d v="2025-02-17T00:00:00"/>
    <d v="2025-05-31T00:00:00"/>
    <x v="1"/>
    <s v="a6JHn1225799"/>
    <x v="6"/>
    <s v="Jul"/>
    <s v="Incorrect legal terms delayed PTS."/>
    <n v="103"/>
    <x v="0"/>
    <x v="6"/>
    <x v="1"/>
    <x v="0"/>
  </r>
  <r>
    <x v="0"/>
    <s v="Confluence Academy 2026"/>
    <s v="Billing Request- 00103604"/>
    <x v="5"/>
    <d v="2026-03-10T00:00:00"/>
    <d v="2026-03-22T00:00:00"/>
    <x v="2"/>
    <s v="a6JHn2708399"/>
    <x v="6"/>
    <s v="Jan"/>
    <s v="Finance validation process delay."/>
    <n v="12"/>
    <x v="4"/>
    <x v="2"/>
    <x v="3"/>
    <x v="1"/>
  </r>
  <r>
    <x v="0"/>
    <s v="Global Consumer Products 2026"/>
    <s v="Billing Request- 00103606"/>
    <x v="4"/>
    <d v="2026-04-08T00:00:00"/>
    <d v="2026-05-05T00:00:00"/>
    <x v="2"/>
    <s v="a6JXt4406862"/>
    <x v="5"/>
    <s v="May"/>
    <s v="Invoice details mismatch with approved campaign."/>
    <n v="27"/>
    <x v="3"/>
    <x v="10"/>
    <x v="3"/>
    <x v="1"/>
  </r>
  <r>
    <x v="0"/>
    <s v="NWSL Halftime Sponsorship 2025"/>
    <s v="Billing Request- 00103608"/>
    <x v="6"/>
    <d v="2025-03-05T00:00:00"/>
    <d v="2025-04-01T00:00:00"/>
    <x v="2"/>
    <s v="a6Jat3296860"/>
    <x v="5"/>
    <s v="Mar"/>
    <s v="Manual billing entry issue."/>
    <n v="27"/>
    <x v="3"/>
    <x v="13"/>
    <x v="1"/>
    <x v="0"/>
  </r>
  <r>
    <x v="0"/>
    <s v="Amazon NBA Live Sports 2026"/>
    <s v="Billing Request- 00103609"/>
    <x v="1"/>
    <d v="2026-04-10T00:00:00"/>
    <d v="2026-05-07T00:00:00"/>
    <x v="1"/>
    <s v="a6JHn4270865"/>
    <x v="2"/>
    <s v="Oct"/>
    <s v="Invoice details mismatch with approved campaign."/>
    <n v="27"/>
    <x v="3"/>
    <x v="10"/>
    <x v="2"/>
    <x v="1"/>
  </r>
  <r>
    <x v="1"/>
    <s v="NASCAR Apex 2025 2025"/>
    <s v="Billing Request- 00103610"/>
    <x v="4"/>
    <d v="2025-11-02T00:00:00"/>
    <d v="2026-02-12T00:00:00"/>
    <x v="2"/>
    <s v="a6Jat7176698"/>
    <x v="1"/>
    <s v="Nov; Dec"/>
    <s v="Invoice details mismatch with approved campaign."/>
    <n v="102"/>
    <x v="0"/>
    <x v="15"/>
    <x v="0"/>
    <x v="0"/>
  </r>
  <r>
    <x v="0"/>
    <s v="WNBA Incremental Scatter 2026"/>
    <s v="Billing Request- 00103611"/>
    <x v="9"/>
    <d v="2026-03-17T00:00:00"/>
    <d v="2026-05-05T00:00:00"/>
    <x v="2"/>
    <s v="a6JXt9034996"/>
    <x v="1"/>
    <s v="Aug"/>
    <s v="Manual billing entry issue."/>
    <n v="49"/>
    <x v="1"/>
    <x v="2"/>
    <x v="2"/>
    <x v="1"/>
  </r>
  <r>
    <x v="0"/>
    <s v="WNBA Incremental Scatter 2026"/>
    <s v="Billing Request- 00103612"/>
    <x v="7"/>
    <d v="2026-01-12T00:00:00"/>
    <d v="2026-01-29T00:00:00"/>
    <x v="0"/>
    <s v="a6Jat5037874"/>
    <x v="2"/>
    <s v="Sep; Oct"/>
    <s v=""/>
    <n v="17"/>
    <x v="3"/>
    <x v="7"/>
    <x v="2"/>
    <x v="1"/>
  </r>
  <r>
    <x v="0"/>
    <s v="Streaming Bundle Initiative 2025"/>
    <s v="Billing Request- 00103613"/>
    <x v="8"/>
    <d v="2025-05-03T00:00:00"/>
    <d v="2025-05-17T00:00:00"/>
    <x v="2"/>
    <s v="a6Jat3576306"/>
    <x v="6"/>
    <s v="Sep"/>
    <s v="Client requested retroactive billing adjustments."/>
    <n v="14"/>
    <x v="4"/>
    <x v="4"/>
    <x v="3"/>
    <x v="0"/>
  </r>
  <r>
    <x v="0"/>
    <s v="NASCAR Apex 2025 2025"/>
    <s v="Billing Request- 00103615"/>
    <x v="9"/>
    <d v="2025-03-24T00:00:00"/>
    <d v="2025-05-23T00:00:00"/>
    <x v="2"/>
    <s v="a6JHn4398011"/>
    <x v="5"/>
    <s v="Jan"/>
    <s v="Invoice details mismatch with approved campaign."/>
    <n v="60"/>
    <x v="1"/>
    <x v="13"/>
    <x v="0"/>
    <x v="0"/>
  </r>
  <r>
    <x v="0"/>
    <s v="Amazon TNF 2024 2025"/>
    <s v="Billing Request- 00103619"/>
    <x v="3"/>
    <d v="2025-10-21T00:00:00"/>
    <d v="2025-12-10T00:00:00"/>
    <x v="0"/>
    <s v="a6JHn9459049"/>
    <x v="6"/>
    <s v="Jun"/>
    <s v="Finance validation process delay."/>
    <n v="50"/>
    <x v="1"/>
    <x v="5"/>
    <x v="4"/>
    <x v="0"/>
  </r>
  <r>
    <x v="0"/>
    <s v="NBA League Pass 2025"/>
    <s v="Billing Request- 00103620"/>
    <x v="3"/>
    <d v="2025-06-09T00:00:00"/>
    <d v="2025-09-11T00:00:00"/>
    <x v="0"/>
    <s v="a6JHn6411077"/>
    <x v="6"/>
    <s v="Mar; Apr"/>
    <s v=""/>
    <n v="94"/>
    <x v="0"/>
    <x v="9"/>
    <x v="2"/>
    <x v="0"/>
  </r>
  <r>
    <x v="0"/>
    <s v="NBA League Pass 2026"/>
    <s v="Billing Request- 00103621"/>
    <x v="4"/>
    <d v="2026-04-26T00:00:00"/>
    <d v="2026-05-08T00:00:00"/>
    <x v="2"/>
    <s v="a6JHn8430054"/>
    <x v="4"/>
    <s v="Apr"/>
    <s v="Client requested retroactive billing adjustments."/>
    <n v="12"/>
    <x v="4"/>
    <x v="10"/>
    <x v="2"/>
    <x v="1"/>
  </r>
  <r>
    <x v="0"/>
    <s v="DirecTV NASCAR Campaign 2025"/>
    <s v="Billing Request- 00103622"/>
    <x v="2"/>
    <d v="2025-09-29T00:00:00"/>
    <d v="2025-10-27T00:00:00"/>
    <x v="2"/>
    <s v="a6JHn5336549"/>
    <x v="5"/>
    <s v="May; Jun"/>
    <s v=""/>
    <n v="28"/>
    <x v="3"/>
    <x v="14"/>
    <x v="0"/>
    <x v="0"/>
  </r>
  <r>
    <x v="0"/>
    <s v="Retail Media Expansion 2025"/>
    <s v="Billing Request- 00103623"/>
    <x v="8"/>
    <d v="2025-05-20T00:00:00"/>
    <d v="2025-09-12T00:00:00"/>
    <x v="2"/>
    <s v="a6JHn7327471"/>
    <x v="2"/>
    <s v="May"/>
    <s v="Missing supporting documentation from vendor."/>
    <n v="115"/>
    <x v="0"/>
    <x v="4"/>
    <x v="3"/>
    <x v="0"/>
  </r>
  <r>
    <x v="0"/>
    <s v="Prime Sports NFL 2025"/>
    <s v="Billing Request- 00103625"/>
    <x v="8"/>
    <d v="2025-06-05T00:00:00"/>
    <d v="2025-07-04T00:00:00"/>
    <x v="2"/>
    <s v="a6JXt4550852"/>
    <x v="5"/>
    <s v="Jun"/>
    <s v="Invoice details mismatch with approved campaign."/>
    <n v="29"/>
    <x v="3"/>
    <x v="9"/>
    <x v="3"/>
    <x v="0"/>
  </r>
  <r>
    <x v="0"/>
    <s v="NFL Prime Video 2025"/>
    <s v="Billing Request- 00103626"/>
    <x v="8"/>
    <d v="2025-05-04T00:00:00"/>
    <d v="2025-06-30T00:00:00"/>
    <x v="0"/>
    <s v="a6JXt9850030"/>
    <x v="6"/>
    <s v="Oct"/>
    <s v="Incorrect legal terms delayed PTS."/>
    <n v="57"/>
    <x v="1"/>
    <x v="4"/>
    <x v="3"/>
    <x v="0"/>
  </r>
  <r>
    <x v="0"/>
    <s v="Confluence Academy 2025"/>
    <s v="Billing Request- 00103627"/>
    <x v="2"/>
    <d v="2025-06-13T00:00:00"/>
    <d v="2025-08-15T00:00:00"/>
    <x v="0"/>
    <s v="a6Jat2305714"/>
    <x v="1"/>
    <s v="Jun"/>
    <s v="Incorrect legal terms delayed PTS."/>
    <n v="63"/>
    <x v="0"/>
    <x v="9"/>
    <x v="3"/>
    <x v="0"/>
  </r>
  <r>
    <x v="0"/>
    <s v="NASCAR Apex 2025 2026"/>
    <s v="Billing Request- 00103628"/>
    <x v="7"/>
    <d v="2026-03-28T00:00:00"/>
    <d v="2026-05-08T00:00:00"/>
    <x v="2"/>
    <s v="a6JXt5228381"/>
    <x v="4"/>
    <s v="Apr"/>
    <s v="Finance validation process delay."/>
    <n v="41"/>
    <x v="1"/>
    <x v="2"/>
    <x v="0"/>
    <x v="1"/>
  </r>
  <r>
    <x v="0"/>
    <s v="WNBA Incremental Scatter 2026"/>
    <s v="Billing Request- 00103629"/>
    <x v="9"/>
    <d v="2026-02-10T00:00:00"/>
    <d v="2026-04-09T00:00:00"/>
    <x v="0"/>
    <s v="a6JHn7853533"/>
    <x v="4"/>
    <s v="Feb"/>
    <s v=""/>
    <n v="58"/>
    <x v="1"/>
    <x v="1"/>
    <x v="2"/>
    <x v="1"/>
  </r>
  <r>
    <x v="0"/>
    <s v="NWSL Prime Video 2025"/>
    <s v="Billing Request- 00103630"/>
    <x v="6"/>
    <d v="2025-01-08T00:00:00"/>
    <d v="2025-05-06T00:00:00"/>
    <x v="2"/>
    <s v="a6Jat2928204"/>
    <x v="0"/>
    <s v="May; Jun"/>
    <s v="Late media plan changes from client."/>
    <n v="118"/>
    <x v="0"/>
    <x v="0"/>
    <x v="1"/>
    <x v="0"/>
  </r>
  <r>
    <x v="0"/>
    <s v="Prime Sports NFL 2025"/>
    <s v="Billing Request- 00103631"/>
    <x v="5"/>
    <d v="2025-07-17T00:00:00"/>
    <d v="2025-08-04T00:00:00"/>
    <x v="2"/>
    <s v="a6JHn6753656"/>
    <x v="3"/>
    <s v="Nov"/>
    <s v="Late media plan changes from client."/>
    <n v="18"/>
    <x v="3"/>
    <x v="12"/>
    <x v="3"/>
    <x v="0"/>
  </r>
  <r>
    <x v="0"/>
    <s v="NWSL Halftime Sponsorship 2025"/>
    <s v="Billing Request- 00103633"/>
    <x v="7"/>
    <d v="2025-05-19T00:00:00"/>
    <d v="2025-05-25T00:00:00"/>
    <x v="1"/>
    <s v="a6JHn2748411"/>
    <x v="5"/>
    <s v="Jun"/>
    <s v="Finance validation process delay."/>
    <n v="6"/>
    <x v="2"/>
    <x v="4"/>
    <x v="1"/>
    <x v="0"/>
  </r>
  <r>
    <x v="1"/>
    <s v="NWSL Halftime Sponsorship 2025"/>
    <s v="Billing Request- 00103634"/>
    <x v="0"/>
    <d v="2025-04-30T00:00:00"/>
    <d v="2025-07-11T00:00:00"/>
    <x v="2"/>
    <s v="a6Jat9999150"/>
    <x v="5"/>
    <s v="Jan; Feb"/>
    <s v="Agency submitted updated invoice mapping."/>
    <n v="72"/>
    <x v="0"/>
    <x v="3"/>
    <x v="1"/>
    <x v="0"/>
  </r>
  <r>
    <x v="0"/>
    <s v="DirecTV NASCAR Campaign 2025"/>
    <s v="Billing Request- 00103636"/>
    <x v="8"/>
    <d v="2025-07-10T00:00:00"/>
    <d v="2025-09-12T00:00:00"/>
    <x v="2"/>
    <s v="a6JHn4368381"/>
    <x v="2"/>
    <s v="Mar"/>
    <s v="Late media plan changes from client."/>
    <n v="64"/>
    <x v="0"/>
    <x v="12"/>
    <x v="0"/>
    <x v="0"/>
  </r>
  <r>
    <x v="0"/>
    <s v="Amazon NBA Live Sports 2026"/>
    <s v="Billing Request- 00103637"/>
    <x v="4"/>
    <d v="2026-02-11T00:00:00"/>
    <d v="2026-04-05T00:00:00"/>
    <x v="2"/>
    <s v="a6JXt7690564"/>
    <x v="6"/>
    <s v="Mar"/>
    <s v="Agency submitted updated invoice mapping."/>
    <n v="53"/>
    <x v="1"/>
    <x v="1"/>
    <x v="2"/>
    <x v="1"/>
  </r>
  <r>
    <x v="0"/>
    <s v="NWSL Halftime Sponsorship 2026"/>
    <s v="Billing Request- 00103638"/>
    <x v="0"/>
    <d v="2026-04-16T00:00:00"/>
    <d v="2026-05-07T00:00:00"/>
    <x v="2"/>
    <s v="a6JHn1608334"/>
    <x v="1"/>
    <s v="Mar"/>
    <s v="Client requested retroactive billing adjustments."/>
    <n v="21"/>
    <x v="3"/>
    <x v="10"/>
    <x v="1"/>
    <x v="1"/>
  </r>
  <r>
    <x v="0"/>
    <s v="NBA League Pass 2026"/>
    <s v="Billing Request- 00103641"/>
    <x v="7"/>
    <d v="2026-03-22T00:00:00"/>
    <d v="2026-04-15T00:00:00"/>
    <x v="2"/>
    <s v="a6JXt8679757"/>
    <x v="6"/>
    <s v="Jul; Aug"/>
    <s v="Manual billing entry issue."/>
    <n v="24"/>
    <x v="3"/>
    <x v="2"/>
    <x v="2"/>
    <x v="1"/>
  </r>
  <r>
    <x v="0"/>
    <s v="Prime Sports NFL 2026"/>
    <s v="Billing Request- 00103643"/>
    <x v="5"/>
    <d v="2026-01-17T00:00:00"/>
    <d v="2026-05-08T00:00:00"/>
    <x v="0"/>
    <s v="a6JHn1015592"/>
    <x v="3"/>
    <s v="Feb"/>
    <s v="Client requested retroactive billing adjustments."/>
    <n v="111"/>
    <x v="0"/>
    <x v="7"/>
    <x v="3"/>
    <x v="1"/>
  </r>
  <r>
    <x v="3"/>
    <s v="NWSL Prime Video 2025"/>
    <s v="Billing Request- 00103644"/>
    <x v="9"/>
    <d v="2025-04-01T00:00:00"/>
    <d v="2025-04-20T00:00:00"/>
    <x v="2"/>
    <s v="a6JHn6143988"/>
    <x v="3"/>
    <s v="May"/>
    <s v="Missing supporting documentation from vendor."/>
    <n v="19"/>
    <x v="3"/>
    <x v="3"/>
    <x v="1"/>
    <x v="0"/>
  </r>
  <r>
    <x v="0"/>
    <s v="NASCAR P&amp;Q 2025"/>
    <s v="Billing Request- 00103645"/>
    <x v="1"/>
    <d v="2025-07-02T00:00:00"/>
    <d v="2025-07-10T00:00:00"/>
    <x v="0"/>
    <s v="a6JXt5418842"/>
    <x v="6"/>
    <s v="Mar; Apr"/>
    <s v="Client requested retroactive billing adjustments."/>
    <n v="8"/>
    <x v="4"/>
    <x v="12"/>
    <x v="0"/>
    <x v="0"/>
  </r>
  <r>
    <x v="0"/>
    <s v="DirecTV NASCAR Campaign 2026"/>
    <s v="Billing Request- 00103647"/>
    <x v="3"/>
    <d v="2026-02-17T00:00:00"/>
    <d v="2026-02-25T00:00:00"/>
    <x v="2"/>
    <s v="a6JHn3745603"/>
    <x v="2"/>
    <s v="Jun"/>
    <s v="Manual billing entry issue."/>
    <n v="8"/>
    <x v="4"/>
    <x v="1"/>
    <x v="0"/>
    <x v="1"/>
  </r>
  <r>
    <x v="0"/>
    <s v="NWSL Prime Video 2026"/>
    <s v="Billing Request- 00103650"/>
    <x v="0"/>
    <d v="2026-01-14T00:00:00"/>
    <d v="2026-02-21T00:00:00"/>
    <x v="0"/>
    <s v="a6JHn5596079"/>
    <x v="0"/>
    <s v="May"/>
    <s v=""/>
    <n v="38"/>
    <x v="1"/>
    <x v="7"/>
    <x v="1"/>
    <x v="1"/>
  </r>
  <r>
    <x v="0"/>
    <s v="Confluence Academy 2025"/>
    <s v="Billing Request- 00103654"/>
    <x v="7"/>
    <d v="2025-07-06T00:00:00"/>
    <d v="2025-09-05T00:00:00"/>
    <x v="0"/>
    <s v="a6JXt5379562"/>
    <x v="3"/>
    <s v="Dec"/>
    <s v="Missing supporting documentation from vendor."/>
    <n v="61"/>
    <x v="0"/>
    <x v="12"/>
    <x v="3"/>
    <x v="0"/>
  </r>
  <r>
    <x v="0"/>
    <s v="NBA Playoffs Campaign 2025"/>
    <s v="Billing Request- 00103655"/>
    <x v="8"/>
    <d v="2025-03-01T00:00:00"/>
    <d v="2025-05-24T00:00:00"/>
    <x v="0"/>
    <s v="a6JHn1937407"/>
    <x v="2"/>
    <s v="Jan"/>
    <s v=""/>
    <n v="84"/>
    <x v="0"/>
    <x v="13"/>
    <x v="2"/>
    <x v="0"/>
  </r>
  <r>
    <x v="2"/>
    <s v="WNBA Incremental Scatter 2026"/>
    <s v="Billing Request- 00103656"/>
    <x v="7"/>
    <d v="2026-04-17T00:00:00"/>
    <d v="2026-05-04T00:00:00"/>
    <x v="2"/>
    <s v="a6JHn5906655"/>
    <x v="3"/>
    <s v="May; Jun"/>
    <s v=""/>
    <n v="17"/>
    <x v="3"/>
    <x v="10"/>
    <x v="2"/>
    <x v="1"/>
  </r>
  <r>
    <x v="0"/>
    <s v="NASCAR Apex 2025 2025"/>
    <s v="Billing Request- 00103657"/>
    <x v="5"/>
    <d v="2025-12-02T00:00:00"/>
    <d v="2026-03-30T00:00:00"/>
    <x v="0"/>
    <s v="a6Jat3072188"/>
    <x v="5"/>
    <s v="Jun"/>
    <s v="Incorrect legal terms delayed PTS."/>
    <n v="118"/>
    <x v="0"/>
    <x v="11"/>
    <x v="0"/>
    <x v="0"/>
  </r>
  <r>
    <x v="0"/>
    <s v="NWSL Prime Video 2025"/>
    <s v="Billing Request- 00103658"/>
    <x v="1"/>
    <d v="2025-02-06T00:00:00"/>
    <d v="2025-03-02T00:00:00"/>
    <x v="2"/>
    <s v="a6JXt9570902"/>
    <x v="3"/>
    <s v="Sep"/>
    <s v="Late media plan changes from client."/>
    <n v="24"/>
    <x v="3"/>
    <x v="6"/>
    <x v="1"/>
    <x v="0"/>
  </r>
  <r>
    <x v="0"/>
    <s v="NWSL Halftime Sponsorship 2026"/>
    <s v="Billing Request- 00103659"/>
    <x v="4"/>
    <d v="2026-02-25T00:00:00"/>
    <d v="2026-05-06T00:00:00"/>
    <x v="2"/>
    <s v="a6Jat8448219"/>
    <x v="5"/>
    <s v="Dec"/>
    <s v="Client requested retroactive billing adjustments."/>
    <n v="70"/>
    <x v="0"/>
    <x v="1"/>
    <x v="1"/>
    <x v="1"/>
  </r>
  <r>
    <x v="0"/>
    <s v="NBA Playoffs Campaign 2025"/>
    <s v="Billing Request- 00103660"/>
    <x v="5"/>
    <d v="2025-03-08T00:00:00"/>
    <d v="2025-04-27T00:00:00"/>
    <x v="2"/>
    <s v="a6JHn4391642"/>
    <x v="0"/>
    <s v="Nov"/>
    <s v="Finance validation process delay."/>
    <n v="50"/>
    <x v="1"/>
    <x v="13"/>
    <x v="2"/>
    <x v="0"/>
  </r>
  <r>
    <x v="0"/>
    <s v="NWSL Prime Video 2025"/>
    <s v="Billing Request- 00103662"/>
    <x v="7"/>
    <d v="2025-09-22T00:00:00"/>
    <d v="2025-11-25T00:00:00"/>
    <x v="1"/>
    <s v="a6Jat8292352"/>
    <x v="0"/>
    <s v="Apr"/>
    <s v=""/>
    <n v="64"/>
    <x v="0"/>
    <x v="14"/>
    <x v="1"/>
    <x v="0"/>
  </r>
  <r>
    <x v="1"/>
    <s v="NFL Prime Video 2025"/>
    <s v="Billing Request- 00103663"/>
    <x v="3"/>
    <d v="2025-05-22T00:00:00"/>
    <d v="2025-06-26T00:00:00"/>
    <x v="0"/>
    <s v="a6JHn3577182"/>
    <x v="4"/>
    <s v="Jan; Feb"/>
    <s v="Agency submitted updated invoice mapping."/>
    <n v="35"/>
    <x v="1"/>
    <x v="4"/>
    <x v="3"/>
    <x v="0"/>
  </r>
  <r>
    <x v="0"/>
    <s v="NWSL Prime Video 2025"/>
    <s v="Billing Request- 00103664"/>
    <x v="5"/>
    <d v="2025-01-10T00:00:00"/>
    <d v="2025-01-23T00:00:00"/>
    <x v="2"/>
    <s v="a6JXt6262297"/>
    <x v="0"/>
    <s v="Oct"/>
    <s v="Finance validation process delay."/>
    <n v="13"/>
    <x v="4"/>
    <x v="0"/>
    <x v="1"/>
    <x v="0"/>
  </r>
  <r>
    <x v="0"/>
    <s v="DirecTV NASCAR Campaign 2026"/>
    <s v="Billing Request- 00103665"/>
    <x v="0"/>
    <d v="2026-05-07T00:00:00"/>
    <d v="2026-05-07T00:00:00"/>
    <x v="1"/>
    <s v="a6Jat8482146"/>
    <x v="1"/>
    <s v="Aug"/>
    <s v="Incorrect legal terms delayed PTS."/>
    <n v="0"/>
    <x v="2"/>
    <x v="16"/>
    <x v="0"/>
    <x v="1"/>
  </r>
  <r>
    <x v="3"/>
    <s v="NWSL Prime Video 2026"/>
    <s v="Billing Request- 00103666"/>
    <x v="1"/>
    <d v="2026-02-24T00:00:00"/>
    <d v="2026-05-07T00:00:00"/>
    <x v="0"/>
    <s v="a6JXt8097119"/>
    <x v="1"/>
    <s v="May; Jun"/>
    <s v="Missing supporting documentation from vendor."/>
    <n v="72"/>
    <x v="0"/>
    <x v="1"/>
    <x v="1"/>
    <x v="1"/>
  </r>
  <r>
    <x v="4"/>
    <s v="Amazon TNF 2024 2025"/>
    <s v="Billing Request- 00103667"/>
    <x v="3"/>
    <d v="2025-01-26T00:00:00"/>
    <d v="2025-02-14T00:00:00"/>
    <x v="0"/>
    <s v="a6Jat9367001"/>
    <x v="0"/>
    <s v="Oct"/>
    <s v="Invoice details mismatch with approved campaign."/>
    <n v="19"/>
    <x v="3"/>
    <x v="0"/>
    <x v="4"/>
    <x v="0"/>
  </r>
  <r>
    <x v="0"/>
    <s v="TNF Sponsorship 2026"/>
    <s v="Billing Request- 00103668"/>
    <x v="3"/>
    <d v="2026-04-29T00:00:00"/>
    <d v="2026-05-07T00:00:00"/>
    <x v="2"/>
    <s v="a6JHn4813541"/>
    <x v="2"/>
    <s v="Feb"/>
    <s v="Missing supporting documentation from vendor."/>
    <n v="8"/>
    <x v="4"/>
    <x v="10"/>
    <x v="4"/>
    <x v="1"/>
  </r>
  <r>
    <x v="0"/>
    <s v="NWSL Prime Video 2025"/>
    <s v="Billing Request- 00103670"/>
    <x v="9"/>
    <d v="2025-12-17T00:00:00"/>
    <d v="2026-01-08T00:00:00"/>
    <x v="0"/>
    <s v="a6Jat4002885"/>
    <x v="5"/>
    <s v="Jul; Aug"/>
    <s v="Invoice details mismatch with approved campaign."/>
    <n v="22"/>
    <x v="3"/>
    <x v="11"/>
    <x v="1"/>
    <x v="0"/>
  </r>
  <r>
    <x v="3"/>
    <s v="TNF Sponsorship 2025"/>
    <s v="Billing Request- 00103672"/>
    <x v="1"/>
    <d v="2025-11-05T00:00:00"/>
    <d v="2025-11-30T00:00:00"/>
    <x v="2"/>
    <s v="a6JXt5490514"/>
    <x v="5"/>
    <s v="Jan; Feb"/>
    <s v="Late media plan changes from client."/>
    <n v="25"/>
    <x v="3"/>
    <x v="15"/>
    <x v="4"/>
    <x v="0"/>
  </r>
  <r>
    <x v="0"/>
    <s v="NWSL Halftime Sponsorship 2025"/>
    <s v="Billing Request- 00103673"/>
    <x v="4"/>
    <d v="2025-12-14T00:00:00"/>
    <d v="2026-02-26T00:00:00"/>
    <x v="0"/>
    <s v="a6JXt5663288"/>
    <x v="5"/>
    <s v="May"/>
    <s v="Finance validation process delay."/>
    <n v="74"/>
    <x v="0"/>
    <x v="11"/>
    <x v="1"/>
    <x v="0"/>
  </r>
  <r>
    <x v="4"/>
    <s v="NASCAR Apex 2025 2025"/>
    <s v="Billing Request- 00103674"/>
    <x v="3"/>
    <d v="2025-12-07T00:00:00"/>
    <d v="2025-12-17T00:00:00"/>
    <x v="2"/>
    <s v="a6JXt7946251"/>
    <x v="3"/>
    <s v="Jan"/>
    <s v="Finance validation process delay."/>
    <n v="10"/>
    <x v="4"/>
    <x v="11"/>
    <x v="0"/>
    <x v="0"/>
  </r>
  <r>
    <x v="0"/>
    <s v="DirecTV NASCAR Campaign 2025"/>
    <s v="Billing Request- 00103676"/>
    <x v="9"/>
    <d v="2025-01-10T00:00:00"/>
    <d v="2025-03-13T00:00:00"/>
    <x v="2"/>
    <s v="a6JXt7262685"/>
    <x v="0"/>
    <s v="Mar"/>
    <s v="Missing supporting documentation from vendor."/>
    <n v="62"/>
    <x v="0"/>
    <x v="0"/>
    <x v="0"/>
    <x v="0"/>
  </r>
  <r>
    <x v="0"/>
    <s v="Amazon TNF 2024 2026"/>
    <s v="Billing Request- 00103677"/>
    <x v="2"/>
    <d v="2026-04-28T00:00:00"/>
    <d v="2026-05-06T00:00:00"/>
    <x v="2"/>
    <s v="a6JHn4935776"/>
    <x v="6"/>
    <s v="Mar"/>
    <s v="Client requested retroactive billing adjustments."/>
    <n v="8"/>
    <x v="4"/>
    <x v="10"/>
    <x v="4"/>
    <x v="1"/>
  </r>
  <r>
    <x v="0"/>
    <s v="NASCAR Apex 2025 2026"/>
    <s v="Billing Request- 00103678"/>
    <x v="9"/>
    <d v="2026-04-11T00:00:00"/>
    <d v="2026-05-07T00:00:00"/>
    <x v="2"/>
    <s v="a6JHn8033901"/>
    <x v="3"/>
    <s v="May; Jun"/>
    <s v="Manual billing entry issue."/>
    <n v="26"/>
    <x v="3"/>
    <x v="10"/>
    <x v="0"/>
    <x v="1"/>
  </r>
  <r>
    <x v="1"/>
    <s v="NWSL Prime Video 2025"/>
    <s v="Billing Request- 00103679"/>
    <x v="4"/>
    <d v="2025-10-29T00:00:00"/>
    <d v="2026-01-20T00:00:00"/>
    <x v="2"/>
    <s v="a6Jat6663356"/>
    <x v="0"/>
    <s v="Sep; Oct"/>
    <s v="Invoice details mismatch with approved campaign."/>
    <n v="83"/>
    <x v="0"/>
    <x v="5"/>
    <x v="1"/>
    <x v="0"/>
  </r>
  <r>
    <x v="0"/>
    <s v="WNBA Incremental Scatter 2025"/>
    <s v="Billing Request- 00103680"/>
    <x v="1"/>
    <d v="2025-03-19T00:00:00"/>
    <d v="2025-04-19T00:00:00"/>
    <x v="2"/>
    <s v="a6JHn4117525"/>
    <x v="3"/>
    <s v="Jul; Aug"/>
    <s v="Client requested retroactive billing adjustments."/>
    <n v="31"/>
    <x v="1"/>
    <x v="13"/>
    <x v="2"/>
    <x v="0"/>
  </r>
  <r>
    <x v="4"/>
    <s v="NASCAR P&amp;Q 2026"/>
    <s v="Billing Request- 00103681"/>
    <x v="6"/>
    <d v="2026-01-26T00:00:00"/>
    <d v="2026-05-06T00:00:00"/>
    <x v="0"/>
    <s v="a6Jat1212947"/>
    <x v="4"/>
    <s v="Oct"/>
    <s v="Agency submitted updated invoice mapping."/>
    <n v="100"/>
    <x v="0"/>
    <x v="7"/>
    <x v="0"/>
    <x v="1"/>
  </r>
  <r>
    <x v="0"/>
    <s v="Confluence Academy 2025"/>
    <s v="Billing Request- 00103682"/>
    <x v="4"/>
    <d v="2025-01-01T00:00:00"/>
    <d v="2025-03-05T00:00:00"/>
    <x v="0"/>
    <s v="a6Jat4395587"/>
    <x v="5"/>
    <s v="Jan; Feb"/>
    <s v="Incorrect legal terms delayed PTS."/>
    <n v="63"/>
    <x v="0"/>
    <x v="0"/>
    <x v="3"/>
    <x v="0"/>
  </r>
  <r>
    <x v="0"/>
    <s v="Amazon TNF 2024 2025"/>
    <s v="Billing Request- 00103683"/>
    <x v="7"/>
    <d v="2025-01-29T00:00:00"/>
    <d v="2025-04-01T00:00:00"/>
    <x v="2"/>
    <s v="a6JXt1915734"/>
    <x v="0"/>
    <s v="May; Jun"/>
    <s v="Client requested retroactive billing adjustments."/>
    <n v="62"/>
    <x v="0"/>
    <x v="0"/>
    <x v="4"/>
    <x v="0"/>
  </r>
  <r>
    <x v="0"/>
    <s v="Amazon TNF 2024 2025"/>
    <s v="Billing Request- 00103684"/>
    <x v="8"/>
    <d v="2025-01-31T00:00:00"/>
    <d v="2025-03-07T00:00:00"/>
    <x v="0"/>
    <s v="a6JXt8873233"/>
    <x v="5"/>
    <s v="Mar; Apr"/>
    <s v="Manual billing entry issue."/>
    <n v="35"/>
    <x v="1"/>
    <x v="0"/>
    <x v="4"/>
    <x v="0"/>
  </r>
  <r>
    <x v="0"/>
    <s v="Retail Media Expansion 2026"/>
    <s v="Billing Request- 00103686"/>
    <x v="2"/>
    <d v="2026-02-08T00:00:00"/>
    <d v="2026-02-28T00:00:00"/>
    <x v="0"/>
    <s v="a6JHn9675099"/>
    <x v="2"/>
    <s v="Jul; Aug"/>
    <s v="Finance validation process delay."/>
    <n v="20"/>
    <x v="3"/>
    <x v="1"/>
    <x v="3"/>
    <x v="1"/>
  </r>
  <r>
    <x v="0"/>
    <s v="Amazon NBA Live Sports 2026"/>
    <s v="Billing Request- 00103687"/>
    <x v="3"/>
    <d v="2026-02-09T00:00:00"/>
    <d v="2026-03-14T00:00:00"/>
    <x v="2"/>
    <s v="a6JXt7571778"/>
    <x v="2"/>
    <s v="Mar; Apr"/>
    <s v="Agency submitted updated invoice mapping."/>
    <n v="33"/>
    <x v="1"/>
    <x v="1"/>
    <x v="2"/>
    <x v="1"/>
  </r>
  <r>
    <x v="2"/>
    <s v="Retail Media Expansion 2025"/>
    <s v="Billing Request- 00103688"/>
    <x v="1"/>
    <d v="2025-05-10T00:00:00"/>
    <d v="2025-09-05T00:00:00"/>
    <x v="2"/>
    <s v="a6Jat8386580"/>
    <x v="3"/>
    <s v="Sep"/>
    <s v="Finance validation process delay."/>
    <n v="118"/>
    <x v="0"/>
    <x v="4"/>
    <x v="3"/>
    <x v="0"/>
  </r>
  <r>
    <x v="4"/>
    <s v="NFL Prime Video 2026"/>
    <s v="Billing Request- 00103689"/>
    <x v="8"/>
    <d v="2026-04-01T00:00:00"/>
    <d v="2026-04-04T00:00:00"/>
    <x v="0"/>
    <s v="a6Jat7453261"/>
    <x v="1"/>
    <s v="May"/>
    <s v="Incorrect legal terms delayed PTS."/>
    <n v="3"/>
    <x v="2"/>
    <x v="10"/>
    <x v="3"/>
    <x v="1"/>
  </r>
  <r>
    <x v="0"/>
    <s v="Amazon NBA Live Sports 2026"/>
    <s v="Billing Request- 00103691"/>
    <x v="5"/>
    <d v="2026-01-31T00:00:00"/>
    <d v="2026-04-24T00:00:00"/>
    <x v="0"/>
    <s v="a6Jat5673376"/>
    <x v="2"/>
    <s v="Jul"/>
    <s v="Incorrect legal terms delayed PTS."/>
    <n v="83"/>
    <x v="0"/>
    <x v="7"/>
    <x v="2"/>
    <x v="1"/>
  </r>
  <r>
    <x v="1"/>
    <s v="Amazon NBA Live Sports 2025"/>
    <s v="Billing Request- 00103692"/>
    <x v="0"/>
    <d v="2025-10-19T00:00:00"/>
    <d v="2025-12-11T00:00:00"/>
    <x v="2"/>
    <s v="a6Jat2982431"/>
    <x v="6"/>
    <s v="Dec"/>
    <s v="Incorrect legal terms delayed PTS."/>
    <n v="53"/>
    <x v="1"/>
    <x v="5"/>
    <x v="2"/>
    <x v="0"/>
  </r>
  <r>
    <x v="4"/>
    <s v="Amazon NBA Live Sports 2025"/>
    <s v="Billing Request- 00103693"/>
    <x v="8"/>
    <d v="2025-02-08T00:00:00"/>
    <d v="2025-05-10T00:00:00"/>
    <x v="0"/>
    <s v="a6Jat5626623"/>
    <x v="5"/>
    <s v="Feb"/>
    <s v="Late media plan changes from client."/>
    <n v="91"/>
    <x v="0"/>
    <x v="6"/>
    <x v="2"/>
    <x v="0"/>
  </r>
  <r>
    <x v="0"/>
    <s v="Global Consumer Products 2025"/>
    <s v="Billing Request- 00103694"/>
    <x v="6"/>
    <d v="2025-06-06T00:00:00"/>
    <d v="2025-07-13T00:00:00"/>
    <x v="2"/>
    <s v="a6JXt2089011"/>
    <x v="6"/>
    <s v="Aug"/>
    <s v="Late media plan changes from client."/>
    <n v="37"/>
    <x v="1"/>
    <x v="9"/>
    <x v="3"/>
    <x v="0"/>
  </r>
  <r>
    <x v="0"/>
    <s v="Amazon TNF 2024 2026"/>
    <s v="Billing Request- 00103695"/>
    <x v="0"/>
    <d v="2026-05-07T00:00:00"/>
    <d v="2026-05-05T00:00:00"/>
    <x v="0"/>
    <s v="a6JHn9974216"/>
    <x v="6"/>
    <s v="Jan"/>
    <s v=""/>
    <n v="-2"/>
    <x v="2"/>
    <x v="16"/>
    <x v="4"/>
    <x v="1"/>
  </r>
  <r>
    <x v="3"/>
    <s v="NWSL Halftime Sponsorship 2026"/>
    <s v="Billing Request- 00103696"/>
    <x v="9"/>
    <d v="2026-04-20T00:00:00"/>
    <d v="2026-05-09T00:00:00"/>
    <x v="0"/>
    <s v="a6JHn2354261"/>
    <x v="2"/>
    <s v="Mar; Apr"/>
    <s v="Missing supporting documentation from vendor."/>
    <n v="19"/>
    <x v="3"/>
    <x v="10"/>
    <x v="1"/>
    <x v="1"/>
  </r>
  <r>
    <x v="0"/>
    <s v="DirecTV NASCAR Campaign 2025"/>
    <s v="Billing Request- 00103698"/>
    <x v="0"/>
    <d v="2025-09-23T00:00:00"/>
    <d v="2025-12-28T00:00:00"/>
    <x v="1"/>
    <s v="a6Jat5277271"/>
    <x v="2"/>
    <s v="Jul; Aug"/>
    <s v="Finance validation process delay."/>
    <n v="96"/>
    <x v="0"/>
    <x v="14"/>
    <x v="0"/>
    <x v="0"/>
  </r>
  <r>
    <x v="0"/>
    <s v="DirecTV NASCAR Campaign 2025"/>
    <s v="Billing Request- 00103699"/>
    <x v="7"/>
    <d v="2025-10-29T00:00:00"/>
    <d v="2026-01-27T00:00:00"/>
    <x v="2"/>
    <s v="a6Jat1561731"/>
    <x v="6"/>
    <s v="Jul"/>
    <s v="Incorrect legal terms delayed PTS."/>
    <n v="90"/>
    <x v="0"/>
    <x v="5"/>
    <x v="0"/>
    <x v="0"/>
  </r>
  <r>
    <x v="0"/>
    <s v="NWSL Halftime Sponsorship 2025"/>
    <s v="Billing Request- 00103700"/>
    <x v="5"/>
    <d v="2025-09-24T00:00:00"/>
    <d v="2026-01-13T00:00:00"/>
    <x v="2"/>
    <s v="a6JXt8301508"/>
    <x v="1"/>
    <s v="May"/>
    <s v="Late media plan changes from client."/>
    <n v="111"/>
    <x v="0"/>
    <x v="14"/>
    <x v="1"/>
    <x v="0"/>
  </r>
  <r>
    <x v="0"/>
    <s v="NWSL Prime Video 2025"/>
    <s v="Billing Request- 00103701"/>
    <x v="0"/>
    <d v="2025-11-21T00:00:00"/>
    <d v="2026-03-21T00:00:00"/>
    <x v="1"/>
    <s v="a6JXt5537913"/>
    <x v="1"/>
    <s v="Dec"/>
    <s v=""/>
    <n v="120"/>
    <x v="0"/>
    <x v="15"/>
    <x v="1"/>
    <x v="0"/>
  </r>
  <r>
    <x v="0"/>
    <s v="Amazon TNF 2024 2026"/>
    <s v="Billing Request- 00103702"/>
    <x v="7"/>
    <d v="2026-02-16T00:00:00"/>
    <d v="2026-04-04T00:00:00"/>
    <x v="2"/>
    <s v="a6JHn4899115"/>
    <x v="3"/>
    <s v="May"/>
    <s v="Agency submitted updated invoice mapping."/>
    <n v="47"/>
    <x v="1"/>
    <x v="1"/>
    <x v="4"/>
    <x v="1"/>
  </r>
  <r>
    <x v="0"/>
    <s v="NWSL Halftime Sponsorship 2025"/>
    <s v="Billing Request- 00103703"/>
    <x v="9"/>
    <d v="2025-09-06T00:00:00"/>
    <d v="2025-12-05T00:00:00"/>
    <x v="2"/>
    <s v="a6JXt3775364"/>
    <x v="5"/>
    <s v="Jun"/>
    <s v="Manual billing entry issue."/>
    <n v="90"/>
    <x v="0"/>
    <x v="14"/>
    <x v="1"/>
    <x v="0"/>
  </r>
  <r>
    <x v="0"/>
    <s v="NASCAR Apex 2025 2025"/>
    <s v="Billing Request- 00103704"/>
    <x v="1"/>
    <d v="2025-07-04T00:00:00"/>
    <d v="2025-10-07T00:00:00"/>
    <x v="2"/>
    <s v="a6JXt4050694"/>
    <x v="4"/>
    <s v="Sep; Oct"/>
    <s v="Client requested retroactive billing adjustments."/>
    <n v="95"/>
    <x v="0"/>
    <x v="12"/>
    <x v="0"/>
    <x v="0"/>
  </r>
  <r>
    <x v="0"/>
    <s v="Amazon NBA Live Sports 2026"/>
    <s v="Billing Request- 00103706"/>
    <x v="7"/>
    <d v="2026-03-05T00:00:00"/>
    <d v="2026-03-26T00:00:00"/>
    <x v="2"/>
    <s v="a6Jat9304244"/>
    <x v="6"/>
    <s v="May; Jun"/>
    <s v="Invoice details mismatch with approved campaign."/>
    <n v="21"/>
    <x v="3"/>
    <x v="2"/>
    <x v="2"/>
    <x v="1"/>
  </r>
  <r>
    <x v="0"/>
    <s v="NBA Playoffs Campaign 2026"/>
    <s v="Billing Request- 00103707"/>
    <x v="7"/>
    <d v="2026-03-23T00:00:00"/>
    <d v="2026-04-12T00:00:00"/>
    <x v="2"/>
    <s v="a6Jat2610670"/>
    <x v="5"/>
    <s v="Dec"/>
    <s v="Finance validation process delay."/>
    <n v="20"/>
    <x v="3"/>
    <x v="2"/>
    <x v="2"/>
    <x v="1"/>
  </r>
  <r>
    <x v="0"/>
    <s v="WNBA Incremental Scatter 2026"/>
    <s v="Billing Request- 00103708"/>
    <x v="4"/>
    <d v="2026-04-21T00:00:00"/>
    <d v="2026-05-06T00:00:00"/>
    <x v="0"/>
    <s v="a6JHn1318851"/>
    <x v="0"/>
    <s v="Sep"/>
    <s v="Invoice details mismatch with approved campaign."/>
    <n v="15"/>
    <x v="3"/>
    <x v="10"/>
    <x v="2"/>
    <x v="1"/>
  </r>
  <r>
    <x v="0"/>
    <s v="DirecTV NASCAR Campaign 2026"/>
    <s v="Billing Request- 00103709"/>
    <x v="3"/>
    <d v="2026-01-12T00:00:00"/>
    <d v="2026-05-07T00:00:00"/>
    <x v="0"/>
    <s v="a6Jat8983535"/>
    <x v="4"/>
    <s v="Sep; Oct"/>
    <s v="Missing supporting documentation from vendor."/>
    <n v="115"/>
    <x v="0"/>
    <x v="7"/>
    <x v="0"/>
    <x v="1"/>
  </r>
  <r>
    <x v="0"/>
    <s v="Streaming Bundle Initiative 2025"/>
    <s v="Billing Request- 00103711"/>
    <x v="6"/>
    <d v="2025-07-04T00:00:00"/>
    <d v="2025-10-24T00:00:00"/>
    <x v="2"/>
    <s v="a6JXt2014810"/>
    <x v="3"/>
    <s v="Nov; Dec"/>
    <s v="Agency submitted updated invoice mapping."/>
    <n v="112"/>
    <x v="0"/>
    <x v="12"/>
    <x v="3"/>
    <x v="0"/>
  </r>
  <r>
    <x v="2"/>
    <s v="NBA Playoffs Campaign 2026"/>
    <s v="Billing Request- 00103712"/>
    <x v="6"/>
    <d v="2026-02-04T00:00:00"/>
    <d v="2026-03-30T00:00:00"/>
    <x v="0"/>
    <s v="a6JHn8720628"/>
    <x v="1"/>
    <s v="Jan"/>
    <s v="Incorrect legal terms delayed PTS."/>
    <n v="54"/>
    <x v="1"/>
    <x v="1"/>
    <x v="2"/>
    <x v="1"/>
  </r>
  <r>
    <x v="0"/>
    <s v="NWSL Prime Video 2025"/>
    <s v="Billing Request- 00103714"/>
    <x v="0"/>
    <d v="2025-06-22T00:00:00"/>
    <d v="2025-09-27T00:00:00"/>
    <x v="2"/>
    <s v="a6Jat8374942"/>
    <x v="5"/>
    <s v="Nov; Dec"/>
    <s v="Finance validation process delay."/>
    <n v="97"/>
    <x v="0"/>
    <x v="9"/>
    <x v="1"/>
    <x v="0"/>
  </r>
  <r>
    <x v="4"/>
    <s v="NWSL Prime Video 2026"/>
    <s v="Billing Request- 00103716"/>
    <x v="2"/>
    <d v="2026-04-10T00:00:00"/>
    <d v="2026-05-07T00:00:00"/>
    <x v="0"/>
    <s v="a6JHn7525014"/>
    <x v="1"/>
    <s v="Oct"/>
    <s v="Invoice details mismatch with approved campaign."/>
    <n v="27"/>
    <x v="3"/>
    <x v="10"/>
    <x v="1"/>
    <x v="1"/>
  </r>
  <r>
    <x v="0"/>
    <s v="Streaming Bundle Initiative 2025"/>
    <s v="Billing Request- 00103718"/>
    <x v="3"/>
    <d v="2025-03-09T00:00:00"/>
    <d v="2025-05-24T00:00:00"/>
    <x v="2"/>
    <s v="a6JHn2261173"/>
    <x v="2"/>
    <s v="Jan; Feb"/>
    <s v="Client requested retroactive billing adjustments."/>
    <n v="76"/>
    <x v="0"/>
    <x v="13"/>
    <x v="3"/>
    <x v="0"/>
  </r>
  <r>
    <x v="0"/>
    <s v="NBA League Pass 2026"/>
    <s v="Billing Request- 00103719"/>
    <x v="7"/>
    <d v="2026-04-21T00:00:00"/>
    <d v="2026-05-05T00:00:00"/>
    <x v="2"/>
    <s v="a6JHn9879857"/>
    <x v="5"/>
    <s v="May"/>
    <s v="Agency submitted updated invoice mapping."/>
    <n v="14"/>
    <x v="4"/>
    <x v="10"/>
    <x v="2"/>
    <x v="1"/>
  </r>
  <r>
    <x v="0"/>
    <s v="WNBA Incremental Scatter 2026"/>
    <s v="Billing Request- 00103721"/>
    <x v="5"/>
    <d v="2026-03-04T00:00:00"/>
    <d v="2026-04-27T00:00:00"/>
    <x v="2"/>
    <s v="a6JXt7965359"/>
    <x v="3"/>
    <s v="Feb"/>
    <s v="Missing supporting documentation from vendor."/>
    <n v="54"/>
    <x v="1"/>
    <x v="2"/>
    <x v="2"/>
    <x v="1"/>
  </r>
  <r>
    <x v="0"/>
    <s v="NBA League Pass 2025"/>
    <s v="Billing Request- 00103722"/>
    <x v="3"/>
    <d v="2025-02-07T00:00:00"/>
    <d v="2025-02-25T00:00:00"/>
    <x v="2"/>
    <s v="a6JXt1028039"/>
    <x v="5"/>
    <s v="Sep; Oct"/>
    <s v="Missing supporting documentation from vendor."/>
    <n v="18"/>
    <x v="3"/>
    <x v="6"/>
    <x v="2"/>
    <x v="0"/>
  </r>
  <r>
    <x v="0"/>
    <s v="Prime Sports NFL 2026"/>
    <s v="Billing Request- 00103723"/>
    <x v="9"/>
    <d v="2026-01-18T00:00:00"/>
    <d v="2026-01-30T00:00:00"/>
    <x v="2"/>
    <s v="a6Jat4428215"/>
    <x v="6"/>
    <s v="Aug"/>
    <s v="Missing supporting documentation from vendor."/>
    <n v="12"/>
    <x v="4"/>
    <x v="7"/>
    <x v="3"/>
    <x v="1"/>
  </r>
  <r>
    <x v="0"/>
    <s v="DirecTV NASCAR Campaign 2025"/>
    <s v="Billing Request- 00103724"/>
    <x v="8"/>
    <d v="2025-09-17T00:00:00"/>
    <d v="2025-12-10T00:00:00"/>
    <x v="2"/>
    <s v="a6JHn4513487"/>
    <x v="4"/>
    <s v="Apr"/>
    <s v="Manual billing entry issue."/>
    <n v="84"/>
    <x v="0"/>
    <x v="14"/>
    <x v="0"/>
    <x v="0"/>
  </r>
  <r>
    <x v="0"/>
    <s v="Amazon TNF 2024 2025"/>
    <s v="Billing Request- 00103727"/>
    <x v="8"/>
    <d v="2025-05-14T00:00:00"/>
    <d v="2025-06-06T00:00:00"/>
    <x v="1"/>
    <s v="a6Jat9818262"/>
    <x v="3"/>
    <s v="May; Jun"/>
    <s v="Agency submitted updated invoice mapping."/>
    <n v="23"/>
    <x v="3"/>
    <x v="4"/>
    <x v="4"/>
    <x v="0"/>
  </r>
  <r>
    <x v="0"/>
    <s v="WNBA Incremental Scatter 2025"/>
    <s v="Billing Request- 00103728"/>
    <x v="2"/>
    <d v="2025-12-21T00:00:00"/>
    <d v="2026-04-15T00:00:00"/>
    <x v="1"/>
    <s v="a6JHn8394812"/>
    <x v="0"/>
    <s v="Jan"/>
    <s v="Manual billing entry issue."/>
    <n v="115"/>
    <x v="0"/>
    <x v="11"/>
    <x v="2"/>
    <x v="0"/>
  </r>
  <r>
    <x v="3"/>
    <s v="Confluence Academy 2025"/>
    <s v="Billing Request- 00103730"/>
    <x v="4"/>
    <d v="2025-06-11T00:00:00"/>
    <d v="2025-08-18T00:00:00"/>
    <x v="2"/>
    <s v="a6JXt3797723"/>
    <x v="0"/>
    <s v="Jul"/>
    <s v="Client requested retroactive billing adjustments."/>
    <n v="68"/>
    <x v="0"/>
    <x v="9"/>
    <x v="3"/>
    <x v="0"/>
  </r>
  <r>
    <x v="3"/>
    <s v="NASCAR P&amp;Q 2026"/>
    <s v="Billing Request- 00103731"/>
    <x v="3"/>
    <d v="2026-01-30T00:00:00"/>
    <d v="2026-03-20T00:00:00"/>
    <x v="2"/>
    <s v="a6JHn2500400"/>
    <x v="5"/>
    <s v="Apr"/>
    <s v="Client requested retroactive billing adjustments."/>
    <n v="49"/>
    <x v="1"/>
    <x v="7"/>
    <x v="0"/>
    <x v="1"/>
  </r>
  <r>
    <x v="1"/>
    <s v="Amazon TNF 2024 2025"/>
    <s v="Billing Request- 00103732"/>
    <x v="6"/>
    <d v="2025-04-26T00:00:00"/>
    <d v="2025-05-09T00:00:00"/>
    <x v="0"/>
    <s v="a6JHn4034533"/>
    <x v="6"/>
    <s v="Aug"/>
    <s v="Missing supporting documentation from vendor."/>
    <n v="13"/>
    <x v="4"/>
    <x v="3"/>
    <x v="4"/>
    <x v="0"/>
  </r>
  <r>
    <x v="0"/>
    <s v="WNBA Incremental Scatter 2026"/>
    <s v="Billing Request- 00103733"/>
    <x v="4"/>
    <d v="2026-02-13T00:00:00"/>
    <d v="2026-03-05T00:00:00"/>
    <x v="0"/>
    <s v="a6Jat3963309"/>
    <x v="1"/>
    <s v="Nov; Dec"/>
    <s v="Incorrect legal terms delayed PTS."/>
    <n v="20"/>
    <x v="3"/>
    <x v="1"/>
    <x v="2"/>
    <x v="1"/>
  </r>
  <r>
    <x v="0"/>
    <s v="TNF Sponsorship 2026"/>
    <s v="Billing Request- 00103734"/>
    <x v="9"/>
    <d v="2026-03-21T00:00:00"/>
    <d v="2026-03-22T00:00:00"/>
    <x v="2"/>
    <s v="a6JXt4963122"/>
    <x v="6"/>
    <s v="May; Jun"/>
    <s v="Finance validation process delay."/>
    <n v="1"/>
    <x v="2"/>
    <x v="2"/>
    <x v="4"/>
    <x v="1"/>
  </r>
  <r>
    <x v="0"/>
    <s v="Prime Sports NFL 2026"/>
    <s v="Billing Request- 00103737"/>
    <x v="6"/>
    <d v="2026-03-11T00:00:00"/>
    <d v="2026-04-29T00:00:00"/>
    <x v="0"/>
    <s v="a6JHn2251886"/>
    <x v="6"/>
    <s v="Jul"/>
    <s v="Manual billing entry issue."/>
    <n v="49"/>
    <x v="1"/>
    <x v="2"/>
    <x v="3"/>
    <x v="1"/>
  </r>
  <r>
    <x v="0"/>
    <s v="NWSL Prime Video 2025"/>
    <s v="Billing Request- 00103738"/>
    <x v="2"/>
    <d v="2025-01-16T00:00:00"/>
    <d v="2025-04-02T00:00:00"/>
    <x v="0"/>
    <s v="a6JXt3513725"/>
    <x v="6"/>
    <s v="Jul; Aug"/>
    <s v="Late media plan changes from client."/>
    <n v="76"/>
    <x v="0"/>
    <x v="0"/>
    <x v="1"/>
    <x v="0"/>
  </r>
  <r>
    <x v="0"/>
    <s v="NWSL Prime Video 2025"/>
    <s v="Billing Request- 00103740"/>
    <x v="3"/>
    <d v="2025-09-22T00:00:00"/>
    <d v="2025-11-08T00:00:00"/>
    <x v="2"/>
    <s v="a6JXt6370127"/>
    <x v="6"/>
    <s v="Jan"/>
    <s v="Client requested retroactive billing adjustments."/>
    <n v="47"/>
    <x v="1"/>
    <x v="14"/>
    <x v="1"/>
    <x v="0"/>
  </r>
  <r>
    <x v="0"/>
    <s v="NWSL Halftime Sponsorship 2026"/>
    <s v="Billing Request- 00103741"/>
    <x v="2"/>
    <d v="2026-03-18T00:00:00"/>
    <d v="2026-04-01T00:00:00"/>
    <x v="2"/>
    <s v="a6Jat2552275"/>
    <x v="0"/>
    <s v="Sep; Oct"/>
    <s v="Manual billing entry issue."/>
    <n v="14"/>
    <x v="4"/>
    <x v="2"/>
    <x v="1"/>
    <x v="1"/>
  </r>
  <r>
    <x v="1"/>
    <s v="NASCAR P&amp;Q 2025"/>
    <s v="Billing Request- 00103742"/>
    <x v="6"/>
    <d v="2025-05-18T00:00:00"/>
    <d v="2025-07-08T00:00:00"/>
    <x v="0"/>
    <s v="a6Jat5289503"/>
    <x v="1"/>
    <s v="Dec"/>
    <s v=""/>
    <n v="51"/>
    <x v="1"/>
    <x v="4"/>
    <x v="0"/>
    <x v="0"/>
  </r>
  <r>
    <x v="0"/>
    <s v="DirecTV NASCAR Campaign 2025"/>
    <s v="Billing Request- 00103743"/>
    <x v="5"/>
    <d v="2025-05-29T00:00:00"/>
    <d v="2025-07-18T00:00:00"/>
    <x v="2"/>
    <s v="a6Jat1356625"/>
    <x v="4"/>
    <s v="Jun"/>
    <s v="Client requested retroactive billing adjustments."/>
    <n v="50"/>
    <x v="1"/>
    <x v="4"/>
    <x v="0"/>
    <x v="0"/>
  </r>
  <r>
    <x v="0"/>
    <s v="Retail Media Expansion 2025"/>
    <s v="Billing Request- 00103745"/>
    <x v="4"/>
    <d v="2025-06-25T00:00:00"/>
    <d v="2025-07-11T00:00:00"/>
    <x v="0"/>
    <s v="a6JHn6944494"/>
    <x v="3"/>
    <s v="Jan; Feb"/>
    <s v="Incorrect legal terms delayed PTS."/>
    <n v="16"/>
    <x v="3"/>
    <x v="9"/>
    <x v="3"/>
    <x v="0"/>
  </r>
  <r>
    <x v="1"/>
    <s v="NBA League Pass 2026"/>
    <s v="Billing Request- 00103746"/>
    <x v="6"/>
    <d v="2026-02-10T00:00:00"/>
    <d v="2026-05-06T00:00:00"/>
    <x v="0"/>
    <s v="a6JXt8235722"/>
    <x v="0"/>
    <s v="Nov; Dec"/>
    <s v=""/>
    <n v="85"/>
    <x v="0"/>
    <x v="1"/>
    <x v="2"/>
    <x v="1"/>
  </r>
  <r>
    <x v="3"/>
    <s v="NFL Prime Video 2026"/>
    <s v="Billing Request- 00103747"/>
    <x v="1"/>
    <d v="2026-05-08T00:00:00"/>
    <d v="2026-05-08T00:00:00"/>
    <x v="2"/>
    <s v="a6JXt9156609"/>
    <x v="6"/>
    <s v="Aug"/>
    <s v="Missing supporting documentation from vendor."/>
    <n v="0"/>
    <x v="2"/>
    <x v="16"/>
    <x v="3"/>
    <x v="1"/>
  </r>
  <r>
    <x v="0"/>
    <s v="NASCAR Apex 2025 2026"/>
    <s v="Billing Request- 00103748"/>
    <x v="5"/>
    <d v="2026-03-28T00:00:00"/>
    <d v="2026-04-27T00:00:00"/>
    <x v="2"/>
    <s v="a6JHn5890057"/>
    <x v="2"/>
    <s v="Jul; Aug"/>
    <s v="Incorrect legal terms delayed PTS."/>
    <n v="30"/>
    <x v="3"/>
    <x v="2"/>
    <x v="0"/>
    <x v="1"/>
  </r>
  <r>
    <x v="0"/>
    <s v="NWSL Prime Video 2025"/>
    <s v="Billing Request- 00103749"/>
    <x v="0"/>
    <d v="2025-10-26T00:00:00"/>
    <d v="2026-02-23T00:00:00"/>
    <x v="2"/>
    <s v="a6JHn7095631"/>
    <x v="3"/>
    <s v="Dec"/>
    <s v="Client requested retroactive billing adjustments."/>
    <n v="120"/>
    <x v="0"/>
    <x v="5"/>
    <x v="1"/>
    <x v="0"/>
  </r>
  <r>
    <x v="1"/>
    <s v="WNBA Incremental Scatter 2026"/>
    <s v="Billing Request- 00103750"/>
    <x v="8"/>
    <d v="2026-01-14T00:00:00"/>
    <d v="2026-01-21T00:00:00"/>
    <x v="0"/>
    <s v="a6JHn6117220"/>
    <x v="4"/>
    <s v="Nov"/>
    <s v="Missing supporting documentation from vendor."/>
    <n v="7"/>
    <x v="2"/>
    <x v="7"/>
    <x v="2"/>
    <x v="1"/>
  </r>
  <r>
    <x v="0"/>
    <s v="NWSL Halftime Sponsorship 2026"/>
    <s v="Billing Request- 00103751"/>
    <x v="4"/>
    <d v="2026-03-07T00:00:00"/>
    <d v="2026-03-25T00:00:00"/>
    <x v="2"/>
    <s v="a6JXt2557530"/>
    <x v="1"/>
    <s v="Jan"/>
    <s v=""/>
    <n v="18"/>
    <x v="3"/>
    <x v="2"/>
    <x v="1"/>
    <x v="1"/>
  </r>
  <r>
    <x v="0"/>
    <s v="Amazon TNF 2024 2026"/>
    <s v="Billing Request- 00103752"/>
    <x v="4"/>
    <d v="2026-03-08T00:00:00"/>
    <d v="2026-04-19T00:00:00"/>
    <x v="2"/>
    <s v="a6JHn8414740"/>
    <x v="4"/>
    <s v="Jul"/>
    <s v="Missing supporting documentation from vendor."/>
    <n v="42"/>
    <x v="1"/>
    <x v="2"/>
    <x v="4"/>
    <x v="1"/>
  </r>
  <r>
    <x v="0"/>
    <s v="DirecTV NASCAR Campaign 2025"/>
    <s v="Billing Request- 00103754"/>
    <x v="0"/>
    <d v="2025-02-11T00:00:00"/>
    <d v="2025-03-08T00:00:00"/>
    <x v="2"/>
    <s v="a6Jat1472528"/>
    <x v="3"/>
    <s v="Oct"/>
    <s v="Incorrect legal terms delayed PTS."/>
    <n v="25"/>
    <x v="3"/>
    <x v="6"/>
    <x v="0"/>
    <x v="0"/>
  </r>
  <r>
    <x v="0"/>
    <s v="Amazon TNF 2024 2025"/>
    <s v="Billing Request- 00103755"/>
    <x v="6"/>
    <d v="2025-05-17T00:00:00"/>
    <d v="2025-08-12T00:00:00"/>
    <x v="1"/>
    <s v="a6JHn1606868"/>
    <x v="1"/>
    <s v="Nov; Dec"/>
    <s v="Late media plan changes from client."/>
    <n v="87"/>
    <x v="0"/>
    <x v="4"/>
    <x v="4"/>
    <x v="0"/>
  </r>
  <r>
    <x v="0"/>
    <s v="NWSL Halftime Sponsorship 2025"/>
    <s v="Billing Request- 00103756"/>
    <x v="0"/>
    <d v="2025-10-11T00:00:00"/>
    <d v="2025-10-26T00:00:00"/>
    <x v="2"/>
    <s v="a6JXt7813283"/>
    <x v="2"/>
    <s v="Apr"/>
    <s v="Client requested retroactive billing adjustments."/>
    <n v="15"/>
    <x v="3"/>
    <x v="5"/>
    <x v="1"/>
    <x v="0"/>
  </r>
  <r>
    <x v="0"/>
    <s v="NWSL Prime Video 2026"/>
    <s v="Billing Request- 00103757"/>
    <x v="2"/>
    <d v="2026-02-11T00:00:00"/>
    <d v="2026-05-05T00:00:00"/>
    <x v="2"/>
    <s v="a6Jat7421774"/>
    <x v="0"/>
    <s v="Sep"/>
    <s v="Missing supporting documentation from vendor."/>
    <n v="83"/>
    <x v="0"/>
    <x v="1"/>
    <x v="1"/>
    <x v="1"/>
  </r>
  <r>
    <x v="0"/>
    <s v="NWSL Prime Video 2026"/>
    <s v="Billing Request- 00103758"/>
    <x v="6"/>
    <d v="2026-05-03T00:00:00"/>
    <d v="2026-05-07T00:00:00"/>
    <x v="2"/>
    <s v="a6Jat5386963"/>
    <x v="6"/>
    <s v="Mar"/>
    <s v="Late media plan changes from client."/>
    <n v="4"/>
    <x v="2"/>
    <x v="16"/>
    <x v="1"/>
    <x v="1"/>
  </r>
  <r>
    <x v="4"/>
    <s v="WNBA Incremental Scatter 2026"/>
    <s v="Billing Request- 00103762"/>
    <x v="8"/>
    <d v="2026-02-17T00:00:00"/>
    <d v="2026-04-26T00:00:00"/>
    <x v="2"/>
    <s v="a6Jat8265605"/>
    <x v="4"/>
    <s v="Jan"/>
    <s v=""/>
    <n v="68"/>
    <x v="0"/>
    <x v="1"/>
    <x v="2"/>
    <x v="1"/>
  </r>
  <r>
    <x v="0"/>
    <s v="Amazon TNF 2024 2025"/>
    <s v="Billing Request- 00103764"/>
    <x v="4"/>
    <d v="2025-02-03T00:00:00"/>
    <d v="2025-04-19T00:00:00"/>
    <x v="0"/>
    <s v="a6Jat8687293"/>
    <x v="5"/>
    <s v="Dec"/>
    <s v="Finance validation process delay."/>
    <n v="75"/>
    <x v="0"/>
    <x v="6"/>
    <x v="4"/>
    <x v="0"/>
  </r>
  <r>
    <x v="0"/>
    <s v="NASCAR P&amp;Q 2025"/>
    <s v="Billing Request- 00103766"/>
    <x v="6"/>
    <d v="2025-10-10T00:00:00"/>
    <d v="2026-01-01T00:00:00"/>
    <x v="0"/>
    <s v="a6JXt6325559"/>
    <x v="0"/>
    <s v="Jul; Aug"/>
    <s v="Missing supporting documentation from vendor."/>
    <n v="83"/>
    <x v="0"/>
    <x v="5"/>
    <x v="0"/>
    <x v="0"/>
  </r>
  <r>
    <x v="0"/>
    <s v="NWSL Halftime Sponsorship 2025"/>
    <s v="Billing Request- 00103767"/>
    <x v="5"/>
    <d v="2025-11-03T00:00:00"/>
    <d v="2026-03-01T00:00:00"/>
    <x v="2"/>
    <s v="a6JHn4801392"/>
    <x v="2"/>
    <s v="Jul; Aug"/>
    <s v="Manual billing entry issue."/>
    <n v="118"/>
    <x v="0"/>
    <x v="15"/>
    <x v="1"/>
    <x v="0"/>
  </r>
  <r>
    <x v="0"/>
    <s v="TNF Sponsorship 2025"/>
    <s v="Billing Request- 00103769"/>
    <x v="8"/>
    <d v="2025-06-14T00:00:00"/>
    <d v="2025-09-10T00:00:00"/>
    <x v="2"/>
    <s v="a6Jat1353281"/>
    <x v="0"/>
    <s v="Sep; Oct"/>
    <s v="Manual billing entry issue."/>
    <n v="88"/>
    <x v="0"/>
    <x v="9"/>
    <x v="4"/>
    <x v="0"/>
  </r>
  <r>
    <x v="3"/>
    <s v="NASCAR P&amp;Q 2025"/>
    <s v="Billing Request- 00103771"/>
    <x v="2"/>
    <d v="2025-01-04T00:00:00"/>
    <d v="2025-01-25T00:00:00"/>
    <x v="2"/>
    <s v="a6Jat8406076"/>
    <x v="2"/>
    <s v="Jul"/>
    <s v="Finance validation process delay."/>
    <n v="21"/>
    <x v="3"/>
    <x v="0"/>
    <x v="0"/>
    <x v="0"/>
  </r>
  <r>
    <x v="0"/>
    <s v="Amazon TNF 2024 2026"/>
    <s v="Billing Request- 00103773"/>
    <x v="5"/>
    <d v="2026-02-06T00:00:00"/>
    <d v="2026-03-31T00:00:00"/>
    <x v="1"/>
    <s v="a6JHn7404736"/>
    <x v="6"/>
    <s v="May; Jun"/>
    <s v="Manual billing entry issue."/>
    <n v="53"/>
    <x v="1"/>
    <x v="1"/>
    <x v="4"/>
    <x v="1"/>
  </r>
  <r>
    <x v="0"/>
    <s v="Prime Sports NFL 2026"/>
    <s v="Billing Request- 00103775"/>
    <x v="9"/>
    <d v="2026-02-19T00:00:00"/>
    <d v="2026-02-28T00:00:00"/>
    <x v="2"/>
    <s v="a6Jat7786802"/>
    <x v="4"/>
    <s v="Jul; Aug"/>
    <s v="Client requested retroactive billing adjustments."/>
    <n v="9"/>
    <x v="4"/>
    <x v="1"/>
    <x v="3"/>
    <x v="1"/>
  </r>
  <r>
    <x v="0"/>
    <s v="NASCAR Apex 2025 2025"/>
    <s v="Billing Request- 00103777"/>
    <x v="1"/>
    <d v="2025-02-23T00:00:00"/>
    <d v="2025-04-16T00:00:00"/>
    <x v="2"/>
    <s v="a6Jat5439291"/>
    <x v="5"/>
    <s v="Feb"/>
    <s v="Agency submitted updated invoice mapping."/>
    <n v="52"/>
    <x v="1"/>
    <x v="6"/>
    <x v="0"/>
    <x v="0"/>
  </r>
  <r>
    <x v="0"/>
    <s v="TNF Sponsorship 2026"/>
    <s v="Billing Request- 00103780"/>
    <x v="7"/>
    <d v="2026-02-21T00:00:00"/>
    <d v="2026-04-29T00:00:00"/>
    <x v="0"/>
    <s v="a6Jat9802287"/>
    <x v="3"/>
    <s v="Apr"/>
    <s v="Incorrect legal terms delayed PTS."/>
    <n v="67"/>
    <x v="0"/>
    <x v="1"/>
    <x v="4"/>
    <x v="1"/>
  </r>
  <r>
    <x v="0"/>
    <s v="DirecTV NASCAR Campaign 2025"/>
    <s v="Billing Request- 00103781"/>
    <x v="3"/>
    <d v="2025-09-08T00:00:00"/>
    <d v="2025-10-31T00:00:00"/>
    <x v="2"/>
    <s v="a6JXt7830376"/>
    <x v="1"/>
    <s v="Apr"/>
    <s v="Manual billing entry issue."/>
    <n v="53"/>
    <x v="1"/>
    <x v="14"/>
    <x v="0"/>
    <x v="0"/>
  </r>
  <r>
    <x v="4"/>
    <s v="Amazon NBA Live Sports 2026"/>
    <s v="Billing Request- 00103782"/>
    <x v="6"/>
    <d v="2026-05-02T00:00:00"/>
    <d v="2026-05-08T00:00:00"/>
    <x v="0"/>
    <s v="a6Jat2261524"/>
    <x v="3"/>
    <s v="Jul"/>
    <s v="Agency submitted updated invoice mapping."/>
    <n v="6"/>
    <x v="2"/>
    <x v="16"/>
    <x v="2"/>
    <x v="1"/>
  </r>
  <r>
    <x v="2"/>
    <s v="WNBA Incremental Scatter 2025"/>
    <s v="Billing Request- 00103783"/>
    <x v="1"/>
    <d v="2025-09-15T00:00:00"/>
    <d v="2025-11-23T00:00:00"/>
    <x v="2"/>
    <s v="a6JHn9165174"/>
    <x v="0"/>
    <s v="Feb"/>
    <s v="Manual billing entry issue."/>
    <n v="69"/>
    <x v="0"/>
    <x v="14"/>
    <x v="2"/>
    <x v="0"/>
  </r>
  <r>
    <x v="0"/>
    <s v="DirecTV NASCAR Campaign 2025"/>
    <s v="Billing Request- 00103785"/>
    <x v="7"/>
    <d v="2025-12-20T00:00:00"/>
    <d v="2026-03-18T00:00:00"/>
    <x v="2"/>
    <s v="a6JXt1508048"/>
    <x v="5"/>
    <s v="Mar"/>
    <s v="Missing supporting documentation from vendor."/>
    <n v="88"/>
    <x v="0"/>
    <x v="11"/>
    <x v="0"/>
    <x v="0"/>
  </r>
  <r>
    <x v="0"/>
    <s v="Retail Media Expansion 2025"/>
    <s v="Billing Request- 00103786"/>
    <x v="0"/>
    <d v="2025-02-08T00:00:00"/>
    <d v="2025-03-03T00:00:00"/>
    <x v="0"/>
    <s v="a6JXt6518619"/>
    <x v="4"/>
    <s v="Feb"/>
    <s v=""/>
    <n v="23"/>
    <x v="3"/>
    <x v="6"/>
    <x v="3"/>
    <x v="0"/>
  </r>
  <r>
    <x v="0"/>
    <s v="Confluence Academy 2026"/>
    <s v="Billing Request- 00103787"/>
    <x v="7"/>
    <d v="2026-02-17T00:00:00"/>
    <d v="2026-05-06T00:00:00"/>
    <x v="2"/>
    <s v="a6Jat6313373"/>
    <x v="1"/>
    <s v="Mar; Apr"/>
    <s v=""/>
    <n v="78"/>
    <x v="0"/>
    <x v="1"/>
    <x v="3"/>
    <x v="1"/>
  </r>
  <r>
    <x v="0"/>
    <s v="WNBA Incremental Scatter 2025"/>
    <s v="Billing Request- 00103788"/>
    <x v="1"/>
    <d v="2025-05-05T00:00:00"/>
    <d v="2025-08-13T00:00:00"/>
    <x v="0"/>
    <s v="a6JXt7951201"/>
    <x v="1"/>
    <s v="Mar"/>
    <s v="Invoice details mismatch with approved campaign."/>
    <n v="100"/>
    <x v="0"/>
    <x v="4"/>
    <x v="2"/>
    <x v="0"/>
  </r>
  <r>
    <x v="1"/>
    <s v="NBA Playoffs Campaign 2025"/>
    <s v="Billing Request- 00103789"/>
    <x v="3"/>
    <d v="2025-12-11T00:00:00"/>
    <d v="2026-03-28T00:00:00"/>
    <x v="0"/>
    <s v="a6JHn9360044"/>
    <x v="6"/>
    <s v="Mar"/>
    <s v="Late media plan changes from client."/>
    <n v="107"/>
    <x v="0"/>
    <x v="11"/>
    <x v="2"/>
    <x v="0"/>
  </r>
  <r>
    <x v="1"/>
    <s v="DirecTV NASCAR Campaign 2025"/>
    <s v="Billing Request- 00103790"/>
    <x v="2"/>
    <d v="2025-01-20T00:00:00"/>
    <d v="2025-01-31T00:00:00"/>
    <x v="0"/>
    <s v="a6JXt1014686"/>
    <x v="3"/>
    <s v="May; Jun"/>
    <s v="Incorrect legal terms delayed PTS."/>
    <n v="11"/>
    <x v="4"/>
    <x v="0"/>
    <x v="0"/>
    <x v="0"/>
  </r>
  <r>
    <x v="0"/>
    <s v="Retail Media Expansion 2026"/>
    <s v="Billing Request- 00103791"/>
    <x v="2"/>
    <d v="2026-02-10T00:00:00"/>
    <d v="2026-02-15T00:00:00"/>
    <x v="2"/>
    <s v="a6JXt8489936"/>
    <x v="5"/>
    <s v="Nov"/>
    <s v="Missing supporting documentation from vendor."/>
    <n v="5"/>
    <x v="2"/>
    <x v="1"/>
    <x v="3"/>
    <x v="1"/>
  </r>
  <r>
    <x v="0"/>
    <s v="DirecTV NASCAR Campaign 2025"/>
    <s v="Billing Request- 00103793"/>
    <x v="9"/>
    <d v="2025-04-07T00:00:00"/>
    <d v="2025-06-25T00:00:00"/>
    <x v="2"/>
    <s v="a6JXt1826059"/>
    <x v="3"/>
    <s v="Jul; Aug"/>
    <s v="Late media plan changes from client."/>
    <n v="79"/>
    <x v="0"/>
    <x v="3"/>
    <x v="0"/>
    <x v="0"/>
  </r>
  <r>
    <x v="0"/>
    <s v="TNF Sponsorship 2025"/>
    <s v="Billing Request- 00103795"/>
    <x v="8"/>
    <d v="2025-07-10T00:00:00"/>
    <d v="2025-09-02T00:00:00"/>
    <x v="2"/>
    <s v="a6JHn9080911"/>
    <x v="5"/>
    <s v="Dec"/>
    <s v="Agency submitted updated invoice mapping."/>
    <n v="54"/>
    <x v="1"/>
    <x v="12"/>
    <x v="4"/>
    <x v="0"/>
  </r>
  <r>
    <x v="0"/>
    <s v="Retail Media Expansion 2025"/>
    <s v="Billing Request- 00103796"/>
    <x v="7"/>
    <d v="2025-05-22T00:00:00"/>
    <d v="2025-07-05T00:00:00"/>
    <x v="2"/>
    <s v="a6JXt9607710"/>
    <x v="0"/>
    <s v="Oct"/>
    <s v="Late media plan changes from client."/>
    <n v="44"/>
    <x v="1"/>
    <x v="4"/>
    <x v="3"/>
    <x v="0"/>
  </r>
  <r>
    <x v="0"/>
    <s v="NBA Playoffs Campaign 2025"/>
    <s v="Billing Request- 00103797"/>
    <x v="2"/>
    <d v="2025-10-17T00:00:00"/>
    <d v="2026-02-10T00:00:00"/>
    <x v="0"/>
    <s v="a6JHn1629675"/>
    <x v="4"/>
    <s v="Sep"/>
    <s v="Late media plan changes from client."/>
    <n v="116"/>
    <x v="0"/>
    <x v="5"/>
    <x v="2"/>
    <x v="0"/>
  </r>
  <r>
    <x v="0"/>
    <s v="NWSL Prime Video 2025"/>
    <s v="Billing Request- 00103798"/>
    <x v="5"/>
    <d v="2025-04-04T00:00:00"/>
    <d v="2025-05-19T00:00:00"/>
    <x v="2"/>
    <s v="a6JHn9674426"/>
    <x v="5"/>
    <s v="Nov"/>
    <s v=""/>
    <n v="45"/>
    <x v="1"/>
    <x v="3"/>
    <x v="1"/>
    <x v="0"/>
  </r>
  <r>
    <x v="0"/>
    <s v="NWSL Halftime Sponsorship 2025"/>
    <s v="Billing Request- 00103799"/>
    <x v="7"/>
    <d v="2025-02-06T00:00:00"/>
    <d v="2025-06-03T00:00:00"/>
    <x v="1"/>
    <s v="a6JHn7896019"/>
    <x v="1"/>
    <s v="Jun"/>
    <s v="Late media plan changes from client."/>
    <n v="117"/>
    <x v="0"/>
    <x v="6"/>
    <x v="1"/>
    <x v="0"/>
  </r>
  <r>
    <x v="0"/>
    <s v="NASCAR P&amp;Q 2025"/>
    <s v="Billing Request- 00103801"/>
    <x v="4"/>
    <d v="2025-07-12T00:00:00"/>
    <d v="2025-08-22T00:00:00"/>
    <x v="2"/>
    <s v="a6Jat8759763"/>
    <x v="1"/>
    <s v="Jul; Aug"/>
    <s v=""/>
    <n v="41"/>
    <x v="1"/>
    <x v="12"/>
    <x v="0"/>
    <x v="0"/>
  </r>
  <r>
    <x v="0"/>
    <s v="NWSL Prime Video 2025"/>
    <s v="Billing Request- 00103803"/>
    <x v="3"/>
    <d v="2025-01-22T00:00:00"/>
    <d v="2025-01-31T00:00:00"/>
    <x v="2"/>
    <s v="a6JHn6054650"/>
    <x v="0"/>
    <s v="Jul"/>
    <s v="Agency submitted updated invoice mapping."/>
    <n v="9"/>
    <x v="4"/>
    <x v="0"/>
    <x v="1"/>
    <x v="0"/>
  </r>
  <r>
    <x v="4"/>
    <s v="NWSL Halftime Sponsorship 2025"/>
    <s v="Billing Request- 00103804"/>
    <x v="8"/>
    <d v="2025-01-06T00:00:00"/>
    <d v="2025-04-04T00:00:00"/>
    <x v="2"/>
    <s v="a6JHn6277201"/>
    <x v="4"/>
    <s v="Sep; Oct"/>
    <s v="Late media plan changes from client."/>
    <n v="88"/>
    <x v="0"/>
    <x v="0"/>
    <x v="1"/>
    <x v="0"/>
  </r>
  <r>
    <x v="0"/>
    <s v="NFL Prime Video 2026"/>
    <s v="Billing Request- 00103806"/>
    <x v="0"/>
    <d v="2026-04-23T00:00:00"/>
    <d v="2026-05-06T00:00:00"/>
    <x v="0"/>
    <s v="a6JHn8768229"/>
    <x v="6"/>
    <s v="Sep; Oct"/>
    <s v="Incorrect legal terms delayed PTS."/>
    <n v="13"/>
    <x v="4"/>
    <x v="10"/>
    <x v="3"/>
    <x v="1"/>
  </r>
  <r>
    <x v="0"/>
    <s v="Amazon NBA Live Sports 2025"/>
    <s v="Billing Request- 00103808"/>
    <x v="2"/>
    <d v="2025-05-18T00:00:00"/>
    <d v="2025-08-26T00:00:00"/>
    <x v="2"/>
    <s v="a6JXt3640755"/>
    <x v="5"/>
    <s v="Mar; Apr"/>
    <s v="Missing supporting documentation from vendor."/>
    <n v="100"/>
    <x v="0"/>
    <x v="4"/>
    <x v="2"/>
    <x v="0"/>
  </r>
  <r>
    <x v="0"/>
    <s v="Prime Sports NFL 2025"/>
    <s v="Billing Request- 00103809"/>
    <x v="1"/>
    <d v="2025-01-26T00:00:00"/>
    <d v="2025-04-06T00:00:00"/>
    <x v="2"/>
    <s v="a6Jat5839348"/>
    <x v="3"/>
    <s v="Jan"/>
    <s v="Manual billing entry issue."/>
    <n v="70"/>
    <x v="0"/>
    <x v="0"/>
    <x v="3"/>
    <x v="0"/>
  </r>
  <r>
    <x v="0"/>
    <s v="Streaming Bundle Initiative 2025"/>
    <s v="Billing Request- 00103810"/>
    <x v="1"/>
    <d v="2025-04-25T00:00:00"/>
    <d v="2025-06-04T00:00:00"/>
    <x v="2"/>
    <s v="a6JXt7548852"/>
    <x v="5"/>
    <s v="Aug"/>
    <s v="Finance validation process delay."/>
    <n v="40"/>
    <x v="1"/>
    <x v="3"/>
    <x v="3"/>
    <x v="0"/>
  </r>
  <r>
    <x v="3"/>
    <s v="Retail Media Expansion 2025"/>
    <s v="Billing Request- 00103811"/>
    <x v="2"/>
    <d v="2025-03-26T00:00:00"/>
    <d v="2025-04-16T00:00:00"/>
    <x v="2"/>
    <s v="a6JXt5885856"/>
    <x v="4"/>
    <s v="Mar"/>
    <s v="Agency submitted updated invoice mapping."/>
    <n v="21"/>
    <x v="3"/>
    <x v="13"/>
    <x v="3"/>
    <x v="0"/>
  </r>
  <r>
    <x v="0"/>
    <s v="NBA Playoffs Campaign 2025"/>
    <s v="Billing Request- 00103813"/>
    <x v="8"/>
    <d v="2025-10-13T00:00:00"/>
    <d v="2025-12-15T00:00:00"/>
    <x v="0"/>
    <s v="a6JHn6846155"/>
    <x v="1"/>
    <s v="Sep; Oct"/>
    <s v="Manual billing entry issue."/>
    <n v="63"/>
    <x v="0"/>
    <x v="5"/>
    <x v="2"/>
    <x v="0"/>
  </r>
  <r>
    <x v="1"/>
    <s v="NASCAR P&amp;Q 2025"/>
    <s v="Billing Request- 00103814"/>
    <x v="9"/>
    <d v="2025-02-07T00:00:00"/>
    <d v="2025-05-01T00:00:00"/>
    <x v="2"/>
    <s v="a6Jat4961827"/>
    <x v="0"/>
    <s v="May; Jun"/>
    <s v="Finance validation process delay."/>
    <n v="83"/>
    <x v="0"/>
    <x v="6"/>
    <x v="0"/>
    <x v="0"/>
  </r>
  <r>
    <x v="0"/>
    <s v="Retail Media Expansion 2026"/>
    <s v="Billing Request- 00103815"/>
    <x v="0"/>
    <d v="2026-05-05T00:00:00"/>
    <d v="2026-05-07T00:00:00"/>
    <x v="0"/>
    <s v="a6Jat5551822"/>
    <x v="0"/>
    <s v="Jul; Aug"/>
    <s v="Manual billing entry issue."/>
    <n v="2"/>
    <x v="2"/>
    <x v="16"/>
    <x v="3"/>
    <x v="1"/>
  </r>
  <r>
    <x v="0"/>
    <s v="NWSL Prime Video 2025"/>
    <s v="Billing Request- 00103816"/>
    <x v="4"/>
    <d v="2025-10-29T00:00:00"/>
    <d v="2025-12-22T00:00:00"/>
    <x v="2"/>
    <s v="a6Jat3217627"/>
    <x v="1"/>
    <s v="Oct"/>
    <s v="Invoice details mismatch with approved campaign."/>
    <n v="54"/>
    <x v="1"/>
    <x v="5"/>
    <x v="1"/>
    <x v="0"/>
  </r>
  <r>
    <x v="0"/>
    <s v="NWSL Prime Video 2025"/>
    <s v="Billing Request- 00103818"/>
    <x v="3"/>
    <d v="2025-03-03T00:00:00"/>
    <d v="2025-04-03T00:00:00"/>
    <x v="0"/>
    <s v="a6JXt8154368"/>
    <x v="5"/>
    <s v="Jan; Feb"/>
    <s v="Client requested retroactive billing adjustments."/>
    <n v="31"/>
    <x v="1"/>
    <x v="13"/>
    <x v="1"/>
    <x v="0"/>
  </r>
  <r>
    <x v="0"/>
    <s v="NWSL Halftime Sponsorship 2025"/>
    <s v="Billing Request- 00103819"/>
    <x v="3"/>
    <d v="2025-09-03T00:00:00"/>
    <d v="2025-11-09T00:00:00"/>
    <x v="2"/>
    <s v="a6JHn3050208"/>
    <x v="2"/>
    <s v="Aug"/>
    <s v="Invoice details mismatch with approved campaign."/>
    <n v="67"/>
    <x v="0"/>
    <x v="14"/>
    <x v="1"/>
    <x v="0"/>
  </r>
  <r>
    <x v="0"/>
    <s v="Confluence Academy 2025"/>
    <s v="Billing Request- 00103820"/>
    <x v="2"/>
    <d v="2025-11-16T00:00:00"/>
    <d v="2025-12-23T00:00:00"/>
    <x v="0"/>
    <s v="a6JHn8825980"/>
    <x v="4"/>
    <s v="May; Jun"/>
    <s v="Client requested retroactive billing adjustments."/>
    <n v="37"/>
    <x v="1"/>
    <x v="15"/>
    <x v="3"/>
    <x v="0"/>
  </r>
  <r>
    <x v="0"/>
    <s v="NASCAR Apex 2025 2025"/>
    <s v="Billing Request- 00103821"/>
    <x v="4"/>
    <d v="2025-07-05T00:00:00"/>
    <d v="2025-08-13T00:00:00"/>
    <x v="2"/>
    <s v="a6JHn2069443"/>
    <x v="5"/>
    <s v="Nov"/>
    <s v="Late media plan changes from client."/>
    <n v="39"/>
    <x v="1"/>
    <x v="12"/>
    <x v="0"/>
    <x v="0"/>
  </r>
  <r>
    <x v="0"/>
    <s v="Streaming Bundle Initiative 2025"/>
    <s v="Billing Request- 00103822"/>
    <x v="0"/>
    <d v="2025-11-29T00:00:00"/>
    <d v="2025-12-20T00:00:00"/>
    <x v="2"/>
    <s v="a6JHn2516110"/>
    <x v="4"/>
    <s v="Apr"/>
    <s v="Late media plan changes from client."/>
    <n v="21"/>
    <x v="3"/>
    <x v="15"/>
    <x v="3"/>
    <x v="0"/>
  </r>
  <r>
    <x v="1"/>
    <s v="NWSL Halftime Sponsorship 2025"/>
    <s v="Billing Request- 00103823"/>
    <x v="6"/>
    <d v="2025-01-04T00:00:00"/>
    <d v="2025-02-04T00:00:00"/>
    <x v="1"/>
    <s v="a6Jat4831710"/>
    <x v="0"/>
    <s v="Sep; Oct"/>
    <s v="Incorrect legal terms delayed PTS."/>
    <n v="31"/>
    <x v="1"/>
    <x v="0"/>
    <x v="1"/>
    <x v="0"/>
  </r>
  <r>
    <x v="0"/>
    <s v="DirecTV NASCAR Campaign 2025"/>
    <s v="Billing Request- 00103824"/>
    <x v="6"/>
    <d v="2025-01-10T00:00:00"/>
    <d v="2025-03-23T00:00:00"/>
    <x v="2"/>
    <s v="a6JXt8880122"/>
    <x v="6"/>
    <s v="Apr"/>
    <s v="Manual billing entry issue."/>
    <n v="72"/>
    <x v="0"/>
    <x v="0"/>
    <x v="0"/>
    <x v="0"/>
  </r>
  <r>
    <x v="1"/>
    <s v="NBA Playoffs Campaign 2025"/>
    <s v="Billing Request- 00103825"/>
    <x v="2"/>
    <d v="2025-12-11T00:00:00"/>
    <d v="2026-03-01T00:00:00"/>
    <x v="2"/>
    <s v="a6JHn9021919"/>
    <x v="1"/>
    <s v="Jan; Feb"/>
    <s v="Manual billing entry issue."/>
    <n v="80"/>
    <x v="0"/>
    <x v="11"/>
    <x v="2"/>
    <x v="0"/>
  </r>
  <r>
    <x v="4"/>
    <s v="NWSL Halftime Sponsorship 2026"/>
    <s v="Billing Request- 00103827"/>
    <x v="5"/>
    <d v="2026-02-27T00:00:00"/>
    <d v="2026-05-05T00:00:00"/>
    <x v="2"/>
    <s v="a6Jat4319926"/>
    <x v="2"/>
    <s v="Mar; Apr"/>
    <s v="Agency submitted updated invoice mapping."/>
    <n v="67"/>
    <x v="0"/>
    <x v="1"/>
    <x v="1"/>
    <x v="1"/>
  </r>
  <r>
    <x v="0"/>
    <s v="NWSL Prime Video 2025"/>
    <s v="Billing Request- 00103828"/>
    <x v="2"/>
    <d v="2025-11-11T00:00:00"/>
    <d v="2026-01-17T00:00:00"/>
    <x v="2"/>
    <s v="a6JHn7144947"/>
    <x v="5"/>
    <s v="Jul; Aug"/>
    <s v="Finance validation process delay."/>
    <n v="67"/>
    <x v="0"/>
    <x v="15"/>
    <x v="1"/>
    <x v="0"/>
  </r>
  <r>
    <x v="0"/>
    <s v="Retail Media Expansion 2025"/>
    <s v="Billing Request- 00103831"/>
    <x v="4"/>
    <d v="2025-05-11T00:00:00"/>
    <d v="2025-09-06T00:00:00"/>
    <x v="0"/>
    <s v="a6JXt3733001"/>
    <x v="3"/>
    <s v="Aug"/>
    <s v="Missing supporting documentation from vendor."/>
    <n v="118"/>
    <x v="0"/>
    <x v="4"/>
    <x v="3"/>
    <x v="0"/>
  </r>
  <r>
    <x v="0"/>
    <s v="NASCAR Apex 2025 2025"/>
    <s v="Billing Request- 00103832"/>
    <x v="4"/>
    <d v="2025-05-28T00:00:00"/>
    <d v="2025-08-18T00:00:00"/>
    <x v="2"/>
    <s v="a6JXt1661504"/>
    <x v="6"/>
    <s v="Jun"/>
    <s v="Manual billing entry issue."/>
    <n v="82"/>
    <x v="0"/>
    <x v="4"/>
    <x v="0"/>
    <x v="0"/>
  </r>
  <r>
    <x v="1"/>
    <s v="NWSL Prime Video 2025"/>
    <s v="Billing Request- 00103834"/>
    <x v="8"/>
    <d v="2025-03-16T00:00:00"/>
    <d v="2025-05-15T00:00:00"/>
    <x v="2"/>
    <s v="a6Jat9059352"/>
    <x v="1"/>
    <s v="Jul"/>
    <s v="Manual billing entry issue."/>
    <n v="60"/>
    <x v="1"/>
    <x v="13"/>
    <x v="1"/>
    <x v="0"/>
  </r>
  <r>
    <x v="3"/>
    <s v="NWSL Halftime Sponsorship 2025"/>
    <s v="Billing Request- 00103836"/>
    <x v="4"/>
    <d v="2025-07-13T00:00:00"/>
    <d v="2025-07-24T00:00:00"/>
    <x v="0"/>
    <s v="a6JXt7106894"/>
    <x v="2"/>
    <s v="Mar; Apr"/>
    <s v="Late media plan changes from client."/>
    <n v="11"/>
    <x v="4"/>
    <x v="12"/>
    <x v="1"/>
    <x v="0"/>
  </r>
  <r>
    <x v="0"/>
    <s v="NWSL Prime Video 2026"/>
    <s v="Billing Request- 00103838"/>
    <x v="1"/>
    <d v="2026-02-24T00:00:00"/>
    <d v="2026-03-29T00:00:00"/>
    <x v="0"/>
    <s v="a6JHn8205617"/>
    <x v="4"/>
    <s v="Feb"/>
    <s v="Manual billing entry issue."/>
    <n v="33"/>
    <x v="1"/>
    <x v="1"/>
    <x v="1"/>
    <x v="1"/>
  </r>
  <r>
    <x v="0"/>
    <s v="NWSL Halftime Sponsorship 2026"/>
    <s v="Billing Request- 00103839"/>
    <x v="0"/>
    <d v="2026-03-13T00:00:00"/>
    <d v="2026-05-06T00:00:00"/>
    <x v="2"/>
    <s v="a6Jat2277184"/>
    <x v="1"/>
    <s v="Sep; Oct"/>
    <s v="Agency submitted updated invoice mapping."/>
    <n v="54"/>
    <x v="1"/>
    <x v="2"/>
    <x v="1"/>
    <x v="1"/>
  </r>
  <r>
    <x v="3"/>
    <s v="Confluence Academy 2025"/>
    <s v="Billing Request- 00103840"/>
    <x v="6"/>
    <d v="2025-09-19T00:00:00"/>
    <d v="2026-01-12T00:00:00"/>
    <x v="0"/>
    <s v="a6JHn4557108"/>
    <x v="1"/>
    <s v="Sep"/>
    <s v="Agency submitted updated invoice mapping."/>
    <n v="115"/>
    <x v="0"/>
    <x v="14"/>
    <x v="3"/>
    <x v="0"/>
  </r>
  <r>
    <x v="4"/>
    <s v="Streaming Bundle Initiative 2025"/>
    <s v="Billing Request- 00103841"/>
    <x v="1"/>
    <d v="2025-08-09T00:00:00"/>
    <d v="2025-08-26T00:00:00"/>
    <x v="0"/>
    <s v="a6JHn9576230"/>
    <x v="1"/>
    <s v="Aug"/>
    <s v=""/>
    <n v="17"/>
    <x v="3"/>
    <x v="8"/>
    <x v="3"/>
    <x v="0"/>
  </r>
  <r>
    <x v="3"/>
    <s v="DirecTV NASCAR Campaign 2026"/>
    <s v="Billing Request- 00103843"/>
    <x v="4"/>
    <d v="2026-03-23T00:00:00"/>
    <d v="2026-03-26T00:00:00"/>
    <x v="0"/>
    <s v="a6Jat5369397"/>
    <x v="1"/>
    <s v="Dec"/>
    <s v="Invoice details mismatch with approved campaign."/>
    <n v="3"/>
    <x v="2"/>
    <x v="2"/>
    <x v="0"/>
    <x v="1"/>
  </r>
  <r>
    <x v="0"/>
    <s v="NFL Prime Video 2026"/>
    <s v="Billing Request- 00103844"/>
    <x v="1"/>
    <d v="2026-04-17T00:00:00"/>
    <d v="2026-05-07T00:00:00"/>
    <x v="2"/>
    <s v="a6JXt8226904"/>
    <x v="6"/>
    <s v="Dec"/>
    <s v="Finance validation process delay."/>
    <n v="20"/>
    <x v="3"/>
    <x v="10"/>
    <x v="3"/>
    <x v="1"/>
  </r>
  <r>
    <x v="0"/>
    <s v="WNBA Incremental Scatter 2026"/>
    <s v="Billing Request- 00103846"/>
    <x v="0"/>
    <d v="2026-03-06T00:00:00"/>
    <d v="2026-04-10T00:00:00"/>
    <x v="2"/>
    <s v="a6Jat2026453"/>
    <x v="4"/>
    <s v="Jul"/>
    <s v="Incorrect legal terms delayed PTS."/>
    <n v="35"/>
    <x v="1"/>
    <x v="2"/>
    <x v="2"/>
    <x v="1"/>
  </r>
  <r>
    <x v="0"/>
    <s v="Streaming Bundle Initiative 2025"/>
    <s v="Billing Request- 00103847"/>
    <x v="0"/>
    <d v="2025-01-25T00:00:00"/>
    <d v="2025-03-27T00:00:00"/>
    <x v="0"/>
    <s v="a6JHn4170043"/>
    <x v="6"/>
    <s v="Feb"/>
    <s v="Manual billing entry issue."/>
    <n v="61"/>
    <x v="0"/>
    <x v="0"/>
    <x v="3"/>
    <x v="0"/>
  </r>
  <r>
    <x v="3"/>
    <s v="Retail Media Expansion 2026"/>
    <s v="Billing Request- 00103848"/>
    <x v="6"/>
    <d v="2026-02-23T00:00:00"/>
    <d v="2026-03-19T00:00:00"/>
    <x v="2"/>
    <s v="a6JHn7112026"/>
    <x v="2"/>
    <s v="Dec"/>
    <s v="Missing supporting documentation from vendor."/>
    <n v="24"/>
    <x v="3"/>
    <x v="1"/>
    <x v="3"/>
    <x v="1"/>
  </r>
  <r>
    <x v="4"/>
    <s v="NASCAR Apex 2025 2026"/>
    <s v="Billing Request- 00103849"/>
    <x v="7"/>
    <d v="2026-03-19T00:00:00"/>
    <d v="2026-05-06T00:00:00"/>
    <x v="0"/>
    <s v="a6JHn4684950"/>
    <x v="5"/>
    <s v="Aug"/>
    <s v="Late media plan changes from client."/>
    <n v="48"/>
    <x v="1"/>
    <x v="2"/>
    <x v="0"/>
    <x v="1"/>
  </r>
  <r>
    <x v="0"/>
    <s v="Global Consumer Products 2026"/>
    <s v="Billing Request- 00103851"/>
    <x v="0"/>
    <d v="2026-01-04T00:00:00"/>
    <d v="2026-04-01T00:00:00"/>
    <x v="0"/>
    <s v="a6JXt5064263"/>
    <x v="0"/>
    <s v="Sep; Oct"/>
    <s v="Manual billing entry issue."/>
    <n v="87"/>
    <x v="0"/>
    <x v="7"/>
    <x v="3"/>
    <x v="1"/>
  </r>
  <r>
    <x v="0"/>
    <s v="NBA League Pass 2026"/>
    <s v="Billing Request- 00103853"/>
    <x v="7"/>
    <d v="2026-03-29T00:00:00"/>
    <d v="2026-05-06T00:00:00"/>
    <x v="2"/>
    <s v="a6JHn1059462"/>
    <x v="4"/>
    <s v="May; Jun"/>
    <s v="Incorrect legal terms delayed PTS."/>
    <n v="38"/>
    <x v="1"/>
    <x v="2"/>
    <x v="2"/>
    <x v="1"/>
  </r>
  <r>
    <x v="0"/>
    <s v="NWSL Prime Video 2026"/>
    <s v="Billing Request- 00103854"/>
    <x v="4"/>
    <d v="2026-04-25T00:00:00"/>
    <d v="2026-05-05T00:00:00"/>
    <x v="2"/>
    <s v="a6Jat3217236"/>
    <x v="0"/>
    <s v="Nov"/>
    <s v="Agency submitted updated invoice mapping."/>
    <n v="10"/>
    <x v="4"/>
    <x v="10"/>
    <x v="1"/>
    <x v="1"/>
  </r>
  <r>
    <x v="0"/>
    <s v="Amazon TNF 2024 2025"/>
    <s v="Billing Request- 00103857"/>
    <x v="8"/>
    <d v="2025-10-21T00:00:00"/>
    <d v="2025-12-22T00:00:00"/>
    <x v="2"/>
    <s v="a6Jat7670013"/>
    <x v="4"/>
    <s v="Mar"/>
    <s v="Missing supporting documentation from vendor."/>
    <n v="62"/>
    <x v="0"/>
    <x v="5"/>
    <x v="4"/>
    <x v="0"/>
  </r>
  <r>
    <x v="0"/>
    <s v="Amazon NBA Live Sports 2025"/>
    <s v="Billing Request- 00103858"/>
    <x v="9"/>
    <d v="2025-11-19T00:00:00"/>
    <d v="2025-12-22T00:00:00"/>
    <x v="0"/>
    <s v="a6JHn7964371"/>
    <x v="3"/>
    <s v="Jul; Aug"/>
    <s v="Incorrect legal terms delayed PTS."/>
    <n v="33"/>
    <x v="1"/>
    <x v="15"/>
    <x v="2"/>
    <x v="0"/>
  </r>
  <r>
    <x v="0"/>
    <s v="NBA League Pass 2026"/>
    <s v="Billing Request- 00103859"/>
    <x v="4"/>
    <d v="2026-05-06T00:00:00"/>
    <d v="2026-05-05T00:00:00"/>
    <x v="2"/>
    <s v="a6JHn3267912"/>
    <x v="5"/>
    <s v="Aug"/>
    <s v="Incorrect legal terms delayed PTS."/>
    <n v="-1"/>
    <x v="2"/>
    <x v="16"/>
    <x v="2"/>
    <x v="1"/>
  </r>
  <r>
    <x v="0"/>
    <s v="Amazon TNF 2024 2026"/>
    <s v="Billing Request- 00103860"/>
    <x v="5"/>
    <d v="2026-02-19T00:00:00"/>
    <d v="2026-02-21T00:00:00"/>
    <x v="2"/>
    <s v="a6JXt4711227"/>
    <x v="6"/>
    <s v="Nov"/>
    <s v="Agency submitted updated invoice mapping."/>
    <n v="2"/>
    <x v="2"/>
    <x v="1"/>
    <x v="4"/>
    <x v="1"/>
  </r>
  <r>
    <x v="0"/>
    <s v="NWSL Prime Video 2026"/>
    <s v="Billing Request- 00103861"/>
    <x v="7"/>
    <d v="2026-01-12T00:00:00"/>
    <d v="2026-01-20T00:00:00"/>
    <x v="0"/>
    <s v="a6JHn5492806"/>
    <x v="6"/>
    <s v="Nov; Dec"/>
    <s v="Missing supporting documentation from vendor."/>
    <n v="8"/>
    <x v="4"/>
    <x v="7"/>
    <x v="1"/>
    <x v="1"/>
  </r>
  <r>
    <x v="0"/>
    <s v="Prime Sports NFL 2025"/>
    <s v="Billing Request- 00103863"/>
    <x v="8"/>
    <d v="2025-01-20T00:00:00"/>
    <d v="2025-03-10T00:00:00"/>
    <x v="2"/>
    <s v="a6JXt4974479"/>
    <x v="0"/>
    <s v="Sep; Oct"/>
    <s v=""/>
    <n v="49"/>
    <x v="1"/>
    <x v="0"/>
    <x v="3"/>
    <x v="0"/>
  </r>
  <r>
    <x v="0"/>
    <s v="NASCAR P&amp;Q 2026"/>
    <s v="Billing Request- 00103864"/>
    <x v="0"/>
    <d v="2026-02-12T00:00:00"/>
    <d v="2026-02-22T00:00:00"/>
    <x v="2"/>
    <s v="a6JHn3700143"/>
    <x v="6"/>
    <s v="Sep; Oct"/>
    <s v="Late media plan changes from client."/>
    <n v="10"/>
    <x v="4"/>
    <x v="1"/>
    <x v="0"/>
    <x v="1"/>
  </r>
  <r>
    <x v="0"/>
    <s v="Amazon TNF 2024 2025"/>
    <s v="Billing Request- 00103865"/>
    <x v="9"/>
    <d v="2025-09-30T00:00:00"/>
    <d v="2026-01-01T00:00:00"/>
    <x v="2"/>
    <s v="a6JXt6785543"/>
    <x v="3"/>
    <s v="May; Jun"/>
    <s v="Missing supporting documentation from vendor."/>
    <n v="93"/>
    <x v="0"/>
    <x v="14"/>
    <x v="4"/>
    <x v="0"/>
  </r>
  <r>
    <x v="0"/>
    <s v="NASCAR Apex 2025 2025"/>
    <s v="Billing Request- 00103866"/>
    <x v="7"/>
    <d v="2025-10-04T00:00:00"/>
    <d v="2025-12-24T00:00:00"/>
    <x v="2"/>
    <s v="a6Jat4779463"/>
    <x v="0"/>
    <s v="May; Jun"/>
    <s v="Invoice details mismatch with approved campaign."/>
    <n v="81"/>
    <x v="0"/>
    <x v="5"/>
    <x v="0"/>
    <x v="0"/>
  </r>
  <r>
    <x v="4"/>
    <s v="NWSL Halftime Sponsorship 2025"/>
    <s v="Billing Request- 00103867"/>
    <x v="8"/>
    <d v="2025-05-24T00:00:00"/>
    <d v="2025-08-31T00:00:00"/>
    <x v="2"/>
    <s v="a6JXt4648112"/>
    <x v="5"/>
    <s v="Oct"/>
    <s v=""/>
    <n v="99"/>
    <x v="0"/>
    <x v="4"/>
    <x v="1"/>
    <x v="0"/>
  </r>
  <r>
    <x v="0"/>
    <s v="NBA Playoffs Campaign 2025"/>
    <s v="Billing Request- 00103868"/>
    <x v="7"/>
    <d v="2025-07-25T00:00:00"/>
    <d v="2025-09-04T00:00:00"/>
    <x v="2"/>
    <s v="a6JHn6298520"/>
    <x v="4"/>
    <s v="Sep"/>
    <s v="Manual billing entry issue."/>
    <n v="41"/>
    <x v="1"/>
    <x v="12"/>
    <x v="2"/>
    <x v="0"/>
  </r>
  <r>
    <x v="4"/>
    <s v="NASCAR P&amp;Q 2025"/>
    <s v="Billing Request- 00103870"/>
    <x v="1"/>
    <d v="2025-05-15T00:00:00"/>
    <d v="2025-07-12T00:00:00"/>
    <x v="0"/>
    <s v="a6JHn5875697"/>
    <x v="0"/>
    <s v="Jul"/>
    <s v=""/>
    <n v="58"/>
    <x v="1"/>
    <x v="4"/>
    <x v="0"/>
    <x v="0"/>
  </r>
  <r>
    <x v="3"/>
    <s v="NBA Playoffs Campaign 2025"/>
    <s v="Billing Request- 00103872"/>
    <x v="3"/>
    <d v="2025-03-31T00:00:00"/>
    <d v="2025-05-20T00:00:00"/>
    <x v="2"/>
    <s v="a6Jat5332463"/>
    <x v="1"/>
    <s v="Jan"/>
    <s v=""/>
    <n v="50"/>
    <x v="1"/>
    <x v="13"/>
    <x v="2"/>
    <x v="0"/>
  </r>
  <r>
    <x v="0"/>
    <s v="Amazon TNF 2024 2026"/>
    <s v="Billing Request- 00103873"/>
    <x v="2"/>
    <d v="2026-04-20T00:00:00"/>
    <d v="2026-05-04T00:00:00"/>
    <x v="2"/>
    <s v="a6Jat6076534"/>
    <x v="2"/>
    <s v="Aug"/>
    <s v="Client requested retroactive billing adjustments."/>
    <n v="14"/>
    <x v="4"/>
    <x v="10"/>
    <x v="4"/>
    <x v="1"/>
  </r>
  <r>
    <x v="0"/>
    <s v="NWSL Prime Video 2025"/>
    <s v="Billing Request- 00103874"/>
    <x v="9"/>
    <d v="2025-06-13T00:00:00"/>
    <d v="2025-09-09T00:00:00"/>
    <x v="2"/>
    <s v="a6JHn2795457"/>
    <x v="5"/>
    <s v="Apr"/>
    <s v="Client requested retroactive billing adjustments."/>
    <n v="88"/>
    <x v="0"/>
    <x v="9"/>
    <x v="1"/>
    <x v="0"/>
  </r>
  <r>
    <x v="3"/>
    <s v="NWSL Prime Video 2025"/>
    <s v="Billing Request- 00103875"/>
    <x v="1"/>
    <d v="2025-02-18T00:00:00"/>
    <d v="2025-06-07T00:00:00"/>
    <x v="1"/>
    <s v="a6JHn3159151"/>
    <x v="3"/>
    <s v="May"/>
    <s v="Missing supporting documentation from vendor."/>
    <n v="109"/>
    <x v="0"/>
    <x v="6"/>
    <x v="1"/>
    <x v="0"/>
  </r>
  <r>
    <x v="0"/>
    <s v="Amazon TNF 2024 2025"/>
    <s v="Billing Request- 00103876"/>
    <x v="9"/>
    <d v="2025-12-01T00:00:00"/>
    <d v="2026-01-28T00:00:00"/>
    <x v="0"/>
    <s v="a6JHn9961240"/>
    <x v="5"/>
    <s v="Mar; Apr"/>
    <s v="Late media plan changes from client."/>
    <n v="58"/>
    <x v="1"/>
    <x v="11"/>
    <x v="4"/>
    <x v="0"/>
  </r>
  <r>
    <x v="3"/>
    <s v="NASCAR Apex 2025 2025"/>
    <s v="Billing Request- 00103877"/>
    <x v="9"/>
    <d v="2025-06-07T00:00:00"/>
    <d v="2025-06-20T00:00:00"/>
    <x v="2"/>
    <s v="a6JXt6215397"/>
    <x v="5"/>
    <s v="Nov"/>
    <s v="Manual billing entry issue."/>
    <n v="13"/>
    <x v="4"/>
    <x v="9"/>
    <x v="0"/>
    <x v="0"/>
  </r>
  <r>
    <x v="0"/>
    <s v="NASCAR P&amp;Q 2025"/>
    <s v="Billing Request- 00103878"/>
    <x v="8"/>
    <d v="2025-05-30T00:00:00"/>
    <d v="2025-06-23T00:00:00"/>
    <x v="2"/>
    <s v="a6JHn9242860"/>
    <x v="1"/>
    <s v="Aug"/>
    <s v="Invoice details mismatch with approved campaign."/>
    <n v="24"/>
    <x v="3"/>
    <x v="4"/>
    <x v="0"/>
    <x v="0"/>
  </r>
  <r>
    <x v="0"/>
    <s v="NBA Playoffs Campaign 2025"/>
    <s v="Billing Request- 00103881"/>
    <x v="5"/>
    <d v="2025-11-20T00:00:00"/>
    <d v="2026-02-23T00:00:00"/>
    <x v="0"/>
    <s v="a6JHn9242791"/>
    <x v="3"/>
    <s v="Mar; Apr"/>
    <s v="Incorrect legal terms delayed PTS."/>
    <n v="95"/>
    <x v="0"/>
    <x v="15"/>
    <x v="2"/>
    <x v="0"/>
  </r>
  <r>
    <x v="0"/>
    <s v="Global Consumer Products 2025"/>
    <s v="Billing Request- 00103882"/>
    <x v="3"/>
    <d v="2025-07-05T00:00:00"/>
    <d v="2025-09-25T00:00:00"/>
    <x v="0"/>
    <s v="a6Jat4860503"/>
    <x v="1"/>
    <s v="Oct"/>
    <s v="Incorrect legal terms delayed PTS."/>
    <n v="82"/>
    <x v="0"/>
    <x v="12"/>
    <x v="3"/>
    <x v="0"/>
  </r>
  <r>
    <x v="0"/>
    <s v="Confluence Academy 2025"/>
    <s v="Billing Request- 00103883"/>
    <x v="6"/>
    <d v="2025-12-16T00:00:00"/>
    <d v="2026-03-31T00:00:00"/>
    <x v="2"/>
    <s v="a6JXt2461117"/>
    <x v="2"/>
    <s v="Mar; Apr"/>
    <s v="Missing supporting documentation from vendor."/>
    <n v="105"/>
    <x v="0"/>
    <x v="11"/>
    <x v="3"/>
    <x v="0"/>
  </r>
  <r>
    <x v="0"/>
    <s v="Confluence Academy 2025"/>
    <s v="Billing Request- 00103885"/>
    <x v="0"/>
    <d v="2025-06-14T00:00:00"/>
    <d v="2025-08-09T00:00:00"/>
    <x v="1"/>
    <s v="a6JHn8431064"/>
    <x v="2"/>
    <s v="Aug"/>
    <s v="Late media plan changes from client."/>
    <n v="56"/>
    <x v="1"/>
    <x v="9"/>
    <x v="3"/>
    <x v="0"/>
  </r>
  <r>
    <x v="0"/>
    <s v="NASCAR P&amp;Q 2025"/>
    <s v="Billing Request- 00103886"/>
    <x v="3"/>
    <d v="2025-05-31T00:00:00"/>
    <d v="2025-09-24T00:00:00"/>
    <x v="2"/>
    <s v="a6Jat2582733"/>
    <x v="0"/>
    <s v="Oct"/>
    <s v="Manual billing entry issue."/>
    <n v="116"/>
    <x v="0"/>
    <x v="4"/>
    <x v="0"/>
    <x v="0"/>
  </r>
  <r>
    <x v="0"/>
    <s v="NBA League Pass 2025"/>
    <s v="Billing Request- 00103888"/>
    <x v="3"/>
    <d v="2025-11-06T00:00:00"/>
    <d v="2026-02-07T00:00:00"/>
    <x v="0"/>
    <s v="a6JXt1679723"/>
    <x v="3"/>
    <s v="Dec"/>
    <s v="Late media plan changes from client."/>
    <n v="93"/>
    <x v="0"/>
    <x v="15"/>
    <x v="2"/>
    <x v="0"/>
  </r>
  <r>
    <x v="0"/>
    <s v="Amazon NBA Live Sports 2025"/>
    <s v="Billing Request- 00103889"/>
    <x v="6"/>
    <d v="2025-03-21T00:00:00"/>
    <d v="2025-05-09T00:00:00"/>
    <x v="2"/>
    <s v="a6Jat4141461"/>
    <x v="5"/>
    <s v="Apr"/>
    <s v="Agency submitted updated invoice mapping."/>
    <n v="49"/>
    <x v="1"/>
    <x v="13"/>
    <x v="2"/>
    <x v="0"/>
  </r>
  <r>
    <x v="1"/>
    <s v="NWSL Prime Video 2025"/>
    <s v="Billing Request- 00103890"/>
    <x v="1"/>
    <d v="2025-10-14T00:00:00"/>
    <d v="2026-02-08T00:00:00"/>
    <x v="2"/>
    <s v="a6Jat5296735"/>
    <x v="5"/>
    <s v="May; Jun"/>
    <s v="Late media plan changes from client."/>
    <n v="117"/>
    <x v="0"/>
    <x v="5"/>
    <x v="1"/>
    <x v="0"/>
  </r>
  <r>
    <x v="0"/>
    <s v="Retail Media Expansion 2026"/>
    <s v="Billing Request- 00103892"/>
    <x v="7"/>
    <d v="2026-01-30T00:00:00"/>
    <d v="2026-03-24T00:00:00"/>
    <x v="2"/>
    <s v="a6JHn2750066"/>
    <x v="3"/>
    <s v="May"/>
    <s v=""/>
    <n v="53"/>
    <x v="1"/>
    <x v="7"/>
    <x v="3"/>
    <x v="1"/>
  </r>
  <r>
    <x v="0"/>
    <s v="Prime Sports NFL 2025"/>
    <s v="Billing Request- 00103894"/>
    <x v="2"/>
    <d v="2025-12-30T00:00:00"/>
    <d v="2026-03-08T00:00:00"/>
    <x v="2"/>
    <s v="a6JHn9684844"/>
    <x v="6"/>
    <s v="Aug"/>
    <s v=""/>
    <n v="68"/>
    <x v="0"/>
    <x v="11"/>
    <x v="3"/>
    <x v="0"/>
  </r>
  <r>
    <x v="0"/>
    <s v="NWSL Prime Video 2025"/>
    <s v="Billing Request- 00103895"/>
    <x v="6"/>
    <d v="2025-03-02T00:00:00"/>
    <d v="2025-03-25T00:00:00"/>
    <x v="2"/>
    <s v="a6Jat4296851"/>
    <x v="5"/>
    <s v="Oct"/>
    <s v=""/>
    <n v="23"/>
    <x v="3"/>
    <x v="13"/>
    <x v="1"/>
    <x v="0"/>
  </r>
  <r>
    <x v="0"/>
    <s v="Prime Sports NFL 2026"/>
    <s v="Billing Request- 00103897"/>
    <x v="1"/>
    <d v="2026-03-05T00:00:00"/>
    <d v="2026-04-14T00:00:00"/>
    <x v="0"/>
    <s v="a6JHn7834768"/>
    <x v="1"/>
    <s v="Sep"/>
    <s v="Incorrect legal terms delayed PTS."/>
    <n v="40"/>
    <x v="1"/>
    <x v="2"/>
    <x v="3"/>
    <x v="1"/>
  </r>
  <r>
    <x v="0"/>
    <s v="Global Consumer Products 2026"/>
    <s v="Billing Request- 00103899"/>
    <x v="1"/>
    <d v="2026-03-02T00:00:00"/>
    <d v="2026-05-07T00:00:00"/>
    <x v="1"/>
    <s v="a6JXt1137475"/>
    <x v="4"/>
    <s v="May; Jun"/>
    <s v="Finance validation process delay."/>
    <n v="66"/>
    <x v="0"/>
    <x v="2"/>
    <x v="3"/>
    <x v="1"/>
  </r>
  <r>
    <x v="4"/>
    <s v="NWSL Prime Video 2025"/>
    <s v="Billing Request- 00103902"/>
    <x v="3"/>
    <d v="2025-01-23T00:00:00"/>
    <d v="2025-05-14T00:00:00"/>
    <x v="2"/>
    <s v="a6JHn6465897"/>
    <x v="2"/>
    <s v="Oct"/>
    <s v="Client requested retroactive billing adjustments."/>
    <n v="111"/>
    <x v="0"/>
    <x v="0"/>
    <x v="1"/>
    <x v="0"/>
  </r>
  <r>
    <x v="0"/>
    <s v="Amazon TNF 2024 2025"/>
    <s v="Billing Request- 00103905"/>
    <x v="7"/>
    <d v="2025-01-14T00:00:00"/>
    <d v="2025-04-10T00:00:00"/>
    <x v="2"/>
    <s v="a6Jat6573051"/>
    <x v="0"/>
    <s v="Nov; Dec"/>
    <s v="Agency submitted updated invoice mapping."/>
    <n v="86"/>
    <x v="0"/>
    <x v="0"/>
    <x v="4"/>
    <x v="0"/>
  </r>
  <r>
    <x v="0"/>
    <s v="Streaming Bundle Initiative 2025"/>
    <s v="Billing Request- 00103906"/>
    <x v="4"/>
    <d v="2025-07-23T00:00:00"/>
    <d v="2025-11-11T00:00:00"/>
    <x v="0"/>
    <s v="a6JXt3593489"/>
    <x v="1"/>
    <s v="Jul"/>
    <s v="Client requested retroactive billing adjustments."/>
    <n v="111"/>
    <x v="0"/>
    <x v="12"/>
    <x v="3"/>
    <x v="0"/>
  </r>
  <r>
    <x v="3"/>
    <s v="Confluence Academy 2025"/>
    <s v="Billing Request- 00103907"/>
    <x v="5"/>
    <d v="2025-02-01T00:00:00"/>
    <d v="2025-05-22T00:00:00"/>
    <x v="2"/>
    <s v="a6JXt3853054"/>
    <x v="4"/>
    <s v="May; Jun"/>
    <s v="Missing supporting documentation from vendor."/>
    <n v="110"/>
    <x v="0"/>
    <x v="6"/>
    <x v="3"/>
    <x v="0"/>
  </r>
  <r>
    <x v="0"/>
    <s v="TNF Sponsorship 2026"/>
    <s v="Billing Request- 00103908"/>
    <x v="0"/>
    <d v="2026-04-11T00:00:00"/>
    <d v="2026-05-03T00:00:00"/>
    <x v="2"/>
    <s v="a6JXt2136852"/>
    <x v="5"/>
    <s v="Feb"/>
    <s v="Finance validation process delay."/>
    <n v="22"/>
    <x v="3"/>
    <x v="10"/>
    <x v="4"/>
    <x v="1"/>
  </r>
  <r>
    <x v="0"/>
    <s v="NASCAR Apex 2025 2025"/>
    <s v="Billing Request- 00103911"/>
    <x v="7"/>
    <d v="2025-05-18T00:00:00"/>
    <d v="2025-08-05T00:00:00"/>
    <x v="2"/>
    <s v="a6Jat4853743"/>
    <x v="3"/>
    <s v="Dec"/>
    <s v=""/>
    <n v="79"/>
    <x v="0"/>
    <x v="4"/>
    <x v="0"/>
    <x v="0"/>
  </r>
  <r>
    <x v="0"/>
    <s v="NBA Playoffs Campaign 2025"/>
    <s v="Billing Request- 00103912"/>
    <x v="0"/>
    <d v="2025-08-22T00:00:00"/>
    <d v="2025-12-09T00:00:00"/>
    <x v="0"/>
    <s v="a6JXt9651004"/>
    <x v="6"/>
    <s v="Mar; Apr"/>
    <s v="Incorrect legal terms delayed PTS."/>
    <n v="109"/>
    <x v="0"/>
    <x v="8"/>
    <x v="2"/>
    <x v="0"/>
  </r>
  <r>
    <x v="0"/>
    <s v="DirecTV NASCAR Campaign 2025"/>
    <s v="Billing Request- 00103913"/>
    <x v="0"/>
    <d v="2025-01-14T00:00:00"/>
    <d v="2025-02-28T00:00:00"/>
    <x v="2"/>
    <s v="a6JXt3509644"/>
    <x v="0"/>
    <s v="Mar"/>
    <s v="Late media plan changes from client."/>
    <n v="45"/>
    <x v="1"/>
    <x v="0"/>
    <x v="0"/>
    <x v="0"/>
  </r>
  <r>
    <x v="0"/>
    <s v="TNF Sponsorship 2025"/>
    <s v="Billing Request- 00103914"/>
    <x v="4"/>
    <d v="2025-11-04T00:00:00"/>
    <d v="2026-01-29T00:00:00"/>
    <x v="2"/>
    <s v="a6JHn3631108"/>
    <x v="4"/>
    <s v="May; Jun"/>
    <s v=""/>
    <n v="86"/>
    <x v="0"/>
    <x v="15"/>
    <x v="4"/>
    <x v="0"/>
  </r>
  <r>
    <x v="4"/>
    <s v="NASCAR Apex 2025 2025"/>
    <s v="Billing Request- 00103915"/>
    <x v="3"/>
    <d v="2025-12-20T00:00:00"/>
    <d v="2026-01-02T00:00:00"/>
    <x v="1"/>
    <s v="a6Jat2191736"/>
    <x v="5"/>
    <s v="Apr"/>
    <s v="Finance validation process delay."/>
    <n v="13"/>
    <x v="4"/>
    <x v="11"/>
    <x v="0"/>
    <x v="0"/>
  </r>
  <r>
    <x v="0"/>
    <s v="DirecTV NASCAR Campaign 2025"/>
    <s v="Billing Request- 00103916"/>
    <x v="4"/>
    <d v="2025-09-20T00:00:00"/>
    <d v="2025-10-26T00:00:00"/>
    <x v="0"/>
    <s v="a6JHn5319521"/>
    <x v="1"/>
    <s v="Feb"/>
    <s v="Agency submitted updated invoice mapping."/>
    <n v="36"/>
    <x v="1"/>
    <x v="14"/>
    <x v="0"/>
    <x v="0"/>
  </r>
  <r>
    <x v="0"/>
    <s v="Streaming Bundle Initiative 2025"/>
    <s v="Billing Request- 00103917"/>
    <x v="5"/>
    <d v="2025-10-10T00:00:00"/>
    <d v="2026-02-04T00:00:00"/>
    <x v="2"/>
    <s v="a6Jat9275354"/>
    <x v="6"/>
    <s v="Feb"/>
    <s v=""/>
    <n v="117"/>
    <x v="0"/>
    <x v="5"/>
    <x v="3"/>
    <x v="0"/>
  </r>
  <r>
    <x v="0"/>
    <s v="NWSL Halftime Sponsorship 2025"/>
    <s v="Billing Request- 00103918"/>
    <x v="6"/>
    <d v="2025-01-12T00:00:00"/>
    <d v="2025-02-27T00:00:00"/>
    <x v="0"/>
    <s v="a6JHn4528607"/>
    <x v="0"/>
    <s v="Nov"/>
    <s v="Agency submitted updated invoice mapping."/>
    <n v="46"/>
    <x v="1"/>
    <x v="0"/>
    <x v="1"/>
    <x v="0"/>
  </r>
  <r>
    <x v="1"/>
    <s v="NASCAR Apex 2025 2025"/>
    <s v="Billing Request- 00103919"/>
    <x v="3"/>
    <d v="2025-11-12T00:00:00"/>
    <d v="2025-11-29T00:00:00"/>
    <x v="0"/>
    <s v="a6JHn8074418"/>
    <x v="6"/>
    <s v="Nov; Dec"/>
    <s v="Late media plan changes from client."/>
    <n v="17"/>
    <x v="3"/>
    <x v="15"/>
    <x v="0"/>
    <x v="0"/>
  </r>
  <r>
    <x v="0"/>
    <s v="Amazon TNF 2024 2025"/>
    <s v="Billing Request- 00103920"/>
    <x v="5"/>
    <d v="2025-11-04T00:00:00"/>
    <d v="2026-02-06T00:00:00"/>
    <x v="0"/>
    <s v="a6JXt2865954"/>
    <x v="1"/>
    <s v="Jul"/>
    <s v="Missing supporting documentation from vendor."/>
    <n v="94"/>
    <x v="0"/>
    <x v="15"/>
    <x v="4"/>
    <x v="0"/>
  </r>
  <r>
    <x v="0"/>
    <s v="DirecTV NASCAR Campaign 2026"/>
    <s v="Billing Request- 00103921"/>
    <x v="4"/>
    <d v="2026-03-11T00:00:00"/>
    <d v="2026-05-08T00:00:00"/>
    <x v="0"/>
    <s v="a6JHn1623620"/>
    <x v="4"/>
    <s v="Dec"/>
    <s v="Incorrect legal terms delayed PTS."/>
    <n v="58"/>
    <x v="1"/>
    <x v="2"/>
    <x v="0"/>
    <x v="1"/>
  </r>
  <r>
    <x v="0"/>
    <s v="NWSL Halftime Sponsorship 2025"/>
    <s v="Billing Request- 00103922"/>
    <x v="0"/>
    <d v="2025-01-21T00:00:00"/>
    <d v="2025-03-13T00:00:00"/>
    <x v="2"/>
    <s v="a6JHn1849218"/>
    <x v="3"/>
    <s v="Jul; Aug"/>
    <s v="Finance validation process delay."/>
    <n v="51"/>
    <x v="1"/>
    <x v="0"/>
    <x v="1"/>
    <x v="0"/>
  </r>
  <r>
    <x v="0"/>
    <s v="NWSL Prime Video 2026"/>
    <s v="Billing Request- 00103923"/>
    <x v="7"/>
    <d v="2026-03-15T00:00:00"/>
    <d v="2026-05-06T00:00:00"/>
    <x v="2"/>
    <s v="a6Jat9915844"/>
    <x v="3"/>
    <s v="May; Jun"/>
    <s v="Agency submitted updated invoice mapping."/>
    <n v="52"/>
    <x v="1"/>
    <x v="2"/>
    <x v="1"/>
    <x v="1"/>
  </r>
  <r>
    <x v="4"/>
    <s v="Confluence Academy 2025"/>
    <s v="Billing Request- 00103924"/>
    <x v="7"/>
    <d v="2025-11-05T00:00:00"/>
    <d v="2025-11-09T00:00:00"/>
    <x v="0"/>
    <s v="a6Jat8005648"/>
    <x v="3"/>
    <s v="May; Jun"/>
    <s v="Late media plan changes from client."/>
    <n v="4"/>
    <x v="2"/>
    <x v="15"/>
    <x v="3"/>
    <x v="0"/>
  </r>
  <r>
    <x v="4"/>
    <s v="Confluence Academy 2025"/>
    <s v="Billing Request- 00103925"/>
    <x v="5"/>
    <d v="2025-12-12T00:00:00"/>
    <d v="2025-12-23T00:00:00"/>
    <x v="0"/>
    <s v="a6Jat1764371"/>
    <x v="4"/>
    <s v="Jul"/>
    <s v="Client requested retroactive billing adjustments."/>
    <n v="11"/>
    <x v="4"/>
    <x v="11"/>
    <x v="3"/>
    <x v="0"/>
  </r>
  <r>
    <x v="0"/>
    <s v="NASCAR Apex 2025 2025"/>
    <s v="Billing Request- 00103926"/>
    <x v="3"/>
    <d v="2025-10-16T00:00:00"/>
    <d v="2025-12-17T00:00:00"/>
    <x v="1"/>
    <s v="a6JHn4141275"/>
    <x v="1"/>
    <s v="Jul; Aug"/>
    <s v="Missing supporting documentation from vendor."/>
    <n v="62"/>
    <x v="0"/>
    <x v="5"/>
    <x v="0"/>
    <x v="0"/>
  </r>
  <r>
    <x v="0"/>
    <s v="NASCAR Apex 2025 2025"/>
    <s v="Billing Request- 00103927"/>
    <x v="9"/>
    <d v="2025-08-19T00:00:00"/>
    <d v="2025-10-05T00:00:00"/>
    <x v="2"/>
    <s v="a6JXt6432017"/>
    <x v="5"/>
    <s v="Dec"/>
    <s v="Client requested retroactive billing adjustments."/>
    <n v="47"/>
    <x v="1"/>
    <x v="8"/>
    <x v="0"/>
    <x v="0"/>
  </r>
  <r>
    <x v="1"/>
    <s v="NWSL Prime Video 2025"/>
    <s v="Billing Request- 00103928"/>
    <x v="9"/>
    <d v="2025-08-07T00:00:00"/>
    <d v="2025-11-13T00:00:00"/>
    <x v="2"/>
    <s v="a6JXt3815280"/>
    <x v="3"/>
    <s v="Sep; Oct"/>
    <s v="Finance validation process delay."/>
    <n v="98"/>
    <x v="0"/>
    <x v="8"/>
    <x v="1"/>
    <x v="0"/>
  </r>
  <r>
    <x v="0"/>
    <s v="TNF Sponsorship 2026"/>
    <s v="Billing Request- 00103931"/>
    <x v="4"/>
    <d v="2026-03-21T00:00:00"/>
    <d v="2026-05-08T00:00:00"/>
    <x v="2"/>
    <s v="a6Jat9093035"/>
    <x v="0"/>
    <s v="Nov"/>
    <s v="Incorrect legal terms delayed PTS."/>
    <n v="48"/>
    <x v="1"/>
    <x v="2"/>
    <x v="4"/>
    <x v="1"/>
  </r>
  <r>
    <x v="0"/>
    <s v="NWSL Halftime Sponsorship 2026"/>
    <s v="Billing Request- 00103932"/>
    <x v="6"/>
    <d v="2026-01-27T00:00:00"/>
    <d v="2026-04-13T00:00:00"/>
    <x v="0"/>
    <s v="a6JHn6842763"/>
    <x v="5"/>
    <s v="Sep"/>
    <s v="Agency submitted updated invoice mapping."/>
    <n v="76"/>
    <x v="0"/>
    <x v="7"/>
    <x v="1"/>
    <x v="1"/>
  </r>
  <r>
    <x v="0"/>
    <s v="Amazon TNF 2024 2025"/>
    <s v="Billing Request- 00103934"/>
    <x v="2"/>
    <d v="2025-02-11T00:00:00"/>
    <d v="2025-04-19T00:00:00"/>
    <x v="2"/>
    <s v="a6JXt8730667"/>
    <x v="1"/>
    <s v="Jul"/>
    <s v="Missing supporting documentation from vendor."/>
    <n v="67"/>
    <x v="0"/>
    <x v="6"/>
    <x v="4"/>
    <x v="0"/>
  </r>
  <r>
    <x v="0"/>
    <s v="NASCAR Apex 2025 2025"/>
    <s v="Billing Request- 00103936"/>
    <x v="8"/>
    <d v="2025-10-21T00:00:00"/>
    <d v="2026-01-28T00:00:00"/>
    <x v="2"/>
    <s v="a6JXt6129911"/>
    <x v="0"/>
    <s v="Sep; Oct"/>
    <s v=""/>
    <n v="99"/>
    <x v="0"/>
    <x v="5"/>
    <x v="0"/>
    <x v="0"/>
  </r>
  <r>
    <x v="0"/>
    <s v="Prime Sports NFL 2025"/>
    <s v="Billing Request- 00103937"/>
    <x v="8"/>
    <d v="2025-09-16T00:00:00"/>
    <d v="2025-11-09T00:00:00"/>
    <x v="2"/>
    <s v="a6JXt9061690"/>
    <x v="0"/>
    <s v="Oct"/>
    <s v="Invoice details mismatch with approved campaign."/>
    <n v="54"/>
    <x v="1"/>
    <x v="14"/>
    <x v="3"/>
    <x v="0"/>
  </r>
  <r>
    <x v="0"/>
    <s v="NASCAR P&amp;Q 2025"/>
    <s v="Billing Request- 00103938"/>
    <x v="5"/>
    <d v="2025-01-29T00:00:00"/>
    <d v="2025-04-09T00:00:00"/>
    <x v="2"/>
    <s v="a6JXt6336281"/>
    <x v="2"/>
    <s v="Mar"/>
    <s v="Finance validation process delay."/>
    <n v="70"/>
    <x v="0"/>
    <x v="0"/>
    <x v="0"/>
    <x v="0"/>
  </r>
  <r>
    <x v="0"/>
    <s v="TNF Sponsorship 2026"/>
    <s v="Billing Request- 00103939"/>
    <x v="6"/>
    <d v="2026-01-10T00:00:00"/>
    <d v="2026-04-02T00:00:00"/>
    <x v="2"/>
    <s v="a6JHn1332821"/>
    <x v="3"/>
    <s v="Jul; Aug"/>
    <s v="Late media plan changes from client."/>
    <n v="82"/>
    <x v="0"/>
    <x v="7"/>
    <x v="4"/>
    <x v="1"/>
  </r>
  <r>
    <x v="0"/>
    <s v="Amazon NBA Live Sports 2025"/>
    <s v="Billing Request- 00103941"/>
    <x v="7"/>
    <d v="2025-02-18T00:00:00"/>
    <d v="2025-05-11T00:00:00"/>
    <x v="2"/>
    <s v="a6JHn9697797"/>
    <x v="0"/>
    <s v="Jul"/>
    <s v="Incorrect legal terms delayed PTS."/>
    <n v="82"/>
    <x v="0"/>
    <x v="6"/>
    <x v="2"/>
    <x v="0"/>
  </r>
  <r>
    <x v="0"/>
    <s v="Global Consumer Products 2026"/>
    <s v="Billing Request- 00103942"/>
    <x v="6"/>
    <d v="2026-03-03T00:00:00"/>
    <d v="2026-04-17T00:00:00"/>
    <x v="0"/>
    <s v="a6JXt5389949"/>
    <x v="5"/>
    <s v="Jun"/>
    <s v="Manual billing entry issue."/>
    <n v="45"/>
    <x v="1"/>
    <x v="2"/>
    <x v="3"/>
    <x v="1"/>
  </r>
  <r>
    <x v="3"/>
    <s v="NASCAR P&amp;Q 2026"/>
    <s v="Billing Request- 00103944"/>
    <x v="9"/>
    <d v="2026-04-30T00:00:00"/>
    <d v="2026-05-08T00:00:00"/>
    <x v="2"/>
    <s v="a6Jat9628927"/>
    <x v="4"/>
    <s v="May"/>
    <s v="Finance validation process delay."/>
    <n v="8"/>
    <x v="4"/>
    <x v="10"/>
    <x v="0"/>
    <x v="1"/>
  </r>
  <r>
    <x v="0"/>
    <s v="Prime Sports NFL 2025"/>
    <s v="Billing Request- 00103945"/>
    <x v="3"/>
    <d v="2025-03-20T00:00:00"/>
    <d v="2025-04-16T00:00:00"/>
    <x v="0"/>
    <s v="a6Jat3176194"/>
    <x v="2"/>
    <s v="Mar"/>
    <s v="Client requested retroactive billing adjustments."/>
    <n v="27"/>
    <x v="3"/>
    <x v="13"/>
    <x v="3"/>
    <x v="0"/>
  </r>
  <r>
    <x v="0"/>
    <s v="NWSL Prime Video 2026"/>
    <s v="Billing Request- 00103946"/>
    <x v="2"/>
    <d v="2026-01-01T00:00:00"/>
    <d v="2026-04-11T00:00:00"/>
    <x v="2"/>
    <s v="a6Jat4483414"/>
    <x v="2"/>
    <s v="Mar; Apr"/>
    <s v="Client requested retroactive billing adjustments."/>
    <n v="100"/>
    <x v="0"/>
    <x v="7"/>
    <x v="1"/>
    <x v="1"/>
  </r>
  <r>
    <x v="0"/>
    <s v="NBA League Pass 2025"/>
    <s v="Billing Request- 00103952"/>
    <x v="3"/>
    <d v="2025-11-21T00:00:00"/>
    <d v="2025-12-13T00:00:00"/>
    <x v="2"/>
    <s v="a6JHn8026800"/>
    <x v="1"/>
    <s v="Aug"/>
    <s v="Manual billing entry issue."/>
    <n v="22"/>
    <x v="3"/>
    <x v="15"/>
    <x v="2"/>
    <x v="0"/>
  </r>
  <r>
    <x v="0"/>
    <s v="NBA League Pass 2025"/>
    <s v="Billing Request- 00103953"/>
    <x v="7"/>
    <d v="2025-07-03T00:00:00"/>
    <d v="2025-08-24T00:00:00"/>
    <x v="2"/>
    <s v="a6Jat5372731"/>
    <x v="5"/>
    <s v="May; Jun"/>
    <s v="Late media plan changes from client."/>
    <n v="52"/>
    <x v="1"/>
    <x v="12"/>
    <x v="2"/>
    <x v="0"/>
  </r>
  <r>
    <x v="0"/>
    <s v="Confluence Academy 2025"/>
    <s v="Billing Request- 00103954"/>
    <x v="7"/>
    <d v="2025-07-19T00:00:00"/>
    <d v="2025-10-02T00:00:00"/>
    <x v="2"/>
    <s v="a6JHn9192836"/>
    <x v="1"/>
    <s v="Jul"/>
    <s v=""/>
    <n v="75"/>
    <x v="0"/>
    <x v="12"/>
    <x v="3"/>
    <x v="0"/>
  </r>
  <r>
    <x v="4"/>
    <s v="Prime Sports NFL 2026"/>
    <s v="Billing Request- 00103956"/>
    <x v="6"/>
    <d v="2026-04-05T00:00:00"/>
    <d v="2026-04-09T00:00:00"/>
    <x v="2"/>
    <s v="a6JHn7571272"/>
    <x v="1"/>
    <s v="Nov"/>
    <s v=""/>
    <n v="4"/>
    <x v="2"/>
    <x v="10"/>
    <x v="3"/>
    <x v="1"/>
  </r>
  <r>
    <x v="0"/>
    <s v="Prime Sports NFL 2025"/>
    <s v="Billing Request- 00103957"/>
    <x v="5"/>
    <d v="2025-11-10T00:00:00"/>
    <d v="2026-01-31T00:00:00"/>
    <x v="1"/>
    <s v="a6JXt9335542"/>
    <x v="4"/>
    <s v="Jul"/>
    <s v="Agency submitted updated invoice mapping."/>
    <n v="82"/>
    <x v="0"/>
    <x v="15"/>
    <x v="3"/>
    <x v="0"/>
  </r>
  <r>
    <x v="0"/>
    <s v="Amazon NBA Live Sports 2026"/>
    <s v="Billing Request- 00103959"/>
    <x v="2"/>
    <d v="2026-01-26T00:00:00"/>
    <d v="2026-05-01T00:00:00"/>
    <x v="2"/>
    <s v="a6Jat2525228"/>
    <x v="2"/>
    <s v="May"/>
    <s v="Client requested retroactive billing adjustments."/>
    <n v="95"/>
    <x v="0"/>
    <x v="7"/>
    <x v="2"/>
    <x v="1"/>
  </r>
  <r>
    <x v="0"/>
    <s v="NWSL Halftime Sponsorship 2026"/>
    <s v="Billing Request- 00103960"/>
    <x v="1"/>
    <d v="2026-02-09T00:00:00"/>
    <d v="2026-04-21T00:00:00"/>
    <x v="2"/>
    <s v="a6Jat7898079"/>
    <x v="3"/>
    <s v="Jan"/>
    <s v="Agency submitted updated invoice mapping."/>
    <n v="71"/>
    <x v="0"/>
    <x v="1"/>
    <x v="1"/>
    <x v="1"/>
  </r>
  <r>
    <x v="0"/>
    <s v="NBA Playoffs Campaign 2025"/>
    <s v="Billing Request- 00103961"/>
    <x v="7"/>
    <d v="2025-06-18T00:00:00"/>
    <d v="2025-07-27T00:00:00"/>
    <x v="2"/>
    <s v="a6Jat5819150"/>
    <x v="6"/>
    <s v="May"/>
    <s v="Manual billing entry issue."/>
    <n v="39"/>
    <x v="1"/>
    <x v="9"/>
    <x v="2"/>
    <x v="0"/>
  </r>
  <r>
    <x v="0"/>
    <s v="Amazon TNF 2024 2025"/>
    <s v="Billing Request- 00103962"/>
    <x v="3"/>
    <d v="2025-12-26T00:00:00"/>
    <d v="2026-01-03T00:00:00"/>
    <x v="2"/>
    <s v="a6JXt3873929"/>
    <x v="2"/>
    <s v="Jun"/>
    <s v="Late media plan changes from client."/>
    <n v="8"/>
    <x v="4"/>
    <x v="11"/>
    <x v="4"/>
    <x v="0"/>
  </r>
  <r>
    <x v="0"/>
    <s v="Streaming Bundle Initiative 2025"/>
    <s v="Billing Request- 00103963"/>
    <x v="7"/>
    <d v="2025-06-20T00:00:00"/>
    <d v="2025-06-28T00:00:00"/>
    <x v="0"/>
    <s v="a6Jat6631282"/>
    <x v="1"/>
    <s v="Jun"/>
    <s v="Invoice details mismatch with approved campaign."/>
    <n v="8"/>
    <x v="4"/>
    <x v="9"/>
    <x v="3"/>
    <x v="0"/>
  </r>
  <r>
    <x v="0"/>
    <s v="NWSL Prime Video 2026"/>
    <s v="Billing Request- 00103964"/>
    <x v="2"/>
    <d v="2026-01-30T00:00:00"/>
    <d v="2026-04-22T00:00:00"/>
    <x v="2"/>
    <s v="a6JXt9714850"/>
    <x v="0"/>
    <s v="Jul; Aug"/>
    <s v="Missing supporting documentation from vendor."/>
    <n v="82"/>
    <x v="0"/>
    <x v="7"/>
    <x v="1"/>
    <x v="1"/>
  </r>
  <r>
    <x v="0"/>
    <s v="Amazon NBA Live Sports 2026"/>
    <s v="Billing Request- 00103967"/>
    <x v="5"/>
    <d v="2026-03-27T00:00:00"/>
    <d v="2026-05-06T00:00:00"/>
    <x v="0"/>
    <s v="a6Jat8202822"/>
    <x v="5"/>
    <s v="May"/>
    <s v="Late media plan changes from client."/>
    <n v="40"/>
    <x v="1"/>
    <x v="2"/>
    <x v="2"/>
    <x v="1"/>
  </r>
  <r>
    <x v="0"/>
    <s v="Streaming Bundle Initiative 2025"/>
    <s v="Billing Request- 00103968"/>
    <x v="2"/>
    <d v="2025-11-03T00:00:00"/>
    <d v="2026-01-28T00:00:00"/>
    <x v="0"/>
    <s v="a6Jat4058567"/>
    <x v="4"/>
    <s v="Sep; Oct"/>
    <s v="Agency submitted updated invoice mapping."/>
    <n v="86"/>
    <x v="0"/>
    <x v="15"/>
    <x v="3"/>
    <x v="0"/>
  </r>
  <r>
    <x v="0"/>
    <s v="NBA Playoffs Campaign 2025"/>
    <s v="Billing Request- 00103970"/>
    <x v="8"/>
    <d v="2025-06-16T00:00:00"/>
    <d v="2025-07-09T00:00:00"/>
    <x v="1"/>
    <s v="a6JHn3425111"/>
    <x v="2"/>
    <s v="Jan"/>
    <s v="Late media plan changes from client."/>
    <n v="23"/>
    <x v="3"/>
    <x v="9"/>
    <x v="2"/>
    <x v="0"/>
  </r>
  <r>
    <x v="0"/>
    <s v="TNF Sponsorship 2026"/>
    <s v="Billing Request- 00103971"/>
    <x v="5"/>
    <d v="2026-01-11T00:00:00"/>
    <d v="2026-05-04T00:00:00"/>
    <x v="2"/>
    <s v="a6JHn3691106"/>
    <x v="5"/>
    <s v="May"/>
    <s v="Late media plan changes from client."/>
    <n v="113"/>
    <x v="0"/>
    <x v="7"/>
    <x v="4"/>
    <x v="1"/>
  </r>
  <r>
    <x v="0"/>
    <s v="NFL Prime Video 2026"/>
    <s v="Billing Request- 00103972"/>
    <x v="4"/>
    <d v="2026-04-10T00:00:00"/>
    <d v="2026-05-04T00:00:00"/>
    <x v="2"/>
    <s v="a6JXt6846066"/>
    <x v="3"/>
    <s v="Mar; Apr"/>
    <s v="Agency submitted updated invoice mapping."/>
    <n v="24"/>
    <x v="3"/>
    <x v="10"/>
    <x v="3"/>
    <x v="1"/>
  </r>
  <r>
    <x v="0"/>
    <s v="NBA Playoffs Campaign 2025"/>
    <s v="Billing Request- 00103973"/>
    <x v="7"/>
    <d v="2025-11-11T00:00:00"/>
    <d v="2026-02-08T00:00:00"/>
    <x v="2"/>
    <s v="a6Jat6912536"/>
    <x v="1"/>
    <s v="Nov"/>
    <s v=""/>
    <n v="89"/>
    <x v="0"/>
    <x v="15"/>
    <x v="2"/>
    <x v="0"/>
  </r>
  <r>
    <x v="0"/>
    <s v="Streaming Bundle Initiative 2026"/>
    <s v="Billing Request- 00103974"/>
    <x v="0"/>
    <d v="2026-03-01T00:00:00"/>
    <d v="2026-03-28T00:00:00"/>
    <x v="1"/>
    <s v="a6JHn2336917"/>
    <x v="6"/>
    <s v="Nov"/>
    <s v="Manual billing entry issue."/>
    <n v="27"/>
    <x v="3"/>
    <x v="2"/>
    <x v="3"/>
    <x v="1"/>
  </r>
  <r>
    <x v="0"/>
    <s v="Streaming Bundle Initiative 2026"/>
    <s v="Billing Request- 00103975"/>
    <x v="6"/>
    <d v="2026-03-10T00:00:00"/>
    <d v="2026-04-23T00:00:00"/>
    <x v="2"/>
    <s v="a6JXt4106561"/>
    <x v="1"/>
    <s v="Jul; Aug"/>
    <s v="Agency submitted updated invoice mapping."/>
    <n v="44"/>
    <x v="1"/>
    <x v="2"/>
    <x v="3"/>
    <x v="1"/>
  </r>
  <r>
    <x v="0"/>
    <s v="NASCAR Apex 2025 2026"/>
    <s v="Billing Request- 00103977"/>
    <x v="2"/>
    <d v="2026-04-11T00:00:00"/>
    <d v="2026-05-06T00:00:00"/>
    <x v="0"/>
    <s v="a6Jat2643732"/>
    <x v="5"/>
    <s v="Aug"/>
    <s v="Invoice details mismatch with approved campaign."/>
    <n v="25"/>
    <x v="3"/>
    <x v="10"/>
    <x v="0"/>
    <x v="1"/>
  </r>
  <r>
    <x v="0"/>
    <s v="Prime Sports NFL 2026"/>
    <s v="Billing Request- 00103978"/>
    <x v="4"/>
    <d v="2026-04-08T00:00:00"/>
    <d v="2026-05-07T00:00:00"/>
    <x v="0"/>
    <s v="a6Jat8685214"/>
    <x v="2"/>
    <s v="Jun"/>
    <s v="Invoice details mismatch with approved campaign."/>
    <n v="29"/>
    <x v="3"/>
    <x v="10"/>
    <x v="3"/>
    <x v="1"/>
  </r>
  <r>
    <x v="0"/>
    <s v="DirecTV NASCAR Campaign 2026"/>
    <s v="Billing Request- 00103979"/>
    <x v="6"/>
    <d v="2026-04-05T00:00:00"/>
    <d v="2026-05-04T00:00:00"/>
    <x v="2"/>
    <s v="a6JXt2041864"/>
    <x v="3"/>
    <s v="Mar; Apr"/>
    <s v="Agency submitted updated invoice mapping."/>
    <n v="29"/>
    <x v="3"/>
    <x v="10"/>
    <x v="0"/>
    <x v="1"/>
  </r>
  <r>
    <x v="0"/>
    <s v="NWSL Prime Video 2025"/>
    <s v="Billing Request- 00103980"/>
    <x v="0"/>
    <d v="2025-02-06T00:00:00"/>
    <d v="2025-02-25T00:00:00"/>
    <x v="0"/>
    <s v="a6JXt1439063"/>
    <x v="1"/>
    <s v="Sep"/>
    <s v="Client requested retroactive billing adjustments."/>
    <n v="19"/>
    <x v="3"/>
    <x v="6"/>
    <x v="1"/>
    <x v="0"/>
  </r>
  <r>
    <x v="0"/>
    <s v="NASCAR Apex 2025 2025"/>
    <s v="Billing Request- 00103981"/>
    <x v="2"/>
    <d v="2025-10-19T00:00:00"/>
    <d v="2025-12-10T00:00:00"/>
    <x v="2"/>
    <s v="a6JHn3860940"/>
    <x v="1"/>
    <s v="Nov"/>
    <s v="Manual billing entry issue."/>
    <n v="52"/>
    <x v="1"/>
    <x v="5"/>
    <x v="0"/>
    <x v="0"/>
  </r>
  <r>
    <x v="0"/>
    <s v="NWSL Prime Video 2026"/>
    <s v="Billing Request- 00103982"/>
    <x v="9"/>
    <d v="2026-02-09T00:00:00"/>
    <d v="2026-02-13T00:00:00"/>
    <x v="0"/>
    <s v="a6Jat3352708"/>
    <x v="2"/>
    <s v="Mar"/>
    <s v="Late media plan changes from client."/>
    <n v="4"/>
    <x v="2"/>
    <x v="1"/>
    <x v="1"/>
    <x v="1"/>
  </r>
  <r>
    <x v="0"/>
    <s v="Amazon NBA Live Sports 2026"/>
    <s v="Billing Request- 00103983"/>
    <x v="7"/>
    <d v="2026-03-18T00:00:00"/>
    <d v="2026-05-09T00:00:00"/>
    <x v="2"/>
    <s v="a6JXt5470985"/>
    <x v="1"/>
    <s v="Apr"/>
    <s v="Client requested retroactive billing adjustments."/>
    <n v="52"/>
    <x v="1"/>
    <x v="2"/>
    <x v="2"/>
    <x v="1"/>
  </r>
  <r>
    <x v="0"/>
    <s v="NWSL Halftime Sponsorship 2025"/>
    <s v="Billing Request- 00103984"/>
    <x v="7"/>
    <d v="2025-06-21T00:00:00"/>
    <d v="2025-09-16T00:00:00"/>
    <x v="2"/>
    <s v="a6JXt7126308"/>
    <x v="2"/>
    <s v="Mar"/>
    <s v="Agency submitted updated invoice mapping."/>
    <n v="87"/>
    <x v="0"/>
    <x v="9"/>
    <x v="1"/>
    <x v="0"/>
  </r>
  <r>
    <x v="1"/>
    <s v="NBA League Pass 2025"/>
    <s v="Billing Request- 00103987"/>
    <x v="6"/>
    <d v="2025-01-19T00:00:00"/>
    <d v="2025-02-02T00:00:00"/>
    <x v="1"/>
    <s v="a6JXt1155497"/>
    <x v="0"/>
    <s v="Oct"/>
    <s v="Agency submitted updated invoice mapping."/>
    <n v="14"/>
    <x v="4"/>
    <x v="0"/>
    <x v="2"/>
    <x v="0"/>
  </r>
  <r>
    <x v="3"/>
    <s v="TNF Sponsorship 2025"/>
    <s v="Billing Request- 00103989"/>
    <x v="0"/>
    <d v="2025-12-24T00:00:00"/>
    <d v="2026-01-18T00:00:00"/>
    <x v="2"/>
    <s v="a6Jat5751798"/>
    <x v="5"/>
    <s v="Jul"/>
    <s v="Client requested retroactive billing adjustments."/>
    <n v="25"/>
    <x v="3"/>
    <x v="11"/>
    <x v="4"/>
    <x v="0"/>
  </r>
  <r>
    <x v="0"/>
    <s v="TNF Sponsorship 2025"/>
    <s v="Billing Request- 00103990"/>
    <x v="2"/>
    <d v="2025-08-01T00:00:00"/>
    <d v="2025-09-08T00:00:00"/>
    <x v="2"/>
    <s v="a6JHn1672781"/>
    <x v="2"/>
    <s v="Jul"/>
    <s v="Incorrect legal terms delayed PTS."/>
    <n v="38"/>
    <x v="1"/>
    <x v="8"/>
    <x v="4"/>
    <x v="0"/>
  </r>
  <r>
    <x v="0"/>
    <s v="DirecTV NASCAR Campaign 2025"/>
    <s v="Billing Request- 00103992"/>
    <x v="6"/>
    <d v="2025-08-09T00:00:00"/>
    <d v="2025-10-05T00:00:00"/>
    <x v="2"/>
    <s v="a6JXt4824268"/>
    <x v="6"/>
    <s v="Nov"/>
    <s v="Missing supporting documentation from vendor."/>
    <n v="57"/>
    <x v="1"/>
    <x v="8"/>
    <x v="0"/>
    <x v="0"/>
  </r>
  <r>
    <x v="0"/>
    <s v="Amazon TNF 2024 2025"/>
    <s v="Billing Request- 00103994"/>
    <x v="1"/>
    <d v="2025-02-23T00:00:00"/>
    <d v="2025-04-07T00:00:00"/>
    <x v="0"/>
    <s v="a6Jat8900098"/>
    <x v="3"/>
    <s v="Jul"/>
    <s v="Invoice details mismatch with approved campaign."/>
    <n v="43"/>
    <x v="1"/>
    <x v="6"/>
    <x v="4"/>
    <x v="0"/>
  </r>
  <r>
    <x v="0"/>
    <s v="Prime Sports NFL 2025"/>
    <s v="Billing Request- 00103995"/>
    <x v="2"/>
    <d v="2025-05-15T00:00:00"/>
    <d v="2025-05-30T00:00:00"/>
    <x v="0"/>
    <s v="a6JHn1174777"/>
    <x v="2"/>
    <s v="Jul; Aug"/>
    <s v="Agency submitted updated invoice mapping."/>
    <n v="15"/>
    <x v="3"/>
    <x v="4"/>
    <x v="3"/>
    <x v="0"/>
  </r>
  <r>
    <x v="0"/>
    <s v="Amazon TNF 2024 2026"/>
    <s v="Billing Request- 00103996"/>
    <x v="5"/>
    <d v="2026-03-31T00:00:00"/>
    <d v="2026-04-28T00:00:00"/>
    <x v="2"/>
    <s v="a6Jat4135537"/>
    <x v="6"/>
    <s v="May; Jun"/>
    <s v="Agency submitted updated invoice mapping."/>
    <n v="28"/>
    <x v="3"/>
    <x v="2"/>
    <x v="4"/>
    <x v="1"/>
  </r>
  <r>
    <x v="4"/>
    <s v="NASCAR Apex 2025 2025"/>
    <s v="Billing Request- 00103997"/>
    <x v="3"/>
    <d v="2025-01-17T00:00:00"/>
    <d v="2025-03-28T00:00:00"/>
    <x v="0"/>
    <s v="a6JHn1335558"/>
    <x v="5"/>
    <s v="Mar; Apr"/>
    <s v="Client requested retroactive billing adjustments."/>
    <n v="70"/>
    <x v="0"/>
    <x v="0"/>
    <x v="0"/>
    <x v="0"/>
  </r>
  <r>
    <x v="0"/>
    <s v="Retail Media Expansion 2025"/>
    <s v="Billing Request- 00103998"/>
    <x v="4"/>
    <d v="2025-08-08T00:00:00"/>
    <d v="2025-11-03T00:00:00"/>
    <x v="1"/>
    <s v="a6Jat7836874"/>
    <x v="6"/>
    <s v="Jan"/>
    <s v="Manual billing entry issue."/>
    <n v="87"/>
    <x v="0"/>
    <x v="8"/>
    <x v="3"/>
    <x v="0"/>
  </r>
  <r>
    <x v="0"/>
    <s v="NASCAR P&amp;Q 2026"/>
    <s v="Billing Request- 00103999"/>
    <x v="1"/>
    <d v="2026-01-26T00:00:00"/>
    <d v="2026-05-05T00:00:00"/>
    <x v="2"/>
    <s v="a6JXt9473649"/>
    <x v="4"/>
    <s v="May; Jun"/>
    <s v="Incorrect legal terms delayed PTS."/>
    <n v="99"/>
    <x v="0"/>
    <x v="7"/>
    <x v="0"/>
    <x v="1"/>
  </r>
  <r>
    <x v="4"/>
    <s v="Amazon NBA Live Sports 2026"/>
    <s v="Billing Request- 00104000"/>
    <x v="0"/>
    <d v="2026-02-04T00:00:00"/>
    <d v="2026-04-30T00:00:00"/>
    <x v="2"/>
    <s v="a6Jat6627597"/>
    <x v="1"/>
    <s v="Sep"/>
    <s v="Agency submitted updated invoice mapping."/>
    <n v="85"/>
    <x v="0"/>
    <x v="1"/>
    <x v="2"/>
    <x v="1"/>
  </r>
  <r>
    <x v="0"/>
    <s v="DirecTV NASCAR Campaign 2026"/>
    <s v="Billing Request- 00104001"/>
    <x v="2"/>
    <d v="2026-03-09T00:00:00"/>
    <d v="2026-05-08T00:00:00"/>
    <x v="2"/>
    <s v="a6JHn8153348"/>
    <x v="2"/>
    <s v="Jun"/>
    <s v="Finance validation process delay."/>
    <n v="60"/>
    <x v="1"/>
    <x v="2"/>
    <x v="0"/>
    <x v="1"/>
  </r>
  <r>
    <x v="0"/>
    <s v="Amazon NBA Live Sports 2026"/>
    <s v="Billing Request- 00104003"/>
    <x v="8"/>
    <d v="2026-02-13T00:00:00"/>
    <d v="2026-04-27T00:00:00"/>
    <x v="2"/>
    <s v="a6Jat8148217"/>
    <x v="0"/>
    <s v="Jul; Aug"/>
    <s v=""/>
    <n v="73"/>
    <x v="0"/>
    <x v="1"/>
    <x v="2"/>
    <x v="1"/>
  </r>
  <r>
    <x v="0"/>
    <s v="NBA Playoffs Campaign 2025"/>
    <s v="Billing Request- 00104005"/>
    <x v="0"/>
    <d v="2025-02-12T00:00:00"/>
    <d v="2025-05-15T00:00:00"/>
    <x v="2"/>
    <s v="a6JHn8623654"/>
    <x v="4"/>
    <s v="Feb"/>
    <s v=""/>
    <n v="92"/>
    <x v="0"/>
    <x v="6"/>
    <x v="2"/>
    <x v="0"/>
  </r>
  <r>
    <x v="0"/>
    <s v="NFL Prime Video 2025"/>
    <s v="Billing Request- 00104007"/>
    <x v="3"/>
    <d v="2025-06-16T00:00:00"/>
    <d v="2025-09-18T00:00:00"/>
    <x v="0"/>
    <s v="a6JHn1972168"/>
    <x v="1"/>
    <s v="Mar; Apr"/>
    <s v="Missing supporting documentation from vendor."/>
    <n v="94"/>
    <x v="0"/>
    <x v="9"/>
    <x v="3"/>
    <x v="0"/>
  </r>
  <r>
    <x v="0"/>
    <s v="Global Consumer Products 2026"/>
    <s v="Billing Request- 00104008"/>
    <x v="8"/>
    <d v="2026-01-23T00:00:00"/>
    <d v="2026-05-09T00:00:00"/>
    <x v="2"/>
    <s v="a6Jat4028779"/>
    <x v="0"/>
    <s v="Jul; Aug"/>
    <s v="Manual billing entry issue."/>
    <n v="106"/>
    <x v="0"/>
    <x v="7"/>
    <x v="3"/>
    <x v="1"/>
  </r>
  <r>
    <x v="0"/>
    <s v="Streaming Bundle Initiative 2026"/>
    <s v="Billing Request- 00104009"/>
    <x v="4"/>
    <d v="2026-01-06T00:00:00"/>
    <d v="2026-04-16T00:00:00"/>
    <x v="0"/>
    <s v="a6Jat6812234"/>
    <x v="0"/>
    <s v="Jan; Feb"/>
    <s v="Missing supporting documentation from vendor."/>
    <n v="100"/>
    <x v="0"/>
    <x v="7"/>
    <x v="3"/>
    <x v="1"/>
  </r>
  <r>
    <x v="0"/>
    <s v="TNF Sponsorship 2025"/>
    <s v="Billing Request- 00104010"/>
    <x v="6"/>
    <d v="2025-09-10T00:00:00"/>
    <d v="2025-11-04T00:00:00"/>
    <x v="2"/>
    <s v="a6Jat1619381"/>
    <x v="1"/>
    <s v="Feb"/>
    <s v="Client requested retroactive billing adjustments."/>
    <n v="55"/>
    <x v="1"/>
    <x v="14"/>
    <x v="4"/>
    <x v="0"/>
  </r>
  <r>
    <x v="0"/>
    <s v="Retail Media Expansion 2025"/>
    <s v="Billing Request- 00104011"/>
    <x v="4"/>
    <d v="2025-01-23T00:00:00"/>
    <d v="2025-03-18T00:00:00"/>
    <x v="0"/>
    <s v="a6JXt9472602"/>
    <x v="3"/>
    <s v="Dec"/>
    <s v="Missing supporting documentation from vendor."/>
    <n v="54"/>
    <x v="1"/>
    <x v="0"/>
    <x v="3"/>
    <x v="0"/>
  </r>
  <r>
    <x v="0"/>
    <s v="Global Consumer Products 2026"/>
    <s v="Billing Request- 00104012"/>
    <x v="9"/>
    <d v="2026-03-21T00:00:00"/>
    <d v="2026-05-09T00:00:00"/>
    <x v="0"/>
    <s v="a6JHn4543054"/>
    <x v="6"/>
    <s v="Jan; Feb"/>
    <s v="Client requested retroactive billing adjustments."/>
    <n v="49"/>
    <x v="1"/>
    <x v="2"/>
    <x v="3"/>
    <x v="1"/>
  </r>
  <r>
    <x v="0"/>
    <s v="Confluence Academy 2025"/>
    <s v="Billing Request- 00104013"/>
    <x v="1"/>
    <d v="2025-12-24T00:00:00"/>
    <d v="2026-01-17T00:00:00"/>
    <x v="2"/>
    <s v="a6Jat9468355"/>
    <x v="2"/>
    <s v="Oct"/>
    <s v=""/>
    <n v="24"/>
    <x v="3"/>
    <x v="11"/>
    <x v="3"/>
    <x v="0"/>
  </r>
  <r>
    <x v="1"/>
    <s v="NASCAR P&amp;Q 2026"/>
    <s v="Billing Request- 00104015"/>
    <x v="7"/>
    <d v="2026-04-22T00:00:00"/>
    <d v="2026-05-07T00:00:00"/>
    <x v="1"/>
    <s v="a6Jat5682128"/>
    <x v="1"/>
    <s v="Jul; Aug"/>
    <s v="Invoice details mismatch with approved campaign."/>
    <n v="15"/>
    <x v="3"/>
    <x v="10"/>
    <x v="0"/>
    <x v="1"/>
  </r>
  <r>
    <x v="4"/>
    <s v="TNF Sponsorship 2025"/>
    <s v="Billing Request- 00104016"/>
    <x v="5"/>
    <d v="2025-04-12T00:00:00"/>
    <d v="2025-07-16T00:00:00"/>
    <x v="2"/>
    <s v="a6JXt3219164"/>
    <x v="5"/>
    <s v="Nov"/>
    <s v="Client requested retroactive billing adjustments."/>
    <n v="95"/>
    <x v="0"/>
    <x v="3"/>
    <x v="4"/>
    <x v="0"/>
  </r>
  <r>
    <x v="0"/>
    <s v="Streaming Bundle Initiative 2025"/>
    <s v="Billing Request- 00104017"/>
    <x v="7"/>
    <d v="2025-05-07T00:00:00"/>
    <d v="2025-08-21T00:00:00"/>
    <x v="2"/>
    <s v="a6JXt1987974"/>
    <x v="0"/>
    <s v="Jul; Aug"/>
    <s v="Late media plan changes from client."/>
    <n v="106"/>
    <x v="0"/>
    <x v="4"/>
    <x v="3"/>
    <x v="0"/>
  </r>
  <r>
    <x v="0"/>
    <s v="NASCAR Apex 2025 2025"/>
    <s v="Billing Request- 00104018"/>
    <x v="1"/>
    <d v="2025-08-15T00:00:00"/>
    <d v="2025-12-02T00:00:00"/>
    <x v="2"/>
    <s v="a6Jat6452440"/>
    <x v="3"/>
    <s v="Aug"/>
    <s v="Late media plan changes from client."/>
    <n v="109"/>
    <x v="0"/>
    <x v="8"/>
    <x v="0"/>
    <x v="0"/>
  </r>
  <r>
    <x v="0"/>
    <s v="NBA Playoffs Campaign 2025"/>
    <s v="Billing Request- 00104019"/>
    <x v="8"/>
    <d v="2025-09-10T00:00:00"/>
    <d v="2025-10-17T00:00:00"/>
    <x v="2"/>
    <s v="a6Jat1951622"/>
    <x v="5"/>
    <s v="Feb"/>
    <s v="Client requested retroactive billing adjustments."/>
    <n v="37"/>
    <x v="1"/>
    <x v="14"/>
    <x v="2"/>
    <x v="0"/>
  </r>
  <r>
    <x v="0"/>
    <s v="Confluence Academy 2026"/>
    <s v="Billing Request- 00104021"/>
    <x v="3"/>
    <d v="2026-04-14T00:00:00"/>
    <d v="2026-04-16T00:00:00"/>
    <x v="2"/>
    <s v="a6JXt9728436"/>
    <x v="1"/>
    <s v="Dec"/>
    <s v="Incorrect legal terms delayed PTS."/>
    <n v="2"/>
    <x v="2"/>
    <x v="10"/>
    <x v="3"/>
    <x v="1"/>
  </r>
  <r>
    <x v="0"/>
    <s v="Confluence Academy 2026"/>
    <s v="Billing Request- 00104022"/>
    <x v="0"/>
    <d v="2026-04-13T00:00:00"/>
    <d v="2026-04-24T00:00:00"/>
    <x v="2"/>
    <s v="a6JHn5460411"/>
    <x v="6"/>
    <s v="Sep"/>
    <s v="Manual billing entry issue."/>
    <n v="11"/>
    <x v="4"/>
    <x v="10"/>
    <x v="3"/>
    <x v="1"/>
  </r>
  <r>
    <x v="0"/>
    <s v="NWSL Halftime Sponsorship 2026"/>
    <s v="Billing Request- 00104023"/>
    <x v="8"/>
    <d v="2026-03-15T00:00:00"/>
    <d v="2026-05-04T00:00:00"/>
    <x v="0"/>
    <s v="a6Jat3833703"/>
    <x v="2"/>
    <s v="May; Jun"/>
    <s v="Agency submitted updated invoice mapping."/>
    <n v="50"/>
    <x v="1"/>
    <x v="2"/>
    <x v="1"/>
    <x v="1"/>
  </r>
  <r>
    <x v="4"/>
    <s v="DirecTV NASCAR Campaign 2025"/>
    <s v="Billing Request- 00104024"/>
    <x v="4"/>
    <d v="2025-01-10T00:00:00"/>
    <d v="2025-02-23T00:00:00"/>
    <x v="1"/>
    <s v="a6Jat7401597"/>
    <x v="2"/>
    <s v="Jun"/>
    <s v=""/>
    <n v="44"/>
    <x v="1"/>
    <x v="0"/>
    <x v="0"/>
    <x v="0"/>
  </r>
  <r>
    <x v="0"/>
    <s v="DirecTV NASCAR Campaign 2025"/>
    <s v="Billing Request- 00104025"/>
    <x v="9"/>
    <d v="2025-07-31T00:00:00"/>
    <d v="2025-09-15T00:00:00"/>
    <x v="2"/>
    <s v="a6JXt6319447"/>
    <x v="5"/>
    <s v="Sep; Oct"/>
    <s v="Missing supporting documentation from vendor."/>
    <n v="46"/>
    <x v="1"/>
    <x v="12"/>
    <x v="0"/>
    <x v="0"/>
  </r>
  <r>
    <x v="1"/>
    <s v="Streaming Bundle Initiative 2026"/>
    <s v="Billing Request- 00104026"/>
    <x v="3"/>
    <d v="2026-02-25T00:00:00"/>
    <d v="2026-05-08T00:00:00"/>
    <x v="2"/>
    <s v="a6JXt2063522"/>
    <x v="6"/>
    <s v="Jun"/>
    <s v="Manual billing entry issue."/>
    <n v="72"/>
    <x v="0"/>
    <x v="1"/>
    <x v="3"/>
    <x v="1"/>
  </r>
  <r>
    <x v="4"/>
    <s v="NWSL Halftime Sponsorship 2025"/>
    <s v="Billing Request- 00104027"/>
    <x v="7"/>
    <d v="2025-10-12T00:00:00"/>
    <d v="2025-12-08T00:00:00"/>
    <x v="2"/>
    <s v="a6JHn4755707"/>
    <x v="2"/>
    <s v="May; Jun"/>
    <s v="Manual billing entry issue."/>
    <n v="57"/>
    <x v="1"/>
    <x v="5"/>
    <x v="1"/>
    <x v="0"/>
  </r>
  <r>
    <x v="0"/>
    <s v="Amazon TNF 2024 2025"/>
    <s v="Billing Request- 00104028"/>
    <x v="0"/>
    <d v="2025-11-26T00:00:00"/>
    <d v="2026-02-17T00:00:00"/>
    <x v="2"/>
    <s v="a6Jat8849130"/>
    <x v="3"/>
    <s v="May; Jun"/>
    <s v="Missing supporting documentation from vendor."/>
    <n v="83"/>
    <x v="0"/>
    <x v="15"/>
    <x v="4"/>
    <x v="0"/>
  </r>
  <r>
    <x v="0"/>
    <s v="NBA League Pass 2026"/>
    <s v="Billing Request- 00104029"/>
    <x v="2"/>
    <d v="2026-01-27T00:00:00"/>
    <d v="2026-04-05T00:00:00"/>
    <x v="2"/>
    <s v="a6Jat3658314"/>
    <x v="5"/>
    <s v="Jun"/>
    <s v="Finance validation process delay."/>
    <n v="68"/>
    <x v="0"/>
    <x v="7"/>
    <x v="2"/>
    <x v="1"/>
  </r>
  <r>
    <x v="0"/>
    <s v="NBA League Pass 2025"/>
    <s v="Billing Request- 00104030"/>
    <x v="1"/>
    <d v="2025-06-25T00:00:00"/>
    <d v="2025-07-16T00:00:00"/>
    <x v="1"/>
    <s v="a6Jat6324160"/>
    <x v="1"/>
    <s v="Jun"/>
    <s v="Incorrect legal terms delayed PTS."/>
    <n v="21"/>
    <x v="3"/>
    <x v="9"/>
    <x v="2"/>
    <x v="0"/>
  </r>
  <r>
    <x v="0"/>
    <s v="Prime Sports NFL 2026"/>
    <s v="Billing Request- 00104031"/>
    <x v="3"/>
    <d v="2026-04-20T00:00:00"/>
    <d v="2026-05-06T00:00:00"/>
    <x v="2"/>
    <s v="a6JHn6324124"/>
    <x v="5"/>
    <s v="May; Jun"/>
    <s v=""/>
    <n v="16"/>
    <x v="3"/>
    <x v="10"/>
    <x v="3"/>
    <x v="1"/>
  </r>
  <r>
    <x v="4"/>
    <s v="NBA League Pass 2025"/>
    <s v="Billing Request- 00104032"/>
    <x v="3"/>
    <d v="2025-12-28T00:00:00"/>
    <d v="2026-02-06T00:00:00"/>
    <x v="2"/>
    <s v="a6Jat4666371"/>
    <x v="1"/>
    <s v="Nov"/>
    <s v="Late media plan changes from client."/>
    <n v="40"/>
    <x v="1"/>
    <x v="11"/>
    <x v="2"/>
    <x v="0"/>
  </r>
  <r>
    <x v="0"/>
    <s v="DirecTV NASCAR Campaign 2025"/>
    <s v="Billing Request- 00104033"/>
    <x v="0"/>
    <d v="2025-01-22T00:00:00"/>
    <d v="2025-04-13T00:00:00"/>
    <x v="2"/>
    <s v="a6JXt4901744"/>
    <x v="5"/>
    <s v="Jan; Feb"/>
    <s v="Manual billing entry issue."/>
    <n v="81"/>
    <x v="0"/>
    <x v="0"/>
    <x v="0"/>
    <x v="0"/>
  </r>
  <r>
    <x v="1"/>
    <s v="NASCAR Apex 2025 2025"/>
    <s v="Billing Request- 00104034"/>
    <x v="3"/>
    <d v="2025-04-12T00:00:00"/>
    <d v="2025-07-17T00:00:00"/>
    <x v="1"/>
    <s v="a6JXt1380231"/>
    <x v="6"/>
    <s v="Sep"/>
    <s v="Late media plan changes from client."/>
    <n v="96"/>
    <x v="0"/>
    <x v="3"/>
    <x v="0"/>
    <x v="0"/>
  </r>
  <r>
    <x v="4"/>
    <s v="Amazon NBA Live Sports 2025"/>
    <s v="Billing Request- 00104035"/>
    <x v="1"/>
    <d v="2025-07-20T00:00:00"/>
    <d v="2025-07-26T00:00:00"/>
    <x v="1"/>
    <s v="a6Jat4740199"/>
    <x v="3"/>
    <s v="Jul"/>
    <s v="Client requested retroactive billing adjustments."/>
    <n v="6"/>
    <x v="2"/>
    <x v="12"/>
    <x v="2"/>
    <x v="0"/>
  </r>
  <r>
    <x v="0"/>
    <s v="Confluence Academy 2025"/>
    <s v="Billing Request- 00104036"/>
    <x v="8"/>
    <d v="2025-08-27T00:00:00"/>
    <d v="2025-12-20T00:00:00"/>
    <x v="0"/>
    <s v="a6JXt9839210"/>
    <x v="5"/>
    <s v="Mar; Apr"/>
    <s v="Client requested retroactive billing adjustments."/>
    <n v="115"/>
    <x v="0"/>
    <x v="8"/>
    <x v="3"/>
    <x v="0"/>
  </r>
  <r>
    <x v="0"/>
    <s v="NASCAR Apex 2025 2025"/>
    <s v="Billing Request- 00104038"/>
    <x v="8"/>
    <d v="2025-11-27T00:00:00"/>
    <d v="2026-03-03T00:00:00"/>
    <x v="2"/>
    <s v="a6Jat4343727"/>
    <x v="5"/>
    <s v="Sep; Oct"/>
    <s v="Incorrect legal terms delayed PTS."/>
    <n v="96"/>
    <x v="0"/>
    <x v="15"/>
    <x v="0"/>
    <x v="0"/>
  </r>
  <r>
    <x v="3"/>
    <s v="NASCAR P&amp;Q 2025"/>
    <s v="Billing Request- 00104039"/>
    <x v="3"/>
    <d v="2025-09-09T00:00:00"/>
    <d v="2025-12-15T00:00:00"/>
    <x v="2"/>
    <s v="a6JHn4730809"/>
    <x v="1"/>
    <s v="May"/>
    <s v="Client requested retroactive billing adjustments."/>
    <n v="97"/>
    <x v="0"/>
    <x v="14"/>
    <x v="0"/>
    <x v="0"/>
  </r>
  <r>
    <x v="0"/>
    <s v="Amazon TNF 2024 2026"/>
    <s v="Billing Request- 00104040"/>
    <x v="6"/>
    <d v="2026-04-02T00:00:00"/>
    <d v="2026-05-04T00:00:00"/>
    <x v="2"/>
    <s v="a6JHn6585848"/>
    <x v="6"/>
    <s v="Feb"/>
    <s v="Invoice details mismatch with approved campaign."/>
    <n v="32"/>
    <x v="1"/>
    <x v="10"/>
    <x v="4"/>
    <x v="1"/>
  </r>
  <r>
    <x v="3"/>
    <s v="DirecTV NASCAR Campaign 2025"/>
    <s v="Billing Request- 00104043"/>
    <x v="2"/>
    <d v="2025-02-02T00:00:00"/>
    <d v="2025-04-26T00:00:00"/>
    <x v="0"/>
    <s v="a6JXt3621681"/>
    <x v="2"/>
    <s v="Aug"/>
    <s v="Missing supporting documentation from vendor."/>
    <n v="83"/>
    <x v="0"/>
    <x v="6"/>
    <x v="0"/>
    <x v="0"/>
  </r>
  <r>
    <x v="0"/>
    <s v="NWSL Halftime Sponsorship 2025"/>
    <s v="Billing Request- 00104044"/>
    <x v="8"/>
    <d v="2025-06-25T00:00:00"/>
    <d v="2025-07-05T00:00:00"/>
    <x v="0"/>
    <s v="a6JXt9312364"/>
    <x v="4"/>
    <s v="Feb"/>
    <s v="Missing supporting documentation from vendor."/>
    <n v="10"/>
    <x v="4"/>
    <x v="9"/>
    <x v="1"/>
    <x v="0"/>
  </r>
  <r>
    <x v="3"/>
    <s v="NWSL Halftime Sponsorship 2026"/>
    <s v="Billing Request- 00104046"/>
    <x v="5"/>
    <d v="2026-02-09T00:00:00"/>
    <d v="2026-03-23T00:00:00"/>
    <x v="0"/>
    <s v="a6JXt8157610"/>
    <x v="0"/>
    <s v="Sep; Oct"/>
    <s v="Manual billing entry issue."/>
    <n v="42"/>
    <x v="1"/>
    <x v="1"/>
    <x v="1"/>
    <x v="1"/>
  </r>
  <r>
    <x v="0"/>
    <s v="NWSL Prime Video 2025"/>
    <s v="Billing Request- 00104047"/>
    <x v="2"/>
    <d v="2025-10-13T00:00:00"/>
    <d v="2025-12-13T00:00:00"/>
    <x v="2"/>
    <s v="a6Jat4764999"/>
    <x v="0"/>
    <s v="Apr"/>
    <s v="Late media plan changes from client."/>
    <n v="61"/>
    <x v="0"/>
    <x v="5"/>
    <x v="1"/>
    <x v="0"/>
  </r>
  <r>
    <x v="3"/>
    <s v="DirecTV NASCAR Campaign 2025"/>
    <s v="Billing Request- 00104048"/>
    <x v="9"/>
    <d v="2025-04-09T00:00:00"/>
    <d v="2025-06-06T00:00:00"/>
    <x v="0"/>
    <s v="a6JXt3741023"/>
    <x v="1"/>
    <s v="Dec"/>
    <s v="Missing supporting documentation from vendor."/>
    <n v="58"/>
    <x v="1"/>
    <x v="3"/>
    <x v="0"/>
    <x v="0"/>
  </r>
  <r>
    <x v="0"/>
    <s v="Amazon NBA Live Sports 2026"/>
    <s v="Billing Request- 00104049"/>
    <x v="2"/>
    <d v="2026-02-16T00:00:00"/>
    <d v="2026-04-30T00:00:00"/>
    <x v="2"/>
    <s v="a6JHn7204797"/>
    <x v="3"/>
    <s v="Sep"/>
    <s v="Client requested retroactive billing adjustments."/>
    <n v="73"/>
    <x v="0"/>
    <x v="1"/>
    <x v="2"/>
    <x v="1"/>
  </r>
  <r>
    <x v="2"/>
    <s v="Amazon TNF 2024 2025"/>
    <s v="Billing Request- 00104052"/>
    <x v="0"/>
    <d v="2025-12-29T00:00:00"/>
    <d v="2026-04-18T00:00:00"/>
    <x v="0"/>
    <s v="a6JHn7460741"/>
    <x v="4"/>
    <s v="May; Jun"/>
    <s v="Client requested retroactive billing adjustments."/>
    <n v="110"/>
    <x v="0"/>
    <x v="11"/>
    <x v="4"/>
    <x v="0"/>
  </r>
  <r>
    <x v="0"/>
    <s v="Confluence Academy 2025"/>
    <s v="Billing Request- 00104056"/>
    <x v="5"/>
    <d v="2025-12-26T00:00:00"/>
    <d v="2026-03-29T00:00:00"/>
    <x v="2"/>
    <s v="a6Jat5277208"/>
    <x v="0"/>
    <s v="Jun"/>
    <s v="Late media plan changes from client."/>
    <n v="93"/>
    <x v="0"/>
    <x v="11"/>
    <x v="3"/>
    <x v="0"/>
  </r>
  <r>
    <x v="0"/>
    <s v="TNF Sponsorship 2025"/>
    <s v="Billing Request- 00104057"/>
    <x v="6"/>
    <d v="2025-08-27T00:00:00"/>
    <d v="2025-09-10T00:00:00"/>
    <x v="2"/>
    <s v="a6JHn2427359"/>
    <x v="0"/>
    <s v="Apr"/>
    <s v="Missing supporting documentation from vendor."/>
    <n v="14"/>
    <x v="4"/>
    <x v="8"/>
    <x v="4"/>
    <x v="0"/>
  </r>
  <r>
    <x v="0"/>
    <s v="Amazon TNF 2024 2025"/>
    <s v="Billing Request- 00104059"/>
    <x v="9"/>
    <d v="2025-04-21T00:00:00"/>
    <d v="2025-08-15T00:00:00"/>
    <x v="2"/>
    <s v="a6JXt3018097"/>
    <x v="4"/>
    <s v="Oct"/>
    <s v="Missing supporting documentation from vendor."/>
    <n v="116"/>
    <x v="0"/>
    <x v="3"/>
    <x v="4"/>
    <x v="0"/>
  </r>
  <r>
    <x v="0"/>
    <s v="Streaming Bundle Initiative 2025"/>
    <s v="Billing Request- 00104060"/>
    <x v="3"/>
    <d v="2025-10-07T00:00:00"/>
    <d v="2025-12-13T00:00:00"/>
    <x v="1"/>
    <s v="a6Jat2275012"/>
    <x v="4"/>
    <s v="Jun"/>
    <s v="Late media plan changes from client."/>
    <n v="67"/>
    <x v="0"/>
    <x v="5"/>
    <x v="3"/>
    <x v="0"/>
  </r>
  <r>
    <x v="0"/>
    <s v="NBA Playoffs Campaign 2025"/>
    <s v="Billing Request- 00104061"/>
    <x v="8"/>
    <d v="2025-11-19T00:00:00"/>
    <d v="2026-02-08T00:00:00"/>
    <x v="2"/>
    <s v="a6JXt8106959"/>
    <x v="6"/>
    <s v="May; Jun"/>
    <s v="Incorrect legal terms delayed PTS."/>
    <n v="81"/>
    <x v="0"/>
    <x v="15"/>
    <x v="2"/>
    <x v="0"/>
  </r>
  <r>
    <x v="0"/>
    <s v="DirecTV NASCAR Campaign 2025"/>
    <s v="Billing Request- 00104062"/>
    <x v="6"/>
    <d v="2025-08-15T00:00:00"/>
    <d v="2025-08-27T00:00:00"/>
    <x v="2"/>
    <s v="a6JXt3364632"/>
    <x v="0"/>
    <s v="Nov; Dec"/>
    <s v="Invoice details mismatch with approved campaign."/>
    <n v="12"/>
    <x v="4"/>
    <x v="8"/>
    <x v="0"/>
    <x v="0"/>
  </r>
  <r>
    <x v="1"/>
    <s v="WNBA Incremental Scatter 2025"/>
    <s v="Billing Request- 00104063"/>
    <x v="2"/>
    <d v="2025-04-09T00:00:00"/>
    <d v="2025-05-20T00:00:00"/>
    <x v="2"/>
    <s v="a6JXt4172705"/>
    <x v="1"/>
    <s v="Mar"/>
    <s v="Manual billing entry issue."/>
    <n v="41"/>
    <x v="1"/>
    <x v="3"/>
    <x v="2"/>
    <x v="0"/>
  </r>
  <r>
    <x v="0"/>
    <s v="NASCAR Apex 2025 2026"/>
    <s v="Billing Request- 00104064"/>
    <x v="6"/>
    <d v="2026-03-03T00:00:00"/>
    <d v="2026-04-05T00:00:00"/>
    <x v="2"/>
    <s v="a6Jat2098676"/>
    <x v="3"/>
    <s v="Sep; Oct"/>
    <s v="Agency submitted updated invoice mapping."/>
    <n v="33"/>
    <x v="1"/>
    <x v="2"/>
    <x v="0"/>
    <x v="1"/>
  </r>
  <r>
    <x v="0"/>
    <s v="TNF Sponsorship 2026"/>
    <s v="Billing Request- 00104065"/>
    <x v="8"/>
    <d v="2026-01-17T00:00:00"/>
    <d v="2026-03-30T00:00:00"/>
    <x v="2"/>
    <s v="a6JXt1032310"/>
    <x v="1"/>
    <s v="Jan"/>
    <s v="Missing supporting documentation from vendor."/>
    <n v="72"/>
    <x v="0"/>
    <x v="7"/>
    <x v="4"/>
    <x v="1"/>
  </r>
  <r>
    <x v="4"/>
    <s v="Retail Media Expansion 2025"/>
    <s v="Billing Request- 00104066"/>
    <x v="2"/>
    <d v="2025-12-01T00:00:00"/>
    <d v="2026-01-25T00:00:00"/>
    <x v="2"/>
    <s v="a6Jat7563184"/>
    <x v="3"/>
    <s v="Aug"/>
    <s v=""/>
    <n v="55"/>
    <x v="1"/>
    <x v="11"/>
    <x v="3"/>
    <x v="0"/>
  </r>
  <r>
    <x v="0"/>
    <s v="NWSL Halftime Sponsorship 2025"/>
    <s v="Billing Request- 00104069"/>
    <x v="6"/>
    <d v="2025-04-30T00:00:00"/>
    <d v="2025-05-13T00:00:00"/>
    <x v="2"/>
    <s v="a6JXt3113030"/>
    <x v="5"/>
    <s v="Jul"/>
    <s v="Agency submitted updated invoice mapping."/>
    <n v="13"/>
    <x v="4"/>
    <x v="3"/>
    <x v="1"/>
    <x v="0"/>
  </r>
  <r>
    <x v="0"/>
    <s v="Streaming Bundle Initiative 2025"/>
    <s v="Billing Request- 00104071"/>
    <x v="2"/>
    <d v="2025-04-28T00:00:00"/>
    <d v="2025-06-23T00:00:00"/>
    <x v="0"/>
    <s v="a6JHn6232838"/>
    <x v="5"/>
    <s v="Sep; Oct"/>
    <s v="Incorrect legal terms delayed PTS."/>
    <n v="56"/>
    <x v="1"/>
    <x v="3"/>
    <x v="3"/>
    <x v="0"/>
  </r>
  <r>
    <x v="0"/>
    <s v="NWSL Halftime Sponsorship 2025"/>
    <s v="Billing Request- 00104076"/>
    <x v="3"/>
    <d v="2025-06-02T00:00:00"/>
    <d v="2025-08-04T00:00:00"/>
    <x v="1"/>
    <s v="a6Jat7513719"/>
    <x v="6"/>
    <s v="Aug"/>
    <s v="Client requested retroactive billing adjustments."/>
    <n v="63"/>
    <x v="0"/>
    <x v="9"/>
    <x v="1"/>
    <x v="0"/>
  </r>
  <r>
    <x v="1"/>
    <s v="DirecTV NASCAR Campaign 2025"/>
    <s v="Billing Request- 00104077"/>
    <x v="4"/>
    <d v="2025-01-16T00:00:00"/>
    <d v="2025-01-17T00:00:00"/>
    <x v="2"/>
    <s v="a6JHn9737748"/>
    <x v="6"/>
    <s v="Jul"/>
    <s v="Incorrect legal terms delayed PTS."/>
    <n v="1"/>
    <x v="2"/>
    <x v="0"/>
    <x v="0"/>
    <x v="0"/>
  </r>
  <r>
    <x v="0"/>
    <s v="Amazon NBA Live Sports 2026"/>
    <s v="Billing Request- 00104078"/>
    <x v="5"/>
    <d v="2026-03-12T00:00:00"/>
    <d v="2026-04-09T00:00:00"/>
    <x v="2"/>
    <s v="a6JHn4288833"/>
    <x v="6"/>
    <s v="Apr"/>
    <s v="Incorrect legal terms delayed PTS."/>
    <n v="28"/>
    <x v="3"/>
    <x v="2"/>
    <x v="2"/>
    <x v="1"/>
  </r>
  <r>
    <x v="0"/>
    <s v="Global Consumer Products 2026"/>
    <s v="Billing Request- 00104079"/>
    <x v="0"/>
    <d v="2026-03-30T00:00:00"/>
    <d v="2026-05-04T00:00:00"/>
    <x v="0"/>
    <s v="a6JXt3181923"/>
    <x v="6"/>
    <s v="Jul; Aug"/>
    <s v="Incorrect legal terms delayed PTS."/>
    <n v="35"/>
    <x v="1"/>
    <x v="2"/>
    <x v="3"/>
    <x v="1"/>
  </r>
  <r>
    <x v="0"/>
    <s v="Amazon TNF 2024 2025"/>
    <s v="Billing Request- 00104080"/>
    <x v="6"/>
    <d v="2025-11-15T00:00:00"/>
    <d v="2026-02-26T00:00:00"/>
    <x v="2"/>
    <s v="a6JHn7984311"/>
    <x v="2"/>
    <s v="May"/>
    <s v="Client requested retroactive billing adjustments."/>
    <n v="103"/>
    <x v="0"/>
    <x v="15"/>
    <x v="4"/>
    <x v="0"/>
  </r>
  <r>
    <x v="4"/>
    <s v="Retail Media Expansion 2026"/>
    <s v="Billing Request- 00104081"/>
    <x v="1"/>
    <d v="2026-04-05T00:00:00"/>
    <d v="2026-05-07T00:00:00"/>
    <x v="2"/>
    <s v="a6JXt1457944"/>
    <x v="0"/>
    <s v="Sep; Oct"/>
    <s v="Client requested retroactive billing adjustments."/>
    <n v="32"/>
    <x v="1"/>
    <x v="10"/>
    <x v="3"/>
    <x v="1"/>
  </r>
  <r>
    <x v="4"/>
    <s v="Amazon TNF 2024 2026"/>
    <s v="Billing Request- 00104083"/>
    <x v="7"/>
    <d v="2026-05-07T00:00:00"/>
    <d v="2026-05-08T00:00:00"/>
    <x v="2"/>
    <s v="a6Jat7234644"/>
    <x v="3"/>
    <s v="Jul"/>
    <s v="Client requested retroactive billing adjustments."/>
    <n v="1"/>
    <x v="2"/>
    <x v="16"/>
    <x v="4"/>
    <x v="1"/>
  </r>
  <r>
    <x v="0"/>
    <s v="NASCAR Apex 2025 2025"/>
    <s v="Billing Request- 00104084"/>
    <x v="2"/>
    <d v="2025-04-02T00:00:00"/>
    <d v="2025-07-13T00:00:00"/>
    <x v="1"/>
    <s v="a6JXt1292587"/>
    <x v="5"/>
    <s v="Jul; Aug"/>
    <s v="Client requested retroactive billing adjustments."/>
    <n v="102"/>
    <x v="0"/>
    <x v="3"/>
    <x v="0"/>
    <x v="0"/>
  </r>
  <r>
    <x v="3"/>
    <s v="DirecTV NASCAR Campaign 2025"/>
    <s v="Billing Request- 00104086"/>
    <x v="1"/>
    <d v="2025-01-17T00:00:00"/>
    <d v="2025-05-05T00:00:00"/>
    <x v="0"/>
    <s v="a6JXt5852075"/>
    <x v="6"/>
    <s v="Jul"/>
    <s v="Invoice details mismatch with approved campaign."/>
    <n v="108"/>
    <x v="0"/>
    <x v="0"/>
    <x v="0"/>
    <x v="0"/>
  </r>
  <r>
    <x v="1"/>
    <s v="WNBA Incremental Scatter 2025"/>
    <s v="Billing Request- 00104088"/>
    <x v="9"/>
    <d v="2025-12-14T00:00:00"/>
    <d v="2026-01-30T00:00:00"/>
    <x v="0"/>
    <s v="a6JHn9460563"/>
    <x v="5"/>
    <s v="Feb"/>
    <s v="Late media plan changes from client."/>
    <n v="47"/>
    <x v="1"/>
    <x v="11"/>
    <x v="2"/>
    <x v="0"/>
  </r>
  <r>
    <x v="0"/>
    <s v="NASCAR P&amp;Q 2025"/>
    <s v="Billing Request- 00104089"/>
    <x v="0"/>
    <d v="2025-04-07T00:00:00"/>
    <d v="2025-06-24T00:00:00"/>
    <x v="2"/>
    <s v="a6JXt9910192"/>
    <x v="4"/>
    <s v="Nov"/>
    <s v=""/>
    <n v="78"/>
    <x v="0"/>
    <x v="3"/>
    <x v="0"/>
    <x v="0"/>
  </r>
  <r>
    <x v="0"/>
    <s v="WNBA Incremental Scatter 2026"/>
    <s v="Billing Request- 00104090"/>
    <x v="7"/>
    <d v="2026-03-25T00:00:00"/>
    <d v="2026-05-05T00:00:00"/>
    <x v="2"/>
    <s v="a6JHn8910331"/>
    <x v="1"/>
    <s v="Mar"/>
    <s v="Agency submitted updated invoice mapping."/>
    <n v="41"/>
    <x v="1"/>
    <x v="2"/>
    <x v="2"/>
    <x v="1"/>
  </r>
  <r>
    <x v="0"/>
    <s v="NFL Prime Video 2025"/>
    <s v="Billing Request- 00104094"/>
    <x v="4"/>
    <d v="2025-07-03T00:00:00"/>
    <d v="2025-08-11T00:00:00"/>
    <x v="0"/>
    <s v="a6JXt2736962"/>
    <x v="1"/>
    <s v="Oct"/>
    <s v="Invoice details mismatch with approved campaign."/>
    <n v="39"/>
    <x v="1"/>
    <x v="12"/>
    <x v="3"/>
    <x v="0"/>
  </r>
  <r>
    <x v="0"/>
    <s v="Streaming Bundle Initiative 2025"/>
    <s v="Billing Request- 00104096"/>
    <x v="5"/>
    <d v="2025-12-21T00:00:00"/>
    <d v="2026-03-31T00:00:00"/>
    <x v="0"/>
    <s v="a6Jat4200355"/>
    <x v="6"/>
    <s v="Nov"/>
    <s v="Agency submitted updated invoice mapping."/>
    <n v="100"/>
    <x v="0"/>
    <x v="11"/>
    <x v="3"/>
    <x v="0"/>
  </r>
  <r>
    <x v="0"/>
    <s v="NWSL Halftime Sponsorship 2025"/>
    <s v="Billing Request- 00104097"/>
    <x v="7"/>
    <d v="2025-02-25T00:00:00"/>
    <d v="2025-04-30T00:00:00"/>
    <x v="0"/>
    <s v="a6JHn9642054"/>
    <x v="4"/>
    <s v="Sep"/>
    <s v="Client requested retroactive billing adjustments."/>
    <n v="64"/>
    <x v="0"/>
    <x v="6"/>
    <x v="1"/>
    <x v="0"/>
  </r>
  <r>
    <x v="4"/>
    <s v="Amazon NBA Live Sports 2025"/>
    <s v="Billing Request- 00104098"/>
    <x v="0"/>
    <d v="2025-06-25T00:00:00"/>
    <d v="2025-10-22T00:00:00"/>
    <x v="2"/>
    <s v="a6JHn7927827"/>
    <x v="3"/>
    <s v="Sep; Oct"/>
    <s v="Incorrect legal terms delayed PTS."/>
    <n v="119"/>
    <x v="0"/>
    <x v="9"/>
    <x v="2"/>
    <x v="0"/>
  </r>
  <r>
    <x v="0"/>
    <s v="Amazon TNF 2024 2026"/>
    <s v="Billing Request- 00104099"/>
    <x v="1"/>
    <d v="2026-01-16T00:00:00"/>
    <d v="2026-01-17T00:00:00"/>
    <x v="2"/>
    <s v="a6JXt1384720"/>
    <x v="0"/>
    <s v="May; Jun"/>
    <s v="Missing supporting documentation from vendor."/>
    <n v="1"/>
    <x v="2"/>
    <x v="7"/>
    <x v="4"/>
    <x v="1"/>
  </r>
  <r>
    <x v="3"/>
    <s v="NWSL Prime Video 2025"/>
    <s v="Billing Request- 00104100"/>
    <x v="9"/>
    <d v="2025-07-08T00:00:00"/>
    <d v="2025-09-27T00:00:00"/>
    <x v="2"/>
    <s v="a6JXt4223894"/>
    <x v="5"/>
    <s v="Oct"/>
    <s v="Incorrect legal terms delayed PTS."/>
    <n v="81"/>
    <x v="0"/>
    <x v="12"/>
    <x v="1"/>
    <x v="0"/>
  </r>
  <r>
    <x v="0"/>
    <s v="Global Consumer Products 2026"/>
    <s v="Billing Request- 00104102"/>
    <x v="5"/>
    <d v="2026-01-04T00:00:00"/>
    <d v="2026-02-17T00:00:00"/>
    <x v="0"/>
    <s v="a6JXt5535332"/>
    <x v="5"/>
    <s v="Mar"/>
    <s v="Missing supporting documentation from vendor."/>
    <n v="44"/>
    <x v="1"/>
    <x v="7"/>
    <x v="3"/>
    <x v="1"/>
  </r>
  <r>
    <x v="0"/>
    <s v="NASCAR Apex 2025 2025"/>
    <s v="Billing Request- 00104103"/>
    <x v="8"/>
    <d v="2025-07-23T00:00:00"/>
    <d v="2025-08-12T00:00:00"/>
    <x v="2"/>
    <s v="a6JXt9420900"/>
    <x v="4"/>
    <s v="May; Jun"/>
    <s v="Late media plan changes from client."/>
    <n v="20"/>
    <x v="3"/>
    <x v="12"/>
    <x v="0"/>
    <x v="0"/>
  </r>
  <r>
    <x v="0"/>
    <s v="DirecTV NASCAR Campaign 2026"/>
    <s v="Billing Request- 00104104"/>
    <x v="0"/>
    <d v="2026-02-01T00:00:00"/>
    <d v="2026-02-08T00:00:00"/>
    <x v="1"/>
    <s v="a6JHn8727073"/>
    <x v="5"/>
    <s v="Mar"/>
    <s v="Invoice details mismatch with approved campaign."/>
    <n v="7"/>
    <x v="2"/>
    <x v="1"/>
    <x v="0"/>
    <x v="1"/>
  </r>
  <r>
    <x v="0"/>
    <s v="DirecTV NASCAR Campaign 2025"/>
    <s v="Billing Request- 00104105"/>
    <x v="0"/>
    <d v="2025-02-16T00:00:00"/>
    <d v="2025-04-28T00:00:00"/>
    <x v="1"/>
    <s v="a6JHn3809616"/>
    <x v="0"/>
    <s v="Sep"/>
    <s v="Manual billing entry issue."/>
    <n v="71"/>
    <x v="0"/>
    <x v="6"/>
    <x v="0"/>
    <x v="0"/>
  </r>
  <r>
    <x v="0"/>
    <s v="Prime Sports NFL 2025"/>
    <s v="Billing Request- 00104106"/>
    <x v="3"/>
    <d v="2025-03-13T00:00:00"/>
    <d v="2025-03-31T00:00:00"/>
    <x v="2"/>
    <s v="a6Jat5437386"/>
    <x v="0"/>
    <s v="Jun"/>
    <s v=""/>
    <n v="18"/>
    <x v="3"/>
    <x v="13"/>
    <x v="3"/>
    <x v="0"/>
  </r>
  <r>
    <x v="0"/>
    <s v="DirecTV NASCAR Campaign 2025"/>
    <s v="Billing Request- 00104108"/>
    <x v="1"/>
    <d v="2025-03-16T00:00:00"/>
    <d v="2025-03-21T00:00:00"/>
    <x v="2"/>
    <s v="a6Jat5097416"/>
    <x v="3"/>
    <s v="Dec"/>
    <s v="Missing supporting documentation from vendor."/>
    <n v="5"/>
    <x v="2"/>
    <x v="13"/>
    <x v="0"/>
    <x v="0"/>
  </r>
  <r>
    <x v="1"/>
    <s v="Amazon NBA Live Sports 2025"/>
    <s v="Billing Request- 00104111"/>
    <x v="9"/>
    <d v="2025-11-12T00:00:00"/>
    <d v="2025-11-30T00:00:00"/>
    <x v="2"/>
    <s v="a6JXt3128792"/>
    <x v="6"/>
    <s v="Oct"/>
    <s v="Finance validation process delay."/>
    <n v="18"/>
    <x v="3"/>
    <x v="15"/>
    <x v="2"/>
    <x v="0"/>
  </r>
  <r>
    <x v="0"/>
    <s v="Streaming Bundle Initiative 2025"/>
    <s v="Billing Request- 00104112"/>
    <x v="2"/>
    <d v="2025-11-30T00:00:00"/>
    <d v="2026-01-30T00:00:00"/>
    <x v="2"/>
    <s v="a6JXt8315457"/>
    <x v="6"/>
    <s v="Mar"/>
    <s v="Manual billing entry issue."/>
    <n v="61"/>
    <x v="0"/>
    <x v="15"/>
    <x v="3"/>
    <x v="0"/>
  </r>
  <r>
    <x v="0"/>
    <s v="NWSL Prime Video 2025"/>
    <s v="Billing Request- 00104113"/>
    <x v="9"/>
    <d v="2025-08-18T00:00:00"/>
    <d v="2025-11-15T00:00:00"/>
    <x v="2"/>
    <s v="a6Jat8503228"/>
    <x v="4"/>
    <s v="Jul"/>
    <s v="Missing supporting documentation from vendor."/>
    <n v="89"/>
    <x v="0"/>
    <x v="8"/>
    <x v="1"/>
    <x v="0"/>
  </r>
  <r>
    <x v="0"/>
    <s v="Amazon TNF 2024 2025"/>
    <s v="Billing Request- 00104114"/>
    <x v="6"/>
    <d v="2025-01-21T00:00:00"/>
    <d v="2025-03-19T00:00:00"/>
    <x v="2"/>
    <s v="a6JHn1800667"/>
    <x v="2"/>
    <s v="Jun"/>
    <s v="Agency submitted updated invoice mapping."/>
    <n v="57"/>
    <x v="1"/>
    <x v="0"/>
    <x v="4"/>
    <x v="0"/>
  </r>
  <r>
    <x v="4"/>
    <s v="Confluence Academy 2025"/>
    <s v="Billing Request- 00104116"/>
    <x v="1"/>
    <d v="2025-03-12T00:00:00"/>
    <d v="2025-04-08T00:00:00"/>
    <x v="2"/>
    <s v="a6Jat7816274"/>
    <x v="0"/>
    <s v="Jan; Feb"/>
    <s v="Finance validation process delay."/>
    <n v="27"/>
    <x v="3"/>
    <x v="13"/>
    <x v="3"/>
    <x v="0"/>
  </r>
  <r>
    <x v="0"/>
    <s v="NWSL Prime Video 2025"/>
    <s v="Billing Request- 00104117"/>
    <x v="0"/>
    <d v="2025-06-07T00:00:00"/>
    <d v="2025-10-02T00:00:00"/>
    <x v="2"/>
    <s v="a6JXt9842475"/>
    <x v="3"/>
    <s v="Mar"/>
    <s v="Incorrect legal terms delayed PTS."/>
    <n v="117"/>
    <x v="0"/>
    <x v="9"/>
    <x v="1"/>
    <x v="0"/>
  </r>
  <r>
    <x v="0"/>
    <s v="NASCAR P&amp;Q 2025"/>
    <s v="Billing Request- 00104119"/>
    <x v="6"/>
    <d v="2025-04-04T00:00:00"/>
    <d v="2025-05-26T00:00:00"/>
    <x v="0"/>
    <s v="a6JXt6072379"/>
    <x v="1"/>
    <s v="Sep; Oct"/>
    <s v=""/>
    <n v="52"/>
    <x v="1"/>
    <x v="3"/>
    <x v="0"/>
    <x v="0"/>
  </r>
  <r>
    <x v="0"/>
    <s v="NWSL Halftime Sponsorship 2025"/>
    <s v="Billing Request- 00104120"/>
    <x v="6"/>
    <d v="2025-05-27T00:00:00"/>
    <d v="2025-08-27T00:00:00"/>
    <x v="0"/>
    <s v="a6JHn9336013"/>
    <x v="1"/>
    <s v="Jan"/>
    <s v=""/>
    <n v="92"/>
    <x v="0"/>
    <x v="4"/>
    <x v="1"/>
    <x v="0"/>
  </r>
  <r>
    <x v="0"/>
    <s v="NWSL Halftime Sponsorship 2025"/>
    <s v="Billing Request- 00104121"/>
    <x v="2"/>
    <d v="2025-07-02T00:00:00"/>
    <d v="2025-09-23T00:00:00"/>
    <x v="1"/>
    <s v="a6JHn9868731"/>
    <x v="2"/>
    <s v="Oct"/>
    <s v="Late media plan changes from client."/>
    <n v="83"/>
    <x v="0"/>
    <x v="12"/>
    <x v="1"/>
    <x v="0"/>
  </r>
  <r>
    <x v="0"/>
    <s v="NASCAR Apex 2025 2025"/>
    <s v="Billing Request- 00104123"/>
    <x v="1"/>
    <d v="2025-08-08T00:00:00"/>
    <d v="2025-08-15T00:00:00"/>
    <x v="2"/>
    <s v="a6JXt8692972"/>
    <x v="6"/>
    <s v="Nov; Dec"/>
    <s v=""/>
    <n v="7"/>
    <x v="2"/>
    <x v="8"/>
    <x v="0"/>
    <x v="0"/>
  </r>
  <r>
    <x v="3"/>
    <s v="Amazon NBA Live Sports 2026"/>
    <s v="Billing Request- 00104125"/>
    <x v="3"/>
    <d v="2026-03-16T00:00:00"/>
    <d v="2026-05-03T00:00:00"/>
    <x v="0"/>
    <s v="a6Jat2717063"/>
    <x v="1"/>
    <s v="Sep; Oct"/>
    <s v="Incorrect legal terms delayed PTS."/>
    <n v="48"/>
    <x v="1"/>
    <x v="2"/>
    <x v="2"/>
    <x v="1"/>
  </r>
  <r>
    <x v="4"/>
    <s v="NASCAR P&amp;Q 2025"/>
    <s v="Billing Request- 00104126"/>
    <x v="6"/>
    <d v="2025-09-11T00:00:00"/>
    <d v="2025-10-23T00:00:00"/>
    <x v="0"/>
    <s v="a6JHn6903875"/>
    <x v="2"/>
    <s v="May; Jun"/>
    <s v="Finance validation process delay."/>
    <n v="42"/>
    <x v="1"/>
    <x v="14"/>
    <x v="0"/>
    <x v="0"/>
  </r>
  <r>
    <x v="0"/>
    <s v="NWSL Halftime Sponsorship 2025"/>
    <s v="Billing Request- 00104127"/>
    <x v="6"/>
    <d v="2025-01-16T00:00:00"/>
    <d v="2025-04-19T00:00:00"/>
    <x v="2"/>
    <s v="a6Jat6179878"/>
    <x v="3"/>
    <s v="Jul"/>
    <s v="Client requested retroactive billing adjustments."/>
    <n v="93"/>
    <x v="0"/>
    <x v="0"/>
    <x v="1"/>
    <x v="0"/>
  </r>
  <r>
    <x v="0"/>
    <s v="WNBA Incremental Scatter 2026"/>
    <s v="Billing Request- 00104128"/>
    <x v="5"/>
    <d v="2026-01-19T00:00:00"/>
    <d v="2026-03-23T00:00:00"/>
    <x v="2"/>
    <s v="a6Jat8897978"/>
    <x v="3"/>
    <s v="Jun"/>
    <s v="Incorrect legal terms delayed PTS."/>
    <n v="63"/>
    <x v="0"/>
    <x v="7"/>
    <x v="2"/>
    <x v="1"/>
  </r>
  <r>
    <x v="0"/>
    <s v="Global Consumer Products 2025"/>
    <s v="Billing Request- 00104129"/>
    <x v="6"/>
    <d v="2025-10-22T00:00:00"/>
    <d v="2026-01-11T00:00:00"/>
    <x v="0"/>
    <s v="a6JHn1876881"/>
    <x v="3"/>
    <s v="Nov"/>
    <s v="Agency submitted updated invoice mapping."/>
    <n v="81"/>
    <x v="0"/>
    <x v="5"/>
    <x v="3"/>
    <x v="0"/>
  </r>
  <r>
    <x v="0"/>
    <s v="NWSL Prime Video 2025"/>
    <s v="Billing Request- 00104130"/>
    <x v="9"/>
    <d v="2025-02-23T00:00:00"/>
    <d v="2025-04-28T00:00:00"/>
    <x v="2"/>
    <s v="a6JHn3617462"/>
    <x v="3"/>
    <s v="May"/>
    <s v="Late media plan changes from client."/>
    <n v="64"/>
    <x v="0"/>
    <x v="6"/>
    <x v="1"/>
    <x v="0"/>
  </r>
  <r>
    <x v="1"/>
    <s v="NWSL Prime Video 2025"/>
    <s v="Billing Request- 00104133"/>
    <x v="4"/>
    <d v="2025-01-25T00:00:00"/>
    <d v="2025-04-15T00:00:00"/>
    <x v="2"/>
    <s v="a6JHn1562866"/>
    <x v="5"/>
    <s v="Aug"/>
    <s v="Agency submitted updated invoice mapping."/>
    <n v="80"/>
    <x v="0"/>
    <x v="0"/>
    <x v="1"/>
    <x v="0"/>
  </r>
  <r>
    <x v="4"/>
    <s v="Retail Media Expansion 2026"/>
    <s v="Billing Request- 00104134"/>
    <x v="9"/>
    <d v="2026-03-29T00:00:00"/>
    <d v="2026-05-04T00:00:00"/>
    <x v="2"/>
    <s v="a6JXt1017948"/>
    <x v="2"/>
    <s v="Dec"/>
    <s v="Client requested retroactive billing adjustments."/>
    <n v="36"/>
    <x v="1"/>
    <x v="2"/>
    <x v="3"/>
    <x v="1"/>
  </r>
  <r>
    <x v="3"/>
    <s v="TNF Sponsorship 2025"/>
    <s v="Billing Request- 00104135"/>
    <x v="5"/>
    <d v="2025-10-18T00:00:00"/>
    <d v="2025-12-07T00:00:00"/>
    <x v="2"/>
    <s v="a6JHn6892788"/>
    <x v="4"/>
    <s v="Jan; Feb"/>
    <s v="Late media plan changes from client."/>
    <n v="50"/>
    <x v="1"/>
    <x v="5"/>
    <x v="4"/>
    <x v="0"/>
  </r>
  <r>
    <x v="4"/>
    <s v="Amazon TNF 2024 2025"/>
    <s v="Billing Request- 00104136"/>
    <x v="4"/>
    <d v="2025-05-16T00:00:00"/>
    <d v="2025-05-26T00:00:00"/>
    <x v="0"/>
    <s v="a6JXt3862850"/>
    <x v="5"/>
    <s v="Jan; Feb"/>
    <s v="Finance validation process delay."/>
    <n v="10"/>
    <x v="4"/>
    <x v="4"/>
    <x v="4"/>
    <x v="0"/>
  </r>
  <r>
    <x v="0"/>
    <s v="Prime Sports NFL 2025"/>
    <s v="Billing Request- 00104137"/>
    <x v="1"/>
    <d v="2025-01-18T00:00:00"/>
    <d v="2025-02-26T00:00:00"/>
    <x v="1"/>
    <s v="a6Jat7083035"/>
    <x v="2"/>
    <s v="May; Jun"/>
    <s v="Invoice details mismatch with approved campaign."/>
    <n v="39"/>
    <x v="1"/>
    <x v="0"/>
    <x v="3"/>
    <x v="0"/>
  </r>
  <r>
    <x v="0"/>
    <s v="NBA Playoffs Campaign 2026"/>
    <s v="Billing Request- 00104139"/>
    <x v="1"/>
    <d v="2026-02-24T00:00:00"/>
    <d v="2026-03-31T00:00:00"/>
    <x v="0"/>
    <s v="a6JHn4640461"/>
    <x v="1"/>
    <s v="Feb"/>
    <s v="Finance validation process delay."/>
    <n v="35"/>
    <x v="1"/>
    <x v="1"/>
    <x v="2"/>
    <x v="1"/>
  </r>
  <r>
    <x v="0"/>
    <s v="Streaming Bundle Initiative 2025"/>
    <s v="Billing Request- 00104140"/>
    <x v="3"/>
    <d v="2025-03-26T00:00:00"/>
    <d v="2025-04-14T00:00:00"/>
    <x v="1"/>
    <s v="a6JXt6577986"/>
    <x v="5"/>
    <s v="Jul"/>
    <s v="Missing supporting documentation from vendor."/>
    <n v="19"/>
    <x v="3"/>
    <x v="13"/>
    <x v="3"/>
    <x v="0"/>
  </r>
  <r>
    <x v="0"/>
    <s v="Streaming Bundle Initiative 2025"/>
    <s v="Billing Request- 00104141"/>
    <x v="3"/>
    <d v="2025-05-31T00:00:00"/>
    <d v="2025-06-22T00:00:00"/>
    <x v="2"/>
    <s v="a6JHn8904942"/>
    <x v="0"/>
    <s v="Jul"/>
    <s v=""/>
    <n v="22"/>
    <x v="3"/>
    <x v="4"/>
    <x v="3"/>
    <x v="0"/>
  </r>
  <r>
    <x v="4"/>
    <s v="Amazon TNF 2024 2026"/>
    <s v="Billing Request- 00104142"/>
    <x v="0"/>
    <d v="2026-01-15T00:00:00"/>
    <d v="2026-01-31T00:00:00"/>
    <x v="2"/>
    <s v="a6JHn3887765"/>
    <x v="4"/>
    <s v="Jul"/>
    <s v=""/>
    <n v="16"/>
    <x v="3"/>
    <x v="7"/>
    <x v="4"/>
    <x v="1"/>
  </r>
  <r>
    <x v="0"/>
    <s v="NASCAR P&amp;Q 2025"/>
    <s v="Billing Request- 00104145"/>
    <x v="4"/>
    <d v="2025-07-07T00:00:00"/>
    <d v="2025-08-18T00:00:00"/>
    <x v="2"/>
    <s v="a6JXt8865639"/>
    <x v="4"/>
    <s v="Apr"/>
    <s v="Late media plan changes from client."/>
    <n v="42"/>
    <x v="1"/>
    <x v="12"/>
    <x v="0"/>
    <x v="0"/>
  </r>
  <r>
    <x v="0"/>
    <s v="NWSL Halftime Sponsorship 2025"/>
    <s v="Billing Request- 00104146"/>
    <x v="5"/>
    <d v="2025-02-09T00:00:00"/>
    <d v="2025-05-15T00:00:00"/>
    <x v="0"/>
    <s v="a6Jat1846520"/>
    <x v="5"/>
    <s v="Mar; Apr"/>
    <s v="Invoice details mismatch with approved campaign."/>
    <n v="95"/>
    <x v="0"/>
    <x v="6"/>
    <x v="1"/>
    <x v="0"/>
  </r>
  <r>
    <x v="0"/>
    <s v="NFL Prime Video 2026"/>
    <s v="Billing Request- 00104148"/>
    <x v="8"/>
    <d v="2026-01-09T00:00:00"/>
    <d v="2026-02-21T00:00:00"/>
    <x v="0"/>
    <s v="a6Jat4987333"/>
    <x v="1"/>
    <s v="Jun"/>
    <s v="Late media plan changes from client."/>
    <n v="43"/>
    <x v="1"/>
    <x v="7"/>
    <x v="3"/>
    <x v="1"/>
  </r>
  <r>
    <x v="0"/>
    <s v="NASCAR Apex 2025 2025"/>
    <s v="Billing Request- 00104149"/>
    <x v="1"/>
    <d v="2025-05-18T00:00:00"/>
    <d v="2025-08-25T00:00:00"/>
    <x v="2"/>
    <s v="a6JHn2449914"/>
    <x v="5"/>
    <s v="Feb"/>
    <s v="Missing supporting documentation from vendor."/>
    <n v="99"/>
    <x v="0"/>
    <x v="4"/>
    <x v="0"/>
    <x v="0"/>
  </r>
  <r>
    <x v="3"/>
    <s v="NBA Playoffs Campaign 2025"/>
    <s v="Billing Request- 00104150"/>
    <x v="1"/>
    <d v="2025-07-21T00:00:00"/>
    <d v="2025-10-23T00:00:00"/>
    <x v="0"/>
    <s v="a6JHn2195924"/>
    <x v="6"/>
    <s v="Jul; Aug"/>
    <s v=""/>
    <n v="94"/>
    <x v="0"/>
    <x v="12"/>
    <x v="2"/>
    <x v="0"/>
  </r>
  <r>
    <x v="0"/>
    <s v="Retail Media Expansion 2025"/>
    <s v="Billing Request- 00104151"/>
    <x v="9"/>
    <d v="2025-04-03T00:00:00"/>
    <d v="2025-05-18T00:00:00"/>
    <x v="2"/>
    <s v="a6JXt2294835"/>
    <x v="5"/>
    <s v="Oct"/>
    <s v="Agency submitted updated invoice mapping."/>
    <n v="45"/>
    <x v="1"/>
    <x v="3"/>
    <x v="3"/>
    <x v="0"/>
  </r>
  <r>
    <x v="0"/>
    <s v="NBA League Pass 2026"/>
    <s v="Billing Request- 00104152"/>
    <x v="6"/>
    <d v="2026-02-03T00:00:00"/>
    <d v="2026-05-05T00:00:00"/>
    <x v="2"/>
    <s v="a6JXt8433649"/>
    <x v="1"/>
    <s v="Jul; Aug"/>
    <s v="Missing supporting documentation from vendor."/>
    <n v="91"/>
    <x v="0"/>
    <x v="1"/>
    <x v="2"/>
    <x v="1"/>
  </r>
  <r>
    <x v="0"/>
    <s v="Retail Media Expansion 2025"/>
    <s v="Billing Request- 00104154"/>
    <x v="7"/>
    <d v="2025-09-13T00:00:00"/>
    <d v="2025-11-27T00:00:00"/>
    <x v="0"/>
    <s v="a6Jat9619735"/>
    <x v="2"/>
    <s v="Jul"/>
    <s v="Finance validation process delay."/>
    <n v="75"/>
    <x v="0"/>
    <x v="14"/>
    <x v="3"/>
    <x v="0"/>
  </r>
  <r>
    <x v="4"/>
    <s v="TNF Sponsorship 2025"/>
    <s v="Billing Request- 00104155"/>
    <x v="3"/>
    <d v="2025-07-20T00:00:00"/>
    <d v="2025-11-06T00:00:00"/>
    <x v="2"/>
    <s v="a6JHn7956639"/>
    <x v="0"/>
    <s v="Jan; Feb"/>
    <s v=""/>
    <n v="109"/>
    <x v="0"/>
    <x v="12"/>
    <x v="4"/>
    <x v="0"/>
  </r>
  <r>
    <x v="0"/>
    <s v="Amazon NBA Live Sports 2026"/>
    <s v="Billing Request- 00104157"/>
    <x v="0"/>
    <d v="2026-01-04T00:00:00"/>
    <d v="2026-03-24T00:00:00"/>
    <x v="2"/>
    <s v="a6JHn1096085"/>
    <x v="4"/>
    <s v="Nov; Dec"/>
    <s v="Client requested retroactive billing adjustments."/>
    <n v="79"/>
    <x v="0"/>
    <x v="7"/>
    <x v="2"/>
    <x v="1"/>
  </r>
  <r>
    <x v="1"/>
    <s v="Amazon NBA Live Sports 2026"/>
    <s v="Billing Request- 00104159"/>
    <x v="0"/>
    <d v="2026-02-28T00:00:00"/>
    <d v="2026-05-08T00:00:00"/>
    <x v="0"/>
    <s v="a6JXt5669460"/>
    <x v="3"/>
    <s v="Sep"/>
    <s v="Agency submitted updated invoice mapping."/>
    <n v="69"/>
    <x v="0"/>
    <x v="1"/>
    <x v="2"/>
    <x v="1"/>
  </r>
  <r>
    <x v="0"/>
    <s v="NBA Playoffs Campaign 2025"/>
    <s v="Billing Request- 00104160"/>
    <x v="7"/>
    <d v="2025-08-02T00:00:00"/>
    <d v="2025-11-05T00:00:00"/>
    <x v="0"/>
    <s v="a6JHn9569129"/>
    <x v="4"/>
    <s v="Oct"/>
    <s v="Client requested retroactive billing adjustments."/>
    <n v="95"/>
    <x v="0"/>
    <x v="8"/>
    <x v="2"/>
    <x v="0"/>
  </r>
  <r>
    <x v="4"/>
    <s v="Confluence Academy 2025"/>
    <s v="Billing Request- 00104161"/>
    <x v="1"/>
    <d v="2025-03-31T00:00:00"/>
    <d v="2025-07-12T00:00:00"/>
    <x v="2"/>
    <s v="a6JHn9427898"/>
    <x v="2"/>
    <s v="Mar; Apr"/>
    <s v="Incorrect legal terms delayed PTS."/>
    <n v="103"/>
    <x v="0"/>
    <x v="13"/>
    <x v="3"/>
    <x v="0"/>
  </r>
  <r>
    <x v="0"/>
    <s v="Confluence Academy 2025"/>
    <s v="Billing Request- 00104162"/>
    <x v="4"/>
    <d v="2025-01-14T00:00:00"/>
    <d v="2025-03-31T00:00:00"/>
    <x v="2"/>
    <s v="a6Jat5408606"/>
    <x v="5"/>
    <s v="Jul"/>
    <s v="Manual billing entry issue."/>
    <n v="76"/>
    <x v="0"/>
    <x v="0"/>
    <x v="3"/>
    <x v="0"/>
  </r>
  <r>
    <x v="0"/>
    <s v="NBA League Pass 2025"/>
    <s v="Billing Request- 00104163"/>
    <x v="8"/>
    <d v="2025-04-01T00:00:00"/>
    <d v="2025-05-28T00:00:00"/>
    <x v="2"/>
    <s v="a6Jat4115166"/>
    <x v="3"/>
    <s v="Sep"/>
    <s v="Agency submitted updated invoice mapping."/>
    <n v="57"/>
    <x v="1"/>
    <x v="3"/>
    <x v="2"/>
    <x v="0"/>
  </r>
  <r>
    <x v="0"/>
    <s v="Amazon NBA Live Sports 2025"/>
    <s v="Billing Request- 00104164"/>
    <x v="6"/>
    <d v="2025-04-30T00:00:00"/>
    <d v="2025-08-11T00:00:00"/>
    <x v="0"/>
    <s v="a6Jat6291094"/>
    <x v="4"/>
    <s v="May"/>
    <s v="Invoice details mismatch with approved campaign."/>
    <n v="103"/>
    <x v="0"/>
    <x v="3"/>
    <x v="2"/>
    <x v="0"/>
  </r>
  <r>
    <x v="0"/>
    <s v="Prime Sports NFL 2025"/>
    <s v="Billing Request- 00104166"/>
    <x v="1"/>
    <d v="2025-12-26T00:00:00"/>
    <d v="2026-04-05T00:00:00"/>
    <x v="2"/>
    <s v="a6JHn6452424"/>
    <x v="4"/>
    <s v="Jul"/>
    <s v="Missing supporting documentation from vendor."/>
    <n v="100"/>
    <x v="0"/>
    <x v="11"/>
    <x v="3"/>
    <x v="0"/>
  </r>
  <r>
    <x v="0"/>
    <s v="NASCAR Apex 2025 2025"/>
    <s v="Billing Request- 00104167"/>
    <x v="9"/>
    <d v="2025-01-03T00:00:00"/>
    <d v="2025-04-08T00:00:00"/>
    <x v="2"/>
    <s v="a6JXt7813299"/>
    <x v="2"/>
    <s v="Oct"/>
    <s v="Finance validation process delay."/>
    <n v="95"/>
    <x v="0"/>
    <x v="0"/>
    <x v="0"/>
    <x v="0"/>
  </r>
  <r>
    <x v="0"/>
    <s v="NASCAR Apex 2025 2025"/>
    <s v="Billing Request- 00104169"/>
    <x v="7"/>
    <d v="2025-02-14T00:00:00"/>
    <d v="2025-04-24T00:00:00"/>
    <x v="2"/>
    <s v="a6Jat7891909"/>
    <x v="0"/>
    <s v="Sep; Oct"/>
    <s v="Invoice details mismatch with approved campaign."/>
    <n v="69"/>
    <x v="0"/>
    <x v="6"/>
    <x v="0"/>
    <x v="0"/>
  </r>
  <r>
    <x v="0"/>
    <s v="NWSL Prime Video 2026"/>
    <s v="Billing Request- 00104170"/>
    <x v="0"/>
    <d v="2026-01-17T00:00:00"/>
    <d v="2026-03-07T00:00:00"/>
    <x v="2"/>
    <s v="a6JXt2262112"/>
    <x v="0"/>
    <s v="Mar; Apr"/>
    <s v="Finance validation process delay."/>
    <n v="49"/>
    <x v="1"/>
    <x v="7"/>
    <x v="1"/>
    <x v="1"/>
  </r>
  <r>
    <x v="0"/>
    <s v="Amazon NBA Live Sports 2025"/>
    <s v="Billing Request- 00104171"/>
    <x v="1"/>
    <d v="2025-04-05T00:00:00"/>
    <d v="2025-04-23T00:00:00"/>
    <x v="2"/>
    <s v="a6JXt6829413"/>
    <x v="1"/>
    <s v="Oct"/>
    <s v="Manual billing entry issue."/>
    <n v="18"/>
    <x v="3"/>
    <x v="3"/>
    <x v="2"/>
    <x v="0"/>
  </r>
  <r>
    <x v="3"/>
    <s v="NASCAR P&amp;Q 2025"/>
    <s v="Billing Request- 00104172"/>
    <x v="0"/>
    <d v="2025-01-03T00:00:00"/>
    <d v="2025-04-08T00:00:00"/>
    <x v="2"/>
    <s v="a6Jat5978770"/>
    <x v="6"/>
    <s v="Mar; Apr"/>
    <s v="Agency submitted updated invoice mapping."/>
    <n v="95"/>
    <x v="0"/>
    <x v="0"/>
    <x v="0"/>
    <x v="0"/>
  </r>
  <r>
    <x v="0"/>
    <s v="NWSL Prime Video 2025"/>
    <s v="Billing Request- 00104173"/>
    <x v="5"/>
    <d v="2025-03-03T00:00:00"/>
    <d v="2025-05-06T00:00:00"/>
    <x v="0"/>
    <s v="a6JHn3481590"/>
    <x v="4"/>
    <s v="Apr"/>
    <s v="Agency submitted updated invoice mapping."/>
    <n v="64"/>
    <x v="0"/>
    <x v="13"/>
    <x v="1"/>
    <x v="0"/>
  </r>
  <r>
    <x v="0"/>
    <s v="Prime Sports NFL 2025"/>
    <s v="Billing Request- 00104174"/>
    <x v="7"/>
    <d v="2025-03-09T00:00:00"/>
    <d v="2025-05-31T00:00:00"/>
    <x v="2"/>
    <s v="a6JXt1474048"/>
    <x v="3"/>
    <s v="May; Jun"/>
    <s v="Manual billing entry issue."/>
    <n v="83"/>
    <x v="0"/>
    <x v="13"/>
    <x v="3"/>
    <x v="0"/>
  </r>
  <r>
    <x v="1"/>
    <s v="Prime Sports NFL 2026"/>
    <s v="Billing Request- 00104177"/>
    <x v="9"/>
    <d v="2026-03-17T00:00:00"/>
    <d v="2026-04-15T00:00:00"/>
    <x v="2"/>
    <s v="a6JXt2082255"/>
    <x v="4"/>
    <s v="Jul"/>
    <s v="Invoice details mismatch with approved campaign."/>
    <n v="29"/>
    <x v="3"/>
    <x v="2"/>
    <x v="3"/>
    <x v="1"/>
  </r>
  <r>
    <x v="0"/>
    <s v="Retail Media Expansion 2025"/>
    <s v="Billing Request- 00104179"/>
    <x v="0"/>
    <d v="2025-07-30T00:00:00"/>
    <d v="2025-10-08T00:00:00"/>
    <x v="2"/>
    <s v="a6JHn3230554"/>
    <x v="2"/>
    <s v="Sep"/>
    <s v="Invoice details mismatch with approved campaign."/>
    <n v="70"/>
    <x v="0"/>
    <x v="12"/>
    <x v="3"/>
    <x v="0"/>
  </r>
  <r>
    <x v="0"/>
    <s v="Global Consumer Products 2026"/>
    <s v="Billing Request- 00104180"/>
    <x v="0"/>
    <d v="2026-01-11T00:00:00"/>
    <d v="2026-02-03T00:00:00"/>
    <x v="2"/>
    <s v="a6JXt8006491"/>
    <x v="2"/>
    <s v="Apr"/>
    <s v=""/>
    <n v="23"/>
    <x v="3"/>
    <x v="7"/>
    <x v="3"/>
    <x v="1"/>
  </r>
  <r>
    <x v="0"/>
    <s v="NASCAR Apex 2025 2026"/>
    <s v="Billing Request- 00104181"/>
    <x v="7"/>
    <d v="2026-04-20T00:00:00"/>
    <d v="2026-05-08T00:00:00"/>
    <x v="2"/>
    <s v="a6JHn6406341"/>
    <x v="2"/>
    <s v="Mar; Apr"/>
    <s v="Invoice details mismatch with approved campaign."/>
    <n v="18"/>
    <x v="3"/>
    <x v="10"/>
    <x v="0"/>
    <x v="1"/>
  </r>
  <r>
    <x v="0"/>
    <s v="NASCAR P&amp;Q 2025"/>
    <s v="Billing Request- 00104183"/>
    <x v="9"/>
    <d v="2025-01-06T00:00:00"/>
    <d v="2025-02-16T00:00:00"/>
    <x v="0"/>
    <s v="a6JHn4974956"/>
    <x v="0"/>
    <s v="Mar"/>
    <s v="Agency submitted updated invoice mapping."/>
    <n v="41"/>
    <x v="1"/>
    <x v="0"/>
    <x v="0"/>
    <x v="0"/>
  </r>
  <r>
    <x v="0"/>
    <s v="Prime Sports NFL 2025"/>
    <s v="Billing Request- 00104184"/>
    <x v="1"/>
    <d v="2025-05-13T00:00:00"/>
    <d v="2025-07-14T00:00:00"/>
    <x v="0"/>
    <s v="a6JHn5015458"/>
    <x v="4"/>
    <s v="Apr"/>
    <s v="Finance validation process delay."/>
    <n v="62"/>
    <x v="0"/>
    <x v="4"/>
    <x v="3"/>
    <x v="0"/>
  </r>
  <r>
    <x v="0"/>
    <s v="NWSL Prime Video 2026"/>
    <s v="Billing Request- 00104185"/>
    <x v="4"/>
    <d v="2026-03-19T00:00:00"/>
    <d v="2026-05-09T00:00:00"/>
    <x v="2"/>
    <s v="a6JHn3362392"/>
    <x v="3"/>
    <s v="Mar"/>
    <s v=""/>
    <n v="51"/>
    <x v="1"/>
    <x v="2"/>
    <x v="1"/>
    <x v="1"/>
  </r>
  <r>
    <x v="0"/>
    <s v="Amazon TNF 2024 2025"/>
    <s v="Billing Request- 00104186"/>
    <x v="6"/>
    <d v="2025-11-10T00:00:00"/>
    <d v="2025-12-06T00:00:00"/>
    <x v="0"/>
    <s v="a6JXt8587744"/>
    <x v="2"/>
    <s v="Nov; Dec"/>
    <s v="Missing supporting documentation from vendor."/>
    <n v="26"/>
    <x v="3"/>
    <x v="15"/>
    <x v="4"/>
    <x v="0"/>
  </r>
  <r>
    <x v="0"/>
    <s v="Amazon TNF 2024 2025"/>
    <s v="Billing Request- 00104187"/>
    <x v="7"/>
    <d v="2025-09-09T00:00:00"/>
    <d v="2025-10-13T00:00:00"/>
    <x v="2"/>
    <s v="a6JHn6780089"/>
    <x v="6"/>
    <s v="May; Jun"/>
    <s v="Invoice details mismatch with approved campaign."/>
    <n v="34"/>
    <x v="1"/>
    <x v="14"/>
    <x v="4"/>
    <x v="0"/>
  </r>
  <r>
    <x v="0"/>
    <s v="NWSL Halftime Sponsorship 2025"/>
    <s v="Billing Request- 00104188"/>
    <x v="4"/>
    <d v="2025-01-01T00:00:00"/>
    <d v="2025-02-04T00:00:00"/>
    <x v="2"/>
    <s v="a6Jat5560942"/>
    <x v="4"/>
    <s v="May; Jun"/>
    <s v="Agency submitted updated invoice mapping."/>
    <n v="34"/>
    <x v="1"/>
    <x v="0"/>
    <x v="1"/>
    <x v="0"/>
  </r>
  <r>
    <x v="0"/>
    <s v="NASCAR Apex 2025 2026"/>
    <s v="Billing Request- 00104189"/>
    <x v="1"/>
    <d v="2026-05-03T00:00:00"/>
    <d v="2026-05-07T00:00:00"/>
    <x v="2"/>
    <s v="a6Jat5937075"/>
    <x v="3"/>
    <s v="May"/>
    <s v="Invoice details mismatch with approved campaign."/>
    <n v="4"/>
    <x v="2"/>
    <x v="16"/>
    <x v="0"/>
    <x v="1"/>
  </r>
  <r>
    <x v="0"/>
    <s v="NASCAR Apex 2025 2026"/>
    <s v="Billing Request- 00104190"/>
    <x v="3"/>
    <d v="2026-01-16T00:00:00"/>
    <d v="2026-04-05T00:00:00"/>
    <x v="0"/>
    <s v="a6Jat4658577"/>
    <x v="3"/>
    <s v="Nov"/>
    <s v="Agency submitted updated invoice mapping."/>
    <n v="79"/>
    <x v="0"/>
    <x v="7"/>
    <x v="0"/>
    <x v="1"/>
  </r>
  <r>
    <x v="2"/>
    <s v="WNBA Incremental Scatter 2025"/>
    <s v="Billing Request- 00104191"/>
    <x v="8"/>
    <d v="2025-09-25T00:00:00"/>
    <d v="2025-10-19T00:00:00"/>
    <x v="2"/>
    <s v="a6JXt8172263"/>
    <x v="5"/>
    <s v="Jul"/>
    <s v="Late media plan changes from client."/>
    <n v="24"/>
    <x v="3"/>
    <x v="14"/>
    <x v="2"/>
    <x v="0"/>
  </r>
  <r>
    <x v="0"/>
    <s v="Retail Media Expansion 2025"/>
    <s v="Billing Request- 00104193"/>
    <x v="7"/>
    <d v="2025-07-20T00:00:00"/>
    <d v="2025-10-19T00:00:00"/>
    <x v="0"/>
    <s v="a6JXt5525937"/>
    <x v="0"/>
    <s v="Mar; Apr"/>
    <s v="Manual billing entry issue."/>
    <n v="91"/>
    <x v="0"/>
    <x v="12"/>
    <x v="3"/>
    <x v="0"/>
  </r>
  <r>
    <x v="0"/>
    <s v="NWSL Halftime Sponsorship 2025"/>
    <s v="Billing Request- 00104194"/>
    <x v="7"/>
    <d v="2025-04-01T00:00:00"/>
    <d v="2025-06-05T00:00:00"/>
    <x v="0"/>
    <s v="a6JHn7222910"/>
    <x v="2"/>
    <s v="Nov"/>
    <s v="Invoice details mismatch with approved campaign."/>
    <n v="65"/>
    <x v="0"/>
    <x v="3"/>
    <x v="1"/>
    <x v="0"/>
  </r>
  <r>
    <x v="4"/>
    <s v="NASCAR Apex 2025 2025"/>
    <s v="Billing Request- 00104195"/>
    <x v="0"/>
    <d v="2025-04-10T00:00:00"/>
    <d v="2025-06-27T00:00:00"/>
    <x v="2"/>
    <s v="a6JXt9747187"/>
    <x v="3"/>
    <s v="Sep; Oct"/>
    <s v="Agency submitted updated invoice mapping."/>
    <n v="78"/>
    <x v="0"/>
    <x v="3"/>
    <x v="0"/>
    <x v="0"/>
  </r>
  <r>
    <x v="0"/>
    <s v="WNBA Incremental Scatter 2025"/>
    <s v="Billing Request- 00104196"/>
    <x v="3"/>
    <d v="2025-10-03T00:00:00"/>
    <d v="2025-11-25T00:00:00"/>
    <x v="0"/>
    <s v="a6JXt3524451"/>
    <x v="3"/>
    <s v="Nov"/>
    <s v="Late media plan changes from client."/>
    <n v="53"/>
    <x v="1"/>
    <x v="5"/>
    <x v="2"/>
    <x v="0"/>
  </r>
  <r>
    <x v="0"/>
    <s v="NWSL Prime Video 2026"/>
    <s v="Billing Request- 00104200"/>
    <x v="4"/>
    <d v="2026-03-01T00:00:00"/>
    <d v="2026-03-08T00:00:00"/>
    <x v="2"/>
    <s v="a6JHn2290474"/>
    <x v="5"/>
    <s v="Jan"/>
    <s v="Missing supporting documentation from vendor."/>
    <n v="7"/>
    <x v="2"/>
    <x v="2"/>
    <x v="1"/>
    <x v="1"/>
  </r>
  <r>
    <x v="0"/>
    <s v="TNF Sponsorship 2025"/>
    <s v="Billing Request- 00104201"/>
    <x v="9"/>
    <d v="2025-07-01T00:00:00"/>
    <d v="2025-10-08T00:00:00"/>
    <x v="2"/>
    <s v="a6Jat5705844"/>
    <x v="6"/>
    <s v="Dec"/>
    <s v="Client requested retroactive billing adjustments."/>
    <n v="99"/>
    <x v="0"/>
    <x v="12"/>
    <x v="4"/>
    <x v="0"/>
  </r>
  <r>
    <x v="0"/>
    <s v="NWSL Halftime Sponsorship 2025"/>
    <s v="Billing Request- 00104204"/>
    <x v="6"/>
    <d v="2025-12-12T00:00:00"/>
    <d v="2026-03-29T00:00:00"/>
    <x v="2"/>
    <s v="a6JHn7209986"/>
    <x v="4"/>
    <s v="Aug"/>
    <s v="Finance validation process delay."/>
    <n v="107"/>
    <x v="0"/>
    <x v="11"/>
    <x v="1"/>
    <x v="0"/>
  </r>
  <r>
    <x v="0"/>
    <s v="TNF Sponsorship 2025"/>
    <s v="Billing Request- 00104205"/>
    <x v="2"/>
    <d v="2025-12-22T00:00:00"/>
    <d v="2026-03-12T00:00:00"/>
    <x v="0"/>
    <s v="a6JHn9054559"/>
    <x v="3"/>
    <s v="Jan; Feb"/>
    <s v=""/>
    <n v="80"/>
    <x v="0"/>
    <x v="11"/>
    <x v="4"/>
    <x v="0"/>
  </r>
  <r>
    <x v="0"/>
    <s v="DirecTV NASCAR Campaign 2025"/>
    <s v="Billing Request- 00104208"/>
    <x v="2"/>
    <d v="2025-05-11T00:00:00"/>
    <d v="2025-08-04T00:00:00"/>
    <x v="2"/>
    <s v="a6JXt5078309"/>
    <x v="6"/>
    <s v="Jul; Aug"/>
    <s v="Finance validation process delay."/>
    <n v="85"/>
    <x v="0"/>
    <x v="4"/>
    <x v="0"/>
    <x v="0"/>
  </r>
  <r>
    <x v="0"/>
    <s v="NBA League Pass 2025"/>
    <s v="Billing Request- 00104209"/>
    <x v="8"/>
    <d v="2025-11-17T00:00:00"/>
    <d v="2025-12-12T00:00:00"/>
    <x v="0"/>
    <s v="a6JXt1712562"/>
    <x v="6"/>
    <s v="Nov; Dec"/>
    <s v="Agency submitted updated invoice mapping."/>
    <n v="25"/>
    <x v="3"/>
    <x v="15"/>
    <x v="2"/>
    <x v="0"/>
  </r>
  <r>
    <x v="0"/>
    <s v="Retail Media Expansion 2026"/>
    <s v="Billing Request- 00104210"/>
    <x v="7"/>
    <d v="2026-01-26T00:00:00"/>
    <d v="2026-04-17T00:00:00"/>
    <x v="2"/>
    <s v="a6Jat8278516"/>
    <x v="5"/>
    <s v="Jun"/>
    <s v="Manual billing entry issue."/>
    <n v="81"/>
    <x v="0"/>
    <x v="7"/>
    <x v="3"/>
    <x v="1"/>
  </r>
  <r>
    <x v="0"/>
    <s v="NWSL Halftime Sponsorship 2025"/>
    <s v="Billing Request- 00104212"/>
    <x v="8"/>
    <d v="2025-07-24T00:00:00"/>
    <d v="2025-10-06T00:00:00"/>
    <x v="2"/>
    <s v="a6JXt6970645"/>
    <x v="5"/>
    <s v="Nov"/>
    <s v="Manual billing entry issue."/>
    <n v="74"/>
    <x v="0"/>
    <x v="12"/>
    <x v="1"/>
    <x v="0"/>
  </r>
  <r>
    <x v="0"/>
    <s v="Amazon TNF 2024 2026"/>
    <s v="Billing Request- 00104213"/>
    <x v="8"/>
    <d v="2026-04-19T00:00:00"/>
    <d v="2026-05-07T00:00:00"/>
    <x v="0"/>
    <s v="a6JHn5898627"/>
    <x v="2"/>
    <s v="Jun"/>
    <s v=""/>
    <n v="18"/>
    <x v="3"/>
    <x v="10"/>
    <x v="4"/>
    <x v="1"/>
  </r>
  <r>
    <x v="0"/>
    <s v="NWSL Halftime Sponsorship 2025"/>
    <s v="Billing Request- 00104214"/>
    <x v="3"/>
    <d v="2025-10-31T00:00:00"/>
    <d v="2026-01-12T00:00:00"/>
    <x v="2"/>
    <s v="a6Jat4884626"/>
    <x v="2"/>
    <s v="Sep"/>
    <s v="Agency submitted updated invoice mapping."/>
    <n v="73"/>
    <x v="0"/>
    <x v="5"/>
    <x v="1"/>
    <x v="0"/>
  </r>
  <r>
    <x v="0"/>
    <s v="NWSL Halftime Sponsorship 2025"/>
    <s v="Billing Request- 00104216"/>
    <x v="7"/>
    <d v="2025-07-06T00:00:00"/>
    <d v="2025-10-13T00:00:00"/>
    <x v="2"/>
    <s v="a6Jat6704104"/>
    <x v="5"/>
    <s v="Mar"/>
    <s v="Client requested retroactive billing adjustments."/>
    <n v="99"/>
    <x v="0"/>
    <x v="12"/>
    <x v="1"/>
    <x v="0"/>
  </r>
  <r>
    <x v="3"/>
    <s v="NBA Playoffs Campaign 2025"/>
    <s v="Billing Request- 00104217"/>
    <x v="7"/>
    <d v="2025-09-04T00:00:00"/>
    <d v="2025-10-03T00:00:00"/>
    <x v="2"/>
    <s v="a6JHn6368048"/>
    <x v="1"/>
    <s v="Oct"/>
    <s v=""/>
    <n v="29"/>
    <x v="3"/>
    <x v="14"/>
    <x v="2"/>
    <x v="0"/>
  </r>
  <r>
    <x v="0"/>
    <s v="DirecTV NASCAR Campaign 2025"/>
    <s v="Billing Request- 00104218"/>
    <x v="7"/>
    <d v="2025-04-02T00:00:00"/>
    <d v="2025-06-30T00:00:00"/>
    <x v="2"/>
    <s v="a6JXt3873429"/>
    <x v="5"/>
    <s v="Dec"/>
    <s v=""/>
    <n v="89"/>
    <x v="0"/>
    <x v="3"/>
    <x v="0"/>
    <x v="0"/>
  </r>
  <r>
    <x v="0"/>
    <s v="WNBA Incremental Scatter 2025"/>
    <s v="Billing Request- 00104219"/>
    <x v="2"/>
    <d v="2025-06-19T00:00:00"/>
    <d v="2025-09-22T00:00:00"/>
    <x v="0"/>
    <s v="a6Jat7109313"/>
    <x v="3"/>
    <s v="Oct"/>
    <s v=""/>
    <n v="95"/>
    <x v="0"/>
    <x v="9"/>
    <x v="2"/>
    <x v="0"/>
  </r>
  <r>
    <x v="0"/>
    <s v="Prime Sports NFL 2026"/>
    <s v="Billing Request- 00104220"/>
    <x v="4"/>
    <d v="2026-05-06T00:00:00"/>
    <d v="2026-05-08T00:00:00"/>
    <x v="2"/>
    <s v="a6JXt8822168"/>
    <x v="4"/>
    <s v="May"/>
    <s v="Agency submitted updated invoice mapping."/>
    <n v="2"/>
    <x v="2"/>
    <x v="16"/>
    <x v="3"/>
    <x v="1"/>
  </r>
  <r>
    <x v="0"/>
    <s v="NASCAR Apex 2025 2026"/>
    <s v="Billing Request- 00104223"/>
    <x v="9"/>
    <d v="2026-04-27T00:00:00"/>
    <d v="2026-05-05T00:00:00"/>
    <x v="2"/>
    <s v="a6Jat3613245"/>
    <x v="4"/>
    <s v="May; Jun"/>
    <s v="Client requested retroactive billing adjustments."/>
    <n v="8"/>
    <x v="4"/>
    <x v="10"/>
    <x v="0"/>
    <x v="1"/>
  </r>
  <r>
    <x v="0"/>
    <s v="Streaming Bundle Initiative 2025"/>
    <s v="Billing Request- 00104224"/>
    <x v="7"/>
    <d v="2025-09-10T00:00:00"/>
    <d v="2025-12-17T00:00:00"/>
    <x v="1"/>
    <s v="a6JXt4549300"/>
    <x v="2"/>
    <s v="Jan"/>
    <s v="Agency submitted updated invoice mapping."/>
    <n v="98"/>
    <x v="0"/>
    <x v="14"/>
    <x v="3"/>
    <x v="0"/>
  </r>
  <r>
    <x v="0"/>
    <s v="NBA Playoffs Campaign 2025"/>
    <s v="Billing Request- 00104226"/>
    <x v="3"/>
    <d v="2025-02-20T00:00:00"/>
    <d v="2025-06-10T00:00:00"/>
    <x v="2"/>
    <s v="a6JXt6832097"/>
    <x v="4"/>
    <s v="Dec"/>
    <s v="Missing supporting documentation from vendor."/>
    <n v="110"/>
    <x v="0"/>
    <x v="6"/>
    <x v="2"/>
    <x v="0"/>
  </r>
  <r>
    <x v="0"/>
    <s v="NFL Prime Video 2026"/>
    <s v="Billing Request- 00104227"/>
    <x v="0"/>
    <d v="2026-04-12T00:00:00"/>
    <d v="2026-05-03T00:00:00"/>
    <x v="0"/>
    <s v="a6JXt1551595"/>
    <x v="2"/>
    <s v="Oct"/>
    <s v="Late media plan changes from client."/>
    <n v="21"/>
    <x v="3"/>
    <x v="10"/>
    <x v="3"/>
    <x v="1"/>
  </r>
  <r>
    <x v="0"/>
    <s v="DirecTV NASCAR Campaign 2026"/>
    <s v="Billing Request- 00104229"/>
    <x v="9"/>
    <d v="2026-03-16T00:00:00"/>
    <d v="2026-05-05T00:00:00"/>
    <x v="2"/>
    <s v="a6JHn8331105"/>
    <x v="5"/>
    <s v="Dec"/>
    <s v="Invoice details mismatch with approved campaign."/>
    <n v="50"/>
    <x v="1"/>
    <x v="2"/>
    <x v="0"/>
    <x v="1"/>
  </r>
  <r>
    <x v="0"/>
    <s v="TNF Sponsorship 2025"/>
    <s v="Billing Request- 00104230"/>
    <x v="9"/>
    <d v="2025-09-06T00:00:00"/>
    <d v="2025-12-08T00:00:00"/>
    <x v="2"/>
    <s v="a6JHn1876726"/>
    <x v="0"/>
    <s v="Mar; Apr"/>
    <s v="Late media plan changes from client."/>
    <n v="93"/>
    <x v="0"/>
    <x v="14"/>
    <x v="4"/>
    <x v="0"/>
  </r>
  <r>
    <x v="0"/>
    <s v="DirecTV NASCAR Campaign 2026"/>
    <s v="Billing Request- 00104231"/>
    <x v="9"/>
    <d v="2026-01-18T00:00:00"/>
    <d v="2026-01-31T00:00:00"/>
    <x v="2"/>
    <s v="a6Jat6559588"/>
    <x v="5"/>
    <s v="May; Jun"/>
    <s v="Client requested retroactive billing adjustments."/>
    <n v="13"/>
    <x v="4"/>
    <x v="7"/>
    <x v="0"/>
    <x v="1"/>
  </r>
  <r>
    <x v="1"/>
    <s v="NASCAR Apex 2025 2025"/>
    <s v="Billing Request- 00104232"/>
    <x v="3"/>
    <d v="2025-03-26T00:00:00"/>
    <d v="2025-05-20T00:00:00"/>
    <x v="2"/>
    <s v="a6JHn1778233"/>
    <x v="6"/>
    <s v="Oct"/>
    <s v="Missing supporting documentation from vendor."/>
    <n v="55"/>
    <x v="1"/>
    <x v="13"/>
    <x v="0"/>
    <x v="0"/>
  </r>
  <r>
    <x v="0"/>
    <s v="NWSL Halftime Sponsorship 2025"/>
    <s v="Billing Request- 00104233"/>
    <x v="6"/>
    <d v="2025-01-04T00:00:00"/>
    <d v="2025-04-03T00:00:00"/>
    <x v="0"/>
    <s v="a6Jat9464621"/>
    <x v="6"/>
    <s v="Oct"/>
    <s v="Incorrect legal terms delayed PTS."/>
    <n v="89"/>
    <x v="0"/>
    <x v="0"/>
    <x v="1"/>
    <x v="0"/>
  </r>
  <r>
    <x v="0"/>
    <s v="NFL Prime Video 2025"/>
    <s v="Billing Request- 00104234"/>
    <x v="5"/>
    <d v="2025-08-26T00:00:00"/>
    <d v="2025-10-08T00:00:00"/>
    <x v="2"/>
    <s v="a6Jat6614157"/>
    <x v="6"/>
    <s v="Jun"/>
    <s v="Manual billing entry issue."/>
    <n v="43"/>
    <x v="1"/>
    <x v="8"/>
    <x v="3"/>
    <x v="0"/>
  </r>
  <r>
    <x v="0"/>
    <s v="NASCAR Apex 2025 2025"/>
    <s v="Billing Request- 00104235"/>
    <x v="9"/>
    <d v="2025-03-31T00:00:00"/>
    <d v="2025-06-14T00:00:00"/>
    <x v="2"/>
    <s v="a6Jat9264613"/>
    <x v="4"/>
    <s v="Nov"/>
    <s v="Incorrect legal terms delayed PTS."/>
    <n v="75"/>
    <x v="0"/>
    <x v="13"/>
    <x v="0"/>
    <x v="0"/>
  </r>
  <r>
    <x v="4"/>
    <s v="DirecTV NASCAR Campaign 2026"/>
    <s v="Billing Request- 00104236"/>
    <x v="5"/>
    <d v="2026-03-17T00:00:00"/>
    <d v="2026-05-06T00:00:00"/>
    <x v="0"/>
    <s v="a6JHn2636535"/>
    <x v="2"/>
    <s v="Nov"/>
    <s v="Late media plan changes from client."/>
    <n v="50"/>
    <x v="1"/>
    <x v="2"/>
    <x v="0"/>
    <x v="1"/>
  </r>
  <r>
    <x v="0"/>
    <s v="NBA League Pass 2025"/>
    <s v="Billing Request- 00104237"/>
    <x v="3"/>
    <d v="2025-10-14T00:00:00"/>
    <d v="2025-12-30T00:00:00"/>
    <x v="0"/>
    <s v="a6Jat6561590"/>
    <x v="1"/>
    <s v="Oct"/>
    <s v="Incorrect legal terms delayed PTS."/>
    <n v="77"/>
    <x v="0"/>
    <x v="5"/>
    <x v="2"/>
    <x v="0"/>
  </r>
  <r>
    <x v="0"/>
    <s v="DirecTV NASCAR Campaign 2025"/>
    <s v="Billing Request- 00104238"/>
    <x v="3"/>
    <d v="2025-06-27T00:00:00"/>
    <d v="2025-07-26T00:00:00"/>
    <x v="0"/>
    <s v="a6Jat3239261"/>
    <x v="2"/>
    <s v="Jul; Aug"/>
    <s v="Invoice details mismatch with approved campaign."/>
    <n v="29"/>
    <x v="3"/>
    <x v="9"/>
    <x v="0"/>
    <x v="0"/>
  </r>
  <r>
    <x v="0"/>
    <s v="NWSL Halftime Sponsorship 2025"/>
    <s v="Billing Request- 00104241"/>
    <x v="4"/>
    <d v="2025-06-14T00:00:00"/>
    <d v="2025-08-31T00:00:00"/>
    <x v="2"/>
    <s v="a6JXt5516273"/>
    <x v="6"/>
    <s v="Dec"/>
    <s v="Finance validation process delay."/>
    <n v="78"/>
    <x v="0"/>
    <x v="9"/>
    <x v="1"/>
    <x v="0"/>
  </r>
  <r>
    <x v="1"/>
    <s v="DirecTV NASCAR Campaign 2025"/>
    <s v="Billing Request- 00104242"/>
    <x v="5"/>
    <d v="2025-09-24T00:00:00"/>
    <d v="2025-10-21T00:00:00"/>
    <x v="2"/>
    <s v="a6JXt5572662"/>
    <x v="6"/>
    <s v="Jan"/>
    <s v="Late media plan changes from client."/>
    <n v="27"/>
    <x v="3"/>
    <x v="14"/>
    <x v="0"/>
    <x v="0"/>
  </r>
  <r>
    <x v="0"/>
    <s v="NASCAR P&amp;Q 2025"/>
    <s v="Billing Request- 00104244"/>
    <x v="0"/>
    <d v="2025-03-31T00:00:00"/>
    <d v="2025-05-12T00:00:00"/>
    <x v="2"/>
    <s v="a6JHn3026641"/>
    <x v="6"/>
    <s v="Jul"/>
    <s v="Finance validation process delay."/>
    <n v="42"/>
    <x v="1"/>
    <x v="13"/>
    <x v="0"/>
    <x v="0"/>
  </r>
  <r>
    <x v="1"/>
    <s v="NWSL Halftime Sponsorship 2025"/>
    <s v="Billing Request- 00104245"/>
    <x v="4"/>
    <d v="2025-08-18T00:00:00"/>
    <d v="2025-11-24T00:00:00"/>
    <x v="0"/>
    <s v="a6JXt7359802"/>
    <x v="1"/>
    <s v="Jan; Feb"/>
    <s v="Incorrect legal terms delayed PTS."/>
    <n v="98"/>
    <x v="0"/>
    <x v="8"/>
    <x v="1"/>
    <x v="0"/>
  </r>
  <r>
    <x v="0"/>
    <s v="NFL Prime Video 2026"/>
    <s v="Billing Request- 00104246"/>
    <x v="3"/>
    <d v="2026-04-19T00:00:00"/>
    <d v="2026-05-07T00:00:00"/>
    <x v="0"/>
    <s v="a6Jat5404929"/>
    <x v="4"/>
    <s v="Jan; Feb"/>
    <s v="Invoice details mismatch with approved campaign."/>
    <n v="18"/>
    <x v="3"/>
    <x v="10"/>
    <x v="3"/>
    <x v="1"/>
  </r>
  <r>
    <x v="0"/>
    <s v="Retail Media Expansion 2026"/>
    <s v="Billing Request- 00104247"/>
    <x v="0"/>
    <d v="2026-04-03T00:00:00"/>
    <d v="2026-05-07T00:00:00"/>
    <x v="0"/>
    <s v="a6JXt7865702"/>
    <x v="5"/>
    <s v="May"/>
    <s v="Agency submitted updated invoice mapping."/>
    <n v="34"/>
    <x v="1"/>
    <x v="10"/>
    <x v="3"/>
    <x v="1"/>
  </r>
  <r>
    <x v="0"/>
    <s v="NASCAR Apex 2025 2025"/>
    <s v="Billing Request- 00104248"/>
    <x v="9"/>
    <d v="2025-12-03T00:00:00"/>
    <d v="2025-12-18T00:00:00"/>
    <x v="0"/>
    <s v="a6JHn1480221"/>
    <x v="6"/>
    <s v="Sep; Oct"/>
    <s v="Agency submitted updated invoice mapping."/>
    <n v="15"/>
    <x v="3"/>
    <x v="11"/>
    <x v="0"/>
    <x v="0"/>
  </r>
  <r>
    <x v="0"/>
    <s v="NFL Prime Video 2025"/>
    <s v="Billing Request- 00104249"/>
    <x v="4"/>
    <d v="2025-03-05T00:00:00"/>
    <d v="2025-03-08T00:00:00"/>
    <x v="2"/>
    <s v="a6Jat3306968"/>
    <x v="5"/>
    <s v="Sep"/>
    <s v="Invoice details mismatch with approved campaign."/>
    <n v="3"/>
    <x v="2"/>
    <x v="13"/>
    <x v="3"/>
    <x v="0"/>
  </r>
  <r>
    <x v="0"/>
    <s v="NASCAR Apex 2025 2026"/>
    <s v="Billing Request- 00104250"/>
    <x v="3"/>
    <d v="2026-04-09T00:00:00"/>
    <d v="2026-05-09T00:00:00"/>
    <x v="2"/>
    <s v="a6JHn4266065"/>
    <x v="3"/>
    <s v="Mar; Apr"/>
    <s v="Manual billing entry issue."/>
    <n v="30"/>
    <x v="3"/>
    <x v="10"/>
    <x v="0"/>
    <x v="1"/>
  </r>
  <r>
    <x v="0"/>
    <s v="Amazon TNF 2024 2025"/>
    <s v="Billing Request- 00104252"/>
    <x v="5"/>
    <d v="2025-02-15T00:00:00"/>
    <d v="2025-05-07T00:00:00"/>
    <x v="2"/>
    <s v="a6JHn6466017"/>
    <x v="4"/>
    <s v="Jul"/>
    <s v="Incorrect legal terms delayed PTS."/>
    <n v="81"/>
    <x v="0"/>
    <x v="6"/>
    <x v="4"/>
    <x v="0"/>
  </r>
  <r>
    <x v="0"/>
    <s v="NASCAR Apex 2025 2026"/>
    <s v="Billing Request- 00104255"/>
    <x v="6"/>
    <d v="2026-02-16T00:00:00"/>
    <d v="2026-05-09T00:00:00"/>
    <x v="0"/>
    <s v="a6JXt5013490"/>
    <x v="6"/>
    <s v="Jul; Aug"/>
    <s v=""/>
    <n v="82"/>
    <x v="0"/>
    <x v="1"/>
    <x v="0"/>
    <x v="1"/>
  </r>
  <r>
    <x v="0"/>
    <s v="DirecTV NASCAR Campaign 2026"/>
    <s v="Billing Request- 00104256"/>
    <x v="5"/>
    <d v="2026-01-26T00:00:00"/>
    <d v="2026-03-21T00:00:00"/>
    <x v="2"/>
    <s v="a6Jat5880679"/>
    <x v="2"/>
    <s v="Nov"/>
    <s v="Client requested retroactive billing adjustments."/>
    <n v="54"/>
    <x v="1"/>
    <x v="7"/>
    <x v="0"/>
    <x v="1"/>
  </r>
  <r>
    <x v="0"/>
    <s v="NFL Prime Video 2026"/>
    <s v="Billing Request- 00104258"/>
    <x v="4"/>
    <d v="2026-02-27T00:00:00"/>
    <d v="2026-05-04T00:00:00"/>
    <x v="0"/>
    <s v="a6Jat5319204"/>
    <x v="4"/>
    <s v="Feb"/>
    <s v="Invoice details mismatch with approved campaign."/>
    <n v="66"/>
    <x v="0"/>
    <x v="1"/>
    <x v="3"/>
    <x v="1"/>
  </r>
  <r>
    <x v="0"/>
    <s v="NBA League Pass 2025"/>
    <s v="Billing Request- 00104259"/>
    <x v="7"/>
    <d v="2025-08-31T00:00:00"/>
    <d v="2025-11-13T00:00:00"/>
    <x v="0"/>
    <s v="a6JHn4745196"/>
    <x v="4"/>
    <s v="Dec"/>
    <s v=""/>
    <n v="74"/>
    <x v="0"/>
    <x v="8"/>
    <x v="2"/>
    <x v="0"/>
  </r>
  <r>
    <x v="0"/>
    <s v="WNBA Incremental Scatter 2025"/>
    <s v="Billing Request- 00104261"/>
    <x v="9"/>
    <d v="2025-05-28T00:00:00"/>
    <d v="2025-07-19T00:00:00"/>
    <x v="1"/>
    <s v="a6Jat1898295"/>
    <x v="4"/>
    <s v="Feb"/>
    <s v=""/>
    <n v="52"/>
    <x v="1"/>
    <x v="4"/>
    <x v="2"/>
    <x v="0"/>
  </r>
  <r>
    <x v="3"/>
    <s v="NFL Prime Video 2025"/>
    <s v="Billing Request- 00104263"/>
    <x v="1"/>
    <d v="2025-10-22T00:00:00"/>
    <d v="2025-11-08T00:00:00"/>
    <x v="2"/>
    <s v="a6JXt2684615"/>
    <x v="4"/>
    <s v="Sep"/>
    <s v="Late media plan changes from client."/>
    <n v="17"/>
    <x v="3"/>
    <x v="5"/>
    <x v="3"/>
    <x v="0"/>
  </r>
  <r>
    <x v="0"/>
    <s v="Global Consumer Products 2026"/>
    <s v="Billing Request- 00104264"/>
    <x v="3"/>
    <d v="2026-04-07T00:00:00"/>
    <d v="2026-05-04T00:00:00"/>
    <x v="2"/>
    <s v="a6JXt2386127"/>
    <x v="3"/>
    <s v="Sep; Oct"/>
    <s v="Late media plan changes from client."/>
    <n v="27"/>
    <x v="3"/>
    <x v="10"/>
    <x v="3"/>
    <x v="1"/>
  </r>
  <r>
    <x v="0"/>
    <s v="Global Consumer Products 2025"/>
    <s v="Billing Request- 00104265"/>
    <x v="8"/>
    <d v="2025-12-09T00:00:00"/>
    <d v="2026-04-05T00:00:00"/>
    <x v="2"/>
    <s v="a6JHn5944968"/>
    <x v="1"/>
    <s v="May"/>
    <s v="Client requested retroactive billing adjustments."/>
    <n v="117"/>
    <x v="0"/>
    <x v="11"/>
    <x v="3"/>
    <x v="0"/>
  </r>
  <r>
    <x v="0"/>
    <s v="NASCAR Apex 2025 2026"/>
    <s v="Billing Request- 00104267"/>
    <x v="2"/>
    <d v="2026-04-09T00:00:00"/>
    <d v="2026-05-09T00:00:00"/>
    <x v="2"/>
    <s v="a6JHn9136793"/>
    <x v="5"/>
    <s v="Mar"/>
    <s v="Late media plan changes from client."/>
    <n v="30"/>
    <x v="3"/>
    <x v="10"/>
    <x v="0"/>
    <x v="1"/>
  </r>
  <r>
    <x v="0"/>
    <s v="Amazon NBA Live Sports 2025"/>
    <s v="Billing Request- 00104268"/>
    <x v="4"/>
    <d v="2025-03-23T00:00:00"/>
    <d v="2025-05-03T00:00:00"/>
    <x v="2"/>
    <s v="a6Jat4847644"/>
    <x v="3"/>
    <s v="Aug"/>
    <s v="Incorrect legal terms delayed PTS."/>
    <n v="41"/>
    <x v="1"/>
    <x v="13"/>
    <x v="2"/>
    <x v="0"/>
  </r>
  <r>
    <x v="0"/>
    <s v="WNBA Incremental Scatter 2025"/>
    <s v="Billing Request- 00104269"/>
    <x v="0"/>
    <d v="2025-10-13T00:00:00"/>
    <d v="2025-11-20T00:00:00"/>
    <x v="2"/>
    <s v="a6Jat8329397"/>
    <x v="5"/>
    <s v="Jul; Aug"/>
    <s v="Invoice details mismatch with approved campaign."/>
    <n v="38"/>
    <x v="1"/>
    <x v="5"/>
    <x v="2"/>
    <x v="0"/>
  </r>
  <r>
    <x v="0"/>
    <s v="Prime Sports NFL 2026"/>
    <s v="Billing Request- 00104273"/>
    <x v="8"/>
    <d v="2026-01-13T00:00:00"/>
    <d v="2026-04-10T00:00:00"/>
    <x v="2"/>
    <s v="a6JXt9213416"/>
    <x v="4"/>
    <s v="Aug"/>
    <s v="Invoice details mismatch with approved campaign."/>
    <n v="87"/>
    <x v="0"/>
    <x v="7"/>
    <x v="3"/>
    <x v="1"/>
  </r>
  <r>
    <x v="4"/>
    <s v="Global Consumer Products 2026"/>
    <s v="Billing Request- 00104275"/>
    <x v="4"/>
    <d v="2026-02-10T00:00:00"/>
    <d v="2026-02-22T00:00:00"/>
    <x v="0"/>
    <s v="a6JHn2679301"/>
    <x v="5"/>
    <s v="Sep; Oct"/>
    <s v="Invoice details mismatch with approved campaign."/>
    <n v="12"/>
    <x v="4"/>
    <x v="1"/>
    <x v="3"/>
    <x v="1"/>
  </r>
  <r>
    <x v="4"/>
    <s v="Amazon TNF 2024 2026"/>
    <s v="Billing Request- 00104276"/>
    <x v="3"/>
    <d v="2026-01-24T00:00:00"/>
    <d v="2026-04-02T00:00:00"/>
    <x v="2"/>
    <s v="a6JHn4042447"/>
    <x v="6"/>
    <s v="Jul; Aug"/>
    <s v=""/>
    <n v="68"/>
    <x v="0"/>
    <x v="7"/>
    <x v="4"/>
    <x v="1"/>
  </r>
  <r>
    <x v="0"/>
    <s v="Prime Sports NFL 2025"/>
    <s v="Billing Request- 00104281"/>
    <x v="8"/>
    <d v="2025-10-21T00:00:00"/>
    <d v="2026-01-24T00:00:00"/>
    <x v="2"/>
    <s v="a6Jat7137178"/>
    <x v="5"/>
    <s v="Nov; Dec"/>
    <s v="Missing supporting documentation from vendor."/>
    <n v="95"/>
    <x v="0"/>
    <x v="5"/>
    <x v="3"/>
    <x v="0"/>
  </r>
  <r>
    <x v="4"/>
    <s v="NBA League Pass 2026"/>
    <s v="Billing Request- 00104282"/>
    <x v="8"/>
    <d v="2026-01-20T00:00:00"/>
    <d v="2026-01-27T00:00:00"/>
    <x v="2"/>
    <s v="a6JXt4005807"/>
    <x v="1"/>
    <s v="Jun"/>
    <s v="Late media plan changes from client."/>
    <n v="7"/>
    <x v="2"/>
    <x v="7"/>
    <x v="2"/>
    <x v="1"/>
  </r>
  <r>
    <x v="1"/>
    <s v="Amazon TNF 2024 2025"/>
    <s v="Billing Request- 00104286"/>
    <x v="3"/>
    <d v="2025-08-30T00:00:00"/>
    <d v="2025-10-17T00:00:00"/>
    <x v="2"/>
    <s v="a6JHn7895468"/>
    <x v="3"/>
    <s v="Jul; Aug"/>
    <s v="Late media plan changes from client."/>
    <n v="48"/>
    <x v="1"/>
    <x v="8"/>
    <x v="4"/>
    <x v="0"/>
  </r>
  <r>
    <x v="0"/>
    <s v="Amazon TNF 2024 2026"/>
    <s v="Billing Request- 00104289"/>
    <x v="1"/>
    <d v="2026-05-02T00:00:00"/>
    <d v="2026-05-07T00:00:00"/>
    <x v="0"/>
    <s v="a6Jat4449048"/>
    <x v="6"/>
    <s v="May"/>
    <s v="Missing supporting documentation from vendor."/>
    <n v="5"/>
    <x v="2"/>
    <x v="16"/>
    <x v="4"/>
    <x v="1"/>
  </r>
  <r>
    <x v="0"/>
    <s v="NASCAR Apex 2025 2025"/>
    <s v="Billing Request- 00104291"/>
    <x v="2"/>
    <d v="2025-07-21T00:00:00"/>
    <d v="2025-09-03T00:00:00"/>
    <x v="0"/>
    <s v="a6JHn2547571"/>
    <x v="3"/>
    <s v="Dec"/>
    <s v="Client requested retroactive billing adjustments."/>
    <n v="44"/>
    <x v="1"/>
    <x v="12"/>
    <x v="0"/>
    <x v="0"/>
  </r>
  <r>
    <x v="0"/>
    <s v="NBA Playoffs Campaign 2025"/>
    <s v="Billing Request- 00104293"/>
    <x v="8"/>
    <d v="2025-07-16T00:00:00"/>
    <d v="2025-10-20T00:00:00"/>
    <x v="0"/>
    <s v="a6JHn2239425"/>
    <x v="3"/>
    <s v="May; Jun"/>
    <s v="Client requested retroactive billing adjustments."/>
    <n v="96"/>
    <x v="0"/>
    <x v="12"/>
    <x v="2"/>
    <x v="0"/>
  </r>
  <r>
    <x v="0"/>
    <s v="DirecTV NASCAR Campaign 2026"/>
    <s v="Billing Request- 00104295"/>
    <x v="8"/>
    <d v="2026-02-07T00:00:00"/>
    <d v="2026-03-26T00:00:00"/>
    <x v="2"/>
    <s v="a6JHn4848886"/>
    <x v="6"/>
    <s v="Jan; Feb"/>
    <s v="Client requested retroactive billing adjustments."/>
    <n v="47"/>
    <x v="1"/>
    <x v="1"/>
    <x v="0"/>
    <x v="1"/>
  </r>
  <r>
    <x v="3"/>
    <s v="Streaming Bundle Initiative 2025"/>
    <s v="Billing Request- 00104296"/>
    <x v="4"/>
    <d v="2025-04-07T00:00:00"/>
    <d v="2025-05-15T00:00:00"/>
    <x v="2"/>
    <s v="a6Jat8183982"/>
    <x v="6"/>
    <s v="Dec"/>
    <s v="Missing supporting documentation from vendor."/>
    <n v="38"/>
    <x v="1"/>
    <x v="3"/>
    <x v="3"/>
    <x v="0"/>
  </r>
  <r>
    <x v="0"/>
    <s v="Global Consumer Products 2026"/>
    <s v="Billing Request- 00104297"/>
    <x v="2"/>
    <d v="2026-03-02T00:00:00"/>
    <d v="2026-05-05T00:00:00"/>
    <x v="2"/>
    <s v="a6JXt6334295"/>
    <x v="1"/>
    <s v="Jun"/>
    <s v="Late media plan changes from client."/>
    <n v="64"/>
    <x v="0"/>
    <x v="2"/>
    <x v="3"/>
    <x v="1"/>
  </r>
  <r>
    <x v="0"/>
    <s v="DirecTV NASCAR Campaign 2025"/>
    <s v="Billing Request- 00104299"/>
    <x v="7"/>
    <d v="2025-09-20T00:00:00"/>
    <d v="2025-10-21T00:00:00"/>
    <x v="2"/>
    <s v="a6JHn9433156"/>
    <x v="0"/>
    <s v="Sep"/>
    <s v="Invoice details mismatch with approved campaign."/>
    <n v="31"/>
    <x v="1"/>
    <x v="14"/>
    <x v="0"/>
    <x v="0"/>
  </r>
  <r>
    <x v="0"/>
    <s v="NASCAR P&amp;Q 2026"/>
    <s v="Billing Request- 00104301"/>
    <x v="9"/>
    <d v="2026-01-15T00:00:00"/>
    <d v="2026-04-19T00:00:00"/>
    <x v="2"/>
    <s v="a6JHn6479715"/>
    <x v="5"/>
    <s v="Sep"/>
    <s v="Finance validation process delay."/>
    <n v="94"/>
    <x v="0"/>
    <x v="7"/>
    <x v="0"/>
    <x v="1"/>
  </r>
  <r>
    <x v="3"/>
    <s v="NWSL Prime Video 2026"/>
    <s v="Billing Request- 00104302"/>
    <x v="7"/>
    <d v="2026-03-25T00:00:00"/>
    <d v="2026-04-02T00:00:00"/>
    <x v="2"/>
    <s v="a6Jat6325701"/>
    <x v="6"/>
    <s v="Sep; Oct"/>
    <s v="Incorrect legal terms delayed PTS."/>
    <n v="8"/>
    <x v="4"/>
    <x v="2"/>
    <x v="1"/>
    <x v="1"/>
  </r>
  <r>
    <x v="0"/>
    <s v="NWSL Prime Video 2025"/>
    <s v="Billing Request- 00104303"/>
    <x v="6"/>
    <d v="2025-01-03T00:00:00"/>
    <d v="2025-03-14T00:00:00"/>
    <x v="0"/>
    <s v="a6JXt5387900"/>
    <x v="6"/>
    <s v="Apr"/>
    <s v="Manual billing entry issue."/>
    <n v="70"/>
    <x v="0"/>
    <x v="0"/>
    <x v="1"/>
    <x v="0"/>
  </r>
  <r>
    <x v="0"/>
    <s v="NASCAR Apex 2025 2025"/>
    <s v="Billing Request- 00104304"/>
    <x v="8"/>
    <d v="2025-03-23T00:00:00"/>
    <d v="2025-07-04T00:00:00"/>
    <x v="0"/>
    <s v="a6JXt3588769"/>
    <x v="3"/>
    <s v="Jun"/>
    <s v="Manual billing entry issue."/>
    <n v="103"/>
    <x v="0"/>
    <x v="13"/>
    <x v="0"/>
    <x v="0"/>
  </r>
  <r>
    <x v="0"/>
    <s v="NFL Prime Video 2025"/>
    <s v="Billing Request- 00104305"/>
    <x v="7"/>
    <d v="2025-02-24T00:00:00"/>
    <d v="2025-02-27T00:00:00"/>
    <x v="0"/>
    <s v="a6JHn7470157"/>
    <x v="3"/>
    <s v="Mar"/>
    <s v=""/>
    <n v="3"/>
    <x v="2"/>
    <x v="6"/>
    <x v="3"/>
    <x v="0"/>
  </r>
  <r>
    <x v="4"/>
    <s v="NASCAR P&amp;Q 2026"/>
    <s v="Billing Request- 00104306"/>
    <x v="9"/>
    <d v="2026-03-31T00:00:00"/>
    <d v="2026-05-09T00:00:00"/>
    <x v="2"/>
    <s v="a6JXt5121914"/>
    <x v="6"/>
    <s v="Aug"/>
    <s v="Client requested retroactive billing adjustments."/>
    <n v="39"/>
    <x v="1"/>
    <x v="2"/>
    <x v="0"/>
    <x v="1"/>
  </r>
  <r>
    <x v="0"/>
    <s v="NWSL Prime Video 2025"/>
    <s v="Billing Request- 00104308"/>
    <x v="5"/>
    <d v="2025-04-19T00:00:00"/>
    <d v="2025-06-13T00:00:00"/>
    <x v="2"/>
    <s v="a6JXt4726797"/>
    <x v="2"/>
    <s v="Sep; Oct"/>
    <s v="Late media plan changes from client."/>
    <n v="55"/>
    <x v="1"/>
    <x v="3"/>
    <x v="1"/>
    <x v="0"/>
  </r>
  <r>
    <x v="0"/>
    <s v="NWSL Halftime Sponsorship 2025"/>
    <s v="Billing Request- 00104310"/>
    <x v="8"/>
    <d v="2025-07-30T00:00:00"/>
    <d v="2025-11-14T00:00:00"/>
    <x v="2"/>
    <s v="a6JXt4928017"/>
    <x v="4"/>
    <s v="Apr"/>
    <s v="Missing supporting documentation from vendor."/>
    <n v="107"/>
    <x v="0"/>
    <x v="12"/>
    <x v="1"/>
    <x v="0"/>
  </r>
  <r>
    <x v="0"/>
    <s v="DirecTV NASCAR Campaign 2026"/>
    <s v="Billing Request- 00104311"/>
    <x v="4"/>
    <d v="2026-02-06T00:00:00"/>
    <d v="2026-04-05T00:00:00"/>
    <x v="2"/>
    <s v="a6Jat2414917"/>
    <x v="6"/>
    <s v="Jan; Feb"/>
    <s v="Finance validation process delay."/>
    <n v="58"/>
    <x v="1"/>
    <x v="1"/>
    <x v="0"/>
    <x v="1"/>
  </r>
  <r>
    <x v="0"/>
    <s v="Streaming Bundle Initiative 2025"/>
    <s v="Billing Request- 00104312"/>
    <x v="9"/>
    <d v="2025-01-27T00:00:00"/>
    <d v="2025-01-28T00:00:00"/>
    <x v="2"/>
    <s v="a6Jat7214173"/>
    <x v="0"/>
    <s v="Mar"/>
    <s v=""/>
    <n v="1"/>
    <x v="2"/>
    <x v="0"/>
    <x v="3"/>
    <x v="0"/>
  </r>
  <r>
    <x v="0"/>
    <s v="Amazon TNF 2024 2026"/>
    <s v="Billing Request- 00104315"/>
    <x v="4"/>
    <d v="2026-01-10T00:00:00"/>
    <d v="2026-01-26T00:00:00"/>
    <x v="2"/>
    <s v="a6JHn2877401"/>
    <x v="1"/>
    <s v="Jan; Feb"/>
    <s v="Finance validation process delay."/>
    <n v="16"/>
    <x v="3"/>
    <x v="7"/>
    <x v="4"/>
    <x v="1"/>
  </r>
  <r>
    <x v="0"/>
    <s v="NWSL Halftime Sponsorship 2025"/>
    <s v="Billing Request- 00104316"/>
    <x v="1"/>
    <d v="2025-09-23T00:00:00"/>
    <d v="2026-01-17T00:00:00"/>
    <x v="1"/>
    <s v="a6JHn6115634"/>
    <x v="6"/>
    <s v="Mar; Apr"/>
    <s v="Manual billing entry issue."/>
    <n v="116"/>
    <x v="0"/>
    <x v="14"/>
    <x v="1"/>
    <x v="0"/>
  </r>
  <r>
    <x v="0"/>
    <s v="NASCAR P&amp;Q 2026"/>
    <s v="Billing Request- 00104317"/>
    <x v="3"/>
    <d v="2026-02-08T00:00:00"/>
    <d v="2026-05-08T00:00:00"/>
    <x v="2"/>
    <s v="a6Jat6525685"/>
    <x v="2"/>
    <s v="Jan; Feb"/>
    <s v="Incorrect legal terms delayed PTS."/>
    <n v="89"/>
    <x v="0"/>
    <x v="1"/>
    <x v="0"/>
    <x v="1"/>
  </r>
  <r>
    <x v="0"/>
    <s v="Prime Sports NFL 2025"/>
    <s v="Billing Request- 00104318"/>
    <x v="2"/>
    <d v="2025-03-16T00:00:00"/>
    <d v="2025-03-30T00:00:00"/>
    <x v="0"/>
    <s v="a6JHn5247749"/>
    <x v="1"/>
    <s v="Jan; Feb"/>
    <s v="Invoice details mismatch with approved campaign."/>
    <n v="14"/>
    <x v="4"/>
    <x v="13"/>
    <x v="3"/>
    <x v="0"/>
  </r>
  <r>
    <x v="0"/>
    <s v="DirecTV NASCAR Campaign 2025"/>
    <s v="Billing Request- 00104319"/>
    <x v="6"/>
    <d v="2025-03-22T00:00:00"/>
    <d v="2025-06-21T00:00:00"/>
    <x v="0"/>
    <s v="a6JXt3381057"/>
    <x v="1"/>
    <s v="Sep"/>
    <s v=""/>
    <n v="91"/>
    <x v="0"/>
    <x v="13"/>
    <x v="0"/>
    <x v="0"/>
  </r>
  <r>
    <x v="0"/>
    <s v="NWSL Prime Video 2025"/>
    <s v="Billing Request- 00104323"/>
    <x v="8"/>
    <d v="2025-08-06T00:00:00"/>
    <d v="2025-11-21T00:00:00"/>
    <x v="0"/>
    <s v="a6Jat9561085"/>
    <x v="5"/>
    <s v="Jan"/>
    <s v="Finance validation process delay."/>
    <n v="107"/>
    <x v="0"/>
    <x v="8"/>
    <x v="1"/>
    <x v="0"/>
  </r>
  <r>
    <x v="0"/>
    <s v="DirecTV NASCAR Campaign 2026"/>
    <s v="Billing Request- 00104324"/>
    <x v="9"/>
    <d v="2026-01-16T00:00:00"/>
    <d v="2026-01-22T00:00:00"/>
    <x v="2"/>
    <s v="a6JXt7487635"/>
    <x v="0"/>
    <s v="May; Jun"/>
    <s v="Missing supporting documentation from vendor."/>
    <n v="6"/>
    <x v="2"/>
    <x v="7"/>
    <x v="0"/>
    <x v="1"/>
  </r>
  <r>
    <x v="1"/>
    <s v="NASCAR Apex 2025 2026"/>
    <s v="Billing Request- 00104326"/>
    <x v="2"/>
    <d v="2026-03-18T00:00:00"/>
    <d v="2026-05-05T00:00:00"/>
    <x v="1"/>
    <s v="a6JXt9424336"/>
    <x v="2"/>
    <s v="Oct"/>
    <s v="Missing supporting documentation from vendor."/>
    <n v="48"/>
    <x v="1"/>
    <x v="2"/>
    <x v="0"/>
    <x v="1"/>
  </r>
  <r>
    <x v="0"/>
    <s v="NFL Prime Video 2025"/>
    <s v="Billing Request- 00104327"/>
    <x v="6"/>
    <d v="2025-08-25T00:00:00"/>
    <d v="2025-11-25T00:00:00"/>
    <x v="0"/>
    <s v="a6JHn2866642"/>
    <x v="4"/>
    <s v="Sep"/>
    <s v="Agency submitted updated invoice mapping."/>
    <n v="92"/>
    <x v="0"/>
    <x v="8"/>
    <x v="3"/>
    <x v="0"/>
  </r>
  <r>
    <x v="0"/>
    <s v="Amazon NBA Live Sports 2025"/>
    <s v="Billing Request- 00104328"/>
    <x v="9"/>
    <d v="2025-10-25T00:00:00"/>
    <d v="2025-11-22T00:00:00"/>
    <x v="2"/>
    <s v="a6Jat8859113"/>
    <x v="0"/>
    <s v="Nov"/>
    <s v="Late media plan changes from client."/>
    <n v="28"/>
    <x v="3"/>
    <x v="5"/>
    <x v="2"/>
    <x v="0"/>
  </r>
  <r>
    <x v="0"/>
    <s v="NWSL Prime Video 2026"/>
    <s v="Billing Request- 00104329"/>
    <x v="2"/>
    <d v="2026-03-16T00:00:00"/>
    <d v="2026-04-02T00:00:00"/>
    <x v="0"/>
    <s v="a6JHn8186447"/>
    <x v="3"/>
    <s v="Sep"/>
    <s v="Client requested retroactive billing adjustments."/>
    <n v="17"/>
    <x v="3"/>
    <x v="2"/>
    <x v="1"/>
    <x v="1"/>
  </r>
  <r>
    <x v="1"/>
    <s v="Retail Media Expansion 2026"/>
    <s v="Billing Request- 00104331"/>
    <x v="6"/>
    <d v="2026-02-21T00:00:00"/>
    <d v="2026-05-03T00:00:00"/>
    <x v="2"/>
    <s v="a6Jat6128081"/>
    <x v="2"/>
    <s v="Aug"/>
    <s v="Manual billing entry issue."/>
    <n v="71"/>
    <x v="0"/>
    <x v="1"/>
    <x v="3"/>
    <x v="1"/>
  </r>
  <r>
    <x v="0"/>
    <s v="NBA Playoffs Campaign 2025"/>
    <s v="Billing Request- 00104332"/>
    <x v="6"/>
    <d v="2025-08-02T00:00:00"/>
    <d v="2025-10-07T00:00:00"/>
    <x v="2"/>
    <s v="a6JXt7969139"/>
    <x v="1"/>
    <s v="Jul; Aug"/>
    <s v="Invoice details mismatch with approved campaign."/>
    <n v="66"/>
    <x v="0"/>
    <x v="8"/>
    <x v="2"/>
    <x v="0"/>
  </r>
  <r>
    <x v="4"/>
    <s v="NFL Prime Video 2025"/>
    <s v="Billing Request- 00104333"/>
    <x v="7"/>
    <d v="2025-11-21T00:00:00"/>
    <d v="2025-12-11T00:00:00"/>
    <x v="2"/>
    <s v="a6Jat2896527"/>
    <x v="4"/>
    <s v="May; Jun"/>
    <s v="Missing supporting documentation from vendor."/>
    <n v="20"/>
    <x v="3"/>
    <x v="15"/>
    <x v="3"/>
    <x v="0"/>
  </r>
  <r>
    <x v="0"/>
    <s v="NWSL Halftime Sponsorship 2025"/>
    <s v="Billing Request- 00104335"/>
    <x v="5"/>
    <d v="2025-09-28T00:00:00"/>
    <d v="2025-10-12T00:00:00"/>
    <x v="2"/>
    <s v="a6JXt5585659"/>
    <x v="5"/>
    <s v="Mar"/>
    <s v="Incorrect legal terms delayed PTS."/>
    <n v="14"/>
    <x v="4"/>
    <x v="14"/>
    <x v="1"/>
    <x v="0"/>
  </r>
  <r>
    <x v="0"/>
    <s v="NWSL Prime Video 2025"/>
    <s v="Billing Request- 00104336"/>
    <x v="0"/>
    <d v="2025-08-25T00:00:00"/>
    <d v="2025-12-16T00:00:00"/>
    <x v="0"/>
    <s v="a6JHn4388875"/>
    <x v="0"/>
    <s v="Dec"/>
    <s v="Client requested retroactive billing adjustments."/>
    <n v="113"/>
    <x v="0"/>
    <x v="8"/>
    <x v="1"/>
    <x v="0"/>
  </r>
  <r>
    <x v="0"/>
    <s v="Retail Media Expansion 2025"/>
    <s v="Billing Request- 00104337"/>
    <x v="0"/>
    <d v="2025-08-13T00:00:00"/>
    <d v="2025-11-26T00:00:00"/>
    <x v="0"/>
    <s v="a6Jat1645461"/>
    <x v="5"/>
    <s v="Mar"/>
    <s v="Client requested retroactive billing adjustments."/>
    <n v="105"/>
    <x v="0"/>
    <x v="8"/>
    <x v="3"/>
    <x v="0"/>
  </r>
  <r>
    <x v="0"/>
    <s v="Amazon NBA Live Sports 2025"/>
    <s v="Billing Request- 00104339"/>
    <x v="3"/>
    <d v="2025-10-17T00:00:00"/>
    <d v="2025-11-24T00:00:00"/>
    <x v="0"/>
    <s v="a6JXt1142955"/>
    <x v="4"/>
    <s v="Jan; Feb"/>
    <s v="Manual billing entry issue."/>
    <n v="38"/>
    <x v="1"/>
    <x v="5"/>
    <x v="2"/>
    <x v="0"/>
  </r>
  <r>
    <x v="0"/>
    <s v="NWSL Halftime Sponsorship 2026"/>
    <s v="Billing Request- 00104340"/>
    <x v="1"/>
    <d v="2026-04-11T00:00:00"/>
    <d v="2026-05-06T00:00:00"/>
    <x v="2"/>
    <s v="a6JHn5135315"/>
    <x v="2"/>
    <s v="Feb"/>
    <s v="Finance validation process delay."/>
    <n v="25"/>
    <x v="3"/>
    <x v="10"/>
    <x v="1"/>
    <x v="1"/>
  </r>
  <r>
    <x v="0"/>
    <s v="NWSL Halftime Sponsorship 2025"/>
    <s v="Billing Request- 00104341"/>
    <x v="2"/>
    <d v="2025-11-02T00:00:00"/>
    <d v="2026-01-06T00:00:00"/>
    <x v="2"/>
    <s v="a6Jat8245643"/>
    <x v="4"/>
    <s v="Aug"/>
    <s v="Client requested retroactive billing adjustments."/>
    <n v="65"/>
    <x v="0"/>
    <x v="15"/>
    <x v="1"/>
    <x v="0"/>
  </r>
  <r>
    <x v="2"/>
    <s v="TNF Sponsorship 2026"/>
    <s v="Billing Request- 00104342"/>
    <x v="1"/>
    <d v="2026-03-07T00:00:00"/>
    <d v="2026-05-06T00:00:00"/>
    <x v="2"/>
    <s v="a6Jat9493615"/>
    <x v="0"/>
    <s v="Jul; Aug"/>
    <s v="Late media plan changes from client."/>
    <n v="60"/>
    <x v="1"/>
    <x v="2"/>
    <x v="4"/>
    <x v="1"/>
  </r>
  <r>
    <x v="3"/>
    <s v="Global Consumer Products 2025"/>
    <s v="Billing Request- 00104343"/>
    <x v="2"/>
    <d v="2025-03-10T00:00:00"/>
    <d v="2025-06-07T00:00:00"/>
    <x v="0"/>
    <s v="a6JHn9930547"/>
    <x v="2"/>
    <s v="Jul; Aug"/>
    <s v="Late media plan changes from client."/>
    <n v="89"/>
    <x v="0"/>
    <x v="13"/>
    <x v="3"/>
    <x v="0"/>
  </r>
  <r>
    <x v="0"/>
    <s v="Retail Media Expansion 2026"/>
    <s v="Billing Request- 00104345"/>
    <x v="2"/>
    <d v="2026-04-28T00:00:00"/>
    <d v="2026-05-05T00:00:00"/>
    <x v="0"/>
    <s v="a6JHn6785176"/>
    <x v="6"/>
    <s v="Sep"/>
    <s v="Agency submitted updated invoice mapping."/>
    <n v="7"/>
    <x v="2"/>
    <x v="10"/>
    <x v="3"/>
    <x v="1"/>
  </r>
  <r>
    <x v="0"/>
    <s v="TNF Sponsorship 2025"/>
    <s v="Billing Request- 00104347"/>
    <x v="5"/>
    <d v="2025-10-17T00:00:00"/>
    <d v="2026-01-20T00:00:00"/>
    <x v="2"/>
    <s v="a6JHn7448104"/>
    <x v="2"/>
    <s v="Mar; Apr"/>
    <s v="Agency submitted updated invoice mapping."/>
    <n v="95"/>
    <x v="0"/>
    <x v="5"/>
    <x v="4"/>
    <x v="0"/>
  </r>
  <r>
    <x v="4"/>
    <s v="Global Consumer Products 2026"/>
    <s v="Billing Request- 00104348"/>
    <x v="4"/>
    <d v="2026-02-25T00:00:00"/>
    <d v="2026-03-28T00:00:00"/>
    <x v="1"/>
    <s v="a6JXt1140823"/>
    <x v="2"/>
    <s v="May"/>
    <s v="Invoice details mismatch with approved campaign."/>
    <n v="31"/>
    <x v="1"/>
    <x v="1"/>
    <x v="3"/>
    <x v="1"/>
  </r>
  <r>
    <x v="0"/>
    <s v="DirecTV NASCAR Campaign 2025"/>
    <s v="Billing Request- 00104349"/>
    <x v="8"/>
    <d v="2025-04-11T00:00:00"/>
    <d v="2025-06-27T00:00:00"/>
    <x v="0"/>
    <s v="a6JHn4458540"/>
    <x v="1"/>
    <s v="Jul; Aug"/>
    <s v="Manual billing entry issue."/>
    <n v="77"/>
    <x v="0"/>
    <x v="3"/>
    <x v="0"/>
    <x v="0"/>
  </r>
  <r>
    <x v="0"/>
    <s v="NBA Playoffs Campaign 2025"/>
    <s v="Billing Request- 00104351"/>
    <x v="0"/>
    <d v="2025-03-04T00:00:00"/>
    <d v="2025-05-06T00:00:00"/>
    <x v="2"/>
    <s v="a6Jat5932239"/>
    <x v="2"/>
    <s v="Jun"/>
    <s v="Incorrect legal terms delayed PTS."/>
    <n v="63"/>
    <x v="0"/>
    <x v="13"/>
    <x v="2"/>
    <x v="0"/>
  </r>
  <r>
    <x v="0"/>
    <s v="Global Consumer Products 2025"/>
    <s v="Billing Request- 00104352"/>
    <x v="1"/>
    <d v="2025-06-23T00:00:00"/>
    <d v="2025-08-17T00:00:00"/>
    <x v="2"/>
    <s v="a6JXt8979193"/>
    <x v="0"/>
    <s v="Mar"/>
    <s v="Manual billing entry issue."/>
    <n v="55"/>
    <x v="1"/>
    <x v="9"/>
    <x v="3"/>
    <x v="0"/>
  </r>
  <r>
    <x v="0"/>
    <s v="Retail Media Expansion 2025"/>
    <s v="Billing Request- 00104353"/>
    <x v="4"/>
    <d v="2025-12-17T00:00:00"/>
    <d v="2026-04-10T00:00:00"/>
    <x v="0"/>
    <s v="a6JXt2406348"/>
    <x v="3"/>
    <s v="Sep"/>
    <s v=""/>
    <n v="114"/>
    <x v="0"/>
    <x v="11"/>
    <x v="3"/>
    <x v="0"/>
  </r>
  <r>
    <x v="0"/>
    <s v="NWSL Halftime Sponsorship 2026"/>
    <s v="Billing Request- 00104354"/>
    <x v="2"/>
    <d v="2026-02-14T00:00:00"/>
    <d v="2026-03-29T00:00:00"/>
    <x v="2"/>
    <s v="a6JXt8122435"/>
    <x v="4"/>
    <s v="Jul"/>
    <s v="Incorrect legal terms delayed PTS."/>
    <n v="43"/>
    <x v="1"/>
    <x v="1"/>
    <x v="1"/>
    <x v="1"/>
  </r>
  <r>
    <x v="2"/>
    <s v="Retail Media Expansion 2025"/>
    <s v="Billing Request- 00104355"/>
    <x v="3"/>
    <d v="2025-03-20T00:00:00"/>
    <d v="2025-03-21T00:00:00"/>
    <x v="2"/>
    <s v="a6JXt8979998"/>
    <x v="3"/>
    <s v="May"/>
    <s v="Finance validation process delay."/>
    <n v="1"/>
    <x v="2"/>
    <x v="13"/>
    <x v="3"/>
    <x v="0"/>
  </r>
  <r>
    <x v="0"/>
    <s v="Amazon NBA Live Sports 2025"/>
    <s v="Billing Request- 00104356"/>
    <x v="6"/>
    <d v="2025-02-22T00:00:00"/>
    <d v="2025-04-04T00:00:00"/>
    <x v="0"/>
    <s v="a6Jat8375003"/>
    <x v="6"/>
    <s v="Jan; Feb"/>
    <s v="Missing supporting documentation from vendor."/>
    <n v="41"/>
    <x v="1"/>
    <x v="6"/>
    <x v="2"/>
    <x v="0"/>
  </r>
  <r>
    <x v="1"/>
    <s v="NBA League Pass 2025"/>
    <s v="Billing Request- 00104357"/>
    <x v="0"/>
    <d v="2025-02-23T00:00:00"/>
    <d v="2025-05-22T00:00:00"/>
    <x v="0"/>
    <s v="a6JXt6530275"/>
    <x v="1"/>
    <s v="Sep"/>
    <s v="Late media plan changes from client."/>
    <n v="88"/>
    <x v="0"/>
    <x v="6"/>
    <x v="2"/>
    <x v="0"/>
  </r>
  <r>
    <x v="0"/>
    <s v="NWSL Halftime Sponsorship 2025"/>
    <s v="Billing Request- 00104359"/>
    <x v="7"/>
    <d v="2025-01-15T00:00:00"/>
    <d v="2025-02-06T00:00:00"/>
    <x v="2"/>
    <s v="a6JXt1164119"/>
    <x v="1"/>
    <s v="Mar; Apr"/>
    <s v="Manual billing entry issue."/>
    <n v="22"/>
    <x v="3"/>
    <x v="0"/>
    <x v="1"/>
    <x v="0"/>
  </r>
  <r>
    <x v="4"/>
    <s v="NASCAR Apex 2025 2026"/>
    <s v="Billing Request- 00104363"/>
    <x v="3"/>
    <d v="2026-02-01T00:00:00"/>
    <d v="2026-04-25T00:00:00"/>
    <x v="0"/>
    <s v="a6JHn2682370"/>
    <x v="4"/>
    <s v="Apr"/>
    <s v="Missing supporting documentation from vendor."/>
    <n v="83"/>
    <x v="0"/>
    <x v="1"/>
    <x v="0"/>
    <x v="1"/>
  </r>
  <r>
    <x v="0"/>
    <s v="Streaming Bundle Initiative 2025"/>
    <s v="Billing Request- 00104365"/>
    <x v="6"/>
    <d v="2025-08-26T00:00:00"/>
    <d v="2025-11-23T00:00:00"/>
    <x v="2"/>
    <s v="a6Jat4134640"/>
    <x v="6"/>
    <s v="May; Jun"/>
    <s v="Missing supporting documentation from vendor."/>
    <n v="89"/>
    <x v="0"/>
    <x v="8"/>
    <x v="3"/>
    <x v="0"/>
  </r>
  <r>
    <x v="0"/>
    <s v="NWSL Prime Video 2025"/>
    <s v="Billing Request- 00104366"/>
    <x v="9"/>
    <d v="2025-01-23T00:00:00"/>
    <d v="2025-05-23T00:00:00"/>
    <x v="1"/>
    <s v="a6JXt3482740"/>
    <x v="6"/>
    <s v="Feb"/>
    <s v="Missing supporting documentation from vendor."/>
    <n v="120"/>
    <x v="0"/>
    <x v="0"/>
    <x v="1"/>
    <x v="0"/>
  </r>
  <r>
    <x v="0"/>
    <s v="DirecTV NASCAR Campaign 2025"/>
    <s v="Billing Request- 00104367"/>
    <x v="2"/>
    <d v="2025-07-29T00:00:00"/>
    <d v="2025-09-15T00:00:00"/>
    <x v="2"/>
    <s v="a6JHn9329090"/>
    <x v="1"/>
    <s v="Apr"/>
    <s v="Late media plan changes from client."/>
    <n v="48"/>
    <x v="1"/>
    <x v="12"/>
    <x v="0"/>
    <x v="0"/>
  </r>
  <r>
    <x v="0"/>
    <s v="Amazon NBA Live Sports 2025"/>
    <s v="Billing Request- 00104370"/>
    <x v="3"/>
    <d v="2025-10-25T00:00:00"/>
    <d v="2026-01-14T00:00:00"/>
    <x v="2"/>
    <s v="a6JXt4697461"/>
    <x v="1"/>
    <s v="Apr"/>
    <s v=""/>
    <n v="81"/>
    <x v="0"/>
    <x v="5"/>
    <x v="2"/>
    <x v="0"/>
  </r>
  <r>
    <x v="0"/>
    <s v="Prime Sports NFL 2025"/>
    <s v="Billing Request- 00104371"/>
    <x v="8"/>
    <d v="2025-11-06T00:00:00"/>
    <d v="2025-11-23T00:00:00"/>
    <x v="2"/>
    <s v="a6JXt2241639"/>
    <x v="2"/>
    <s v="Dec"/>
    <s v="Finance validation process delay."/>
    <n v="17"/>
    <x v="3"/>
    <x v="15"/>
    <x v="3"/>
    <x v="0"/>
  </r>
  <r>
    <x v="1"/>
    <s v="Confluence Academy 2025"/>
    <s v="Billing Request- 00104372"/>
    <x v="5"/>
    <d v="2025-01-05T00:00:00"/>
    <d v="2025-01-19T00:00:00"/>
    <x v="2"/>
    <s v="a6JHn6358756"/>
    <x v="4"/>
    <s v="Mar; Apr"/>
    <s v="Agency submitted updated invoice mapping."/>
    <n v="14"/>
    <x v="4"/>
    <x v="0"/>
    <x v="3"/>
    <x v="0"/>
  </r>
  <r>
    <x v="0"/>
    <s v="NBA Playoffs Campaign 2025"/>
    <s v="Billing Request- 00104373"/>
    <x v="6"/>
    <d v="2025-02-14T00:00:00"/>
    <d v="2025-03-29T00:00:00"/>
    <x v="2"/>
    <s v="a6JHn8322991"/>
    <x v="1"/>
    <s v="Mar"/>
    <s v="Finance validation process delay."/>
    <n v="43"/>
    <x v="1"/>
    <x v="6"/>
    <x v="2"/>
    <x v="0"/>
  </r>
  <r>
    <x v="4"/>
    <s v="WNBA Incremental Scatter 2026"/>
    <s v="Billing Request- 00104374"/>
    <x v="0"/>
    <d v="2026-02-21T00:00:00"/>
    <d v="2026-03-03T00:00:00"/>
    <x v="0"/>
    <s v="a6JHn5859413"/>
    <x v="4"/>
    <s v="Apr"/>
    <s v="Manual billing entry issue."/>
    <n v="10"/>
    <x v="4"/>
    <x v="1"/>
    <x v="2"/>
    <x v="1"/>
  </r>
  <r>
    <x v="4"/>
    <s v="NWSL Halftime Sponsorship 2025"/>
    <s v="Billing Request- 00104375"/>
    <x v="8"/>
    <d v="2025-09-08T00:00:00"/>
    <d v="2025-12-04T00:00:00"/>
    <x v="2"/>
    <s v="a6JXt5144610"/>
    <x v="0"/>
    <s v="Dec"/>
    <s v="Incorrect legal terms delayed PTS."/>
    <n v="87"/>
    <x v="0"/>
    <x v="14"/>
    <x v="1"/>
    <x v="0"/>
  </r>
  <r>
    <x v="0"/>
    <s v="NASCAR Apex 2025 2025"/>
    <s v="Billing Request- 00104377"/>
    <x v="1"/>
    <d v="2025-08-29T00:00:00"/>
    <d v="2025-09-11T00:00:00"/>
    <x v="2"/>
    <s v="a6Jat9975884"/>
    <x v="1"/>
    <s v="Jul"/>
    <s v="Late media plan changes from client."/>
    <n v="13"/>
    <x v="4"/>
    <x v="8"/>
    <x v="0"/>
    <x v="0"/>
  </r>
  <r>
    <x v="0"/>
    <s v="NASCAR Apex 2025 2025"/>
    <s v="Billing Request- 00104379"/>
    <x v="1"/>
    <d v="2025-06-04T00:00:00"/>
    <d v="2025-08-26T00:00:00"/>
    <x v="2"/>
    <s v="a6JHn3389242"/>
    <x v="5"/>
    <s v="Jul; Aug"/>
    <s v="Manual billing entry issue."/>
    <n v="83"/>
    <x v="0"/>
    <x v="9"/>
    <x v="0"/>
    <x v="0"/>
  </r>
  <r>
    <x v="0"/>
    <s v="WNBA Incremental Scatter 2025"/>
    <s v="Billing Request- 00104380"/>
    <x v="3"/>
    <d v="2025-10-13T00:00:00"/>
    <d v="2026-01-06T00:00:00"/>
    <x v="0"/>
    <s v="a6JHn9558117"/>
    <x v="0"/>
    <s v="Jul; Aug"/>
    <s v="Late media plan changes from client."/>
    <n v="85"/>
    <x v="0"/>
    <x v="5"/>
    <x v="2"/>
    <x v="0"/>
  </r>
  <r>
    <x v="0"/>
    <s v="WNBA Incremental Scatter 2026"/>
    <s v="Billing Request- 00104381"/>
    <x v="6"/>
    <d v="2026-03-31T00:00:00"/>
    <d v="2026-04-08T00:00:00"/>
    <x v="2"/>
    <s v="a6JXt7362674"/>
    <x v="6"/>
    <s v="Nov; Dec"/>
    <s v="Missing supporting documentation from vendor."/>
    <n v="8"/>
    <x v="4"/>
    <x v="2"/>
    <x v="2"/>
    <x v="1"/>
  </r>
  <r>
    <x v="0"/>
    <s v="Streaming Bundle Initiative 2025"/>
    <s v="Billing Request- 00104382"/>
    <x v="2"/>
    <d v="2025-08-03T00:00:00"/>
    <d v="2025-10-22T00:00:00"/>
    <x v="2"/>
    <s v="a6JHn5470948"/>
    <x v="0"/>
    <s v="Jul; Aug"/>
    <s v="Incorrect legal terms delayed PTS."/>
    <n v="80"/>
    <x v="0"/>
    <x v="8"/>
    <x v="3"/>
    <x v="0"/>
  </r>
  <r>
    <x v="0"/>
    <s v="Amazon NBA Live Sports 2025"/>
    <s v="Billing Request- 00104384"/>
    <x v="4"/>
    <d v="2025-08-23T00:00:00"/>
    <d v="2025-12-07T00:00:00"/>
    <x v="2"/>
    <s v="a6JHn3634022"/>
    <x v="0"/>
    <s v="Jul; Aug"/>
    <s v="Client requested retroactive billing adjustments."/>
    <n v="106"/>
    <x v="0"/>
    <x v="8"/>
    <x v="2"/>
    <x v="0"/>
  </r>
  <r>
    <x v="4"/>
    <s v="NWSL Prime Video 2026"/>
    <s v="Billing Request- 00104385"/>
    <x v="1"/>
    <d v="2026-03-01T00:00:00"/>
    <d v="2026-03-29T00:00:00"/>
    <x v="2"/>
    <s v="a6JHn6224314"/>
    <x v="6"/>
    <s v="Nov; Dec"/>
    <s v="Late media plan changes from client."/>
    <n v="28"/>
    <x v="3"/>
    <x v="2"/>
    <x v="1"/>
    <x v="1"/>
  </r>
  <r>
    <x v="0"/>
    <s v="Retail Media Expansion 2025"/>
    <s v="Billing Request- 00104387"/>
    <x v="5"/>
    <d v="2025-05-06T00:00:00"/>
    <d v="2025-06-18T00:00:00"/>
    <x v="0"/>
    <s v="a6JHn4323521"/>
    <x v="1"/>
    <s v="Feb"/>
    <s v="Manual billing entry issue."/>
    <n v="43"/>
    <x v="1"/>
    <x v="4"/>
    <x v="3"/>
    <x v="0"/>
  </r>
  <r>
    <x v="0"/>
    <s v="Streaming Bundle Initiative 2026"/>
    <s v="Billing Request- 00104389"/>
    <x v="3"/>
    <d v="2026-05-08T00:00:00"/>
    <d v="2026-05-04T00:00:00"/>
    <x v="2"/>
    <s v="a6JHn6866258"/>
    <x v="2"/>
    <s v="Jul; Aug"/>
    <s v="Invoice details mismatch with approved campaign."/>
    <n v="-4"/>
    <x v="2"/>
    <x v="16"/>
    <x v="3"/>
    <x v="1"/>
  </r>
  <r>
    <x v="0"/>
    <s v="Amazon TNF 2024 2025"/>
    <s v="Billing Request- 00104390"/>
    <x v="9"/>
    <d v="2025-10-25T00:00:00"/>
    <d v="2025-12-26T00:00:00"/>
    <x v="2"/>
    <s v="a6JHn5927612"/>
    <x v="6"/>
    <s v="Feb"/>
    <s v="Missing supporting documentation from vendor."/>
    <n v="62"/>
    <x v="0"/>
    <x v="5"/>
    <x v="4"/>
    <x v="0"/>
  </r>
  <r>
    <x v="0"/>
    <s v="NBA League Pass 2025"/>
    <s v="Billing Request- 00104391"/>
    <x v="5"/>
    <d v="2025-04-01T00:00:00"/>
    <d v="2025-07-13T00:00:00"/>
    <x v="2"/>
    <s v="a6JXt4426237"/>
    <x v="1"/>
    <s v="Jul; Aug"/>
    <s v=""/>
    <n v="103"/>
    <x v="0"/>
    <x v="3"/>
    <x v="2"/>
    <x v="0"/>
  </r>
  <r>
    <x v="0"/>
    <s v="Global Consumer Products 2026"/>
    <s v="Billing Request- 00104392"/>
    <x v="6"/>
    <d v="2026-04-11T00:00:00"/>
    <d v="2026-05-06T00:00:00"/>
    <x v="2"/>
    <s v="a6Jat7463692"/>
    <x v="6"/>
    <s v="Aug"/>
    <s v="Client requested retroactive billing adjustments."/>
    <n v="25"/>
    <x v="3"/>
    <x v="10"/>
    <x v="3"/>
    <x v="1"/>
  </r>
  <r>
    <x v="0"/>
    <s v="Amazon TNF 2024 2026"/>
    <s v="Billing Request- 00104393"/>
    <x v="9"/>
    <d v="2026-02-05T00:00:00"/>
    <d v="2026-03-11T00:00:00"/>
    <x v="2"/>
    <s v="a6JXt8431975"/>
    <x v="3"/>
    <s v="Apr"/>
    <s v="Manual billing entry issue."/>
    <n v="34"/>
    <x v="1"/>
    <x v="1"/>
    <x v="4"/>
    <x v="1"/>
  </r>
  <r>
    <x v="0"/>
    <s v="Retail Media Expansion 2025"/>
    <s v="Billing Request- 00104395"/>
    <x v="6"/>
    <d v="2025-11-20T00:00:00"/>
    <d v="2026-02-16T00:00:00"/>
    <x v="2"/>
    <s v="a6Jat6050335"/>
    <x v="4"/>
    <s v="Sep; Oct"/>
    <s v="Missing supporting documentation from vendor."/>
    <n v="88"/>
    <x v="0"/>
    <x v="15"/>
    <x v="3"/>
    <x v="0"/>
  </r>
  <r>
    <x v="0"/>
    <s v="Amazon NBA Live Sports 2025"/>
    <s v="Billing Request- 00104396"/>
    <x v="6"/>
    <d v="2025-07-23T00:00:00"/>
    <d v="2025-08-01T00:00:00"/>
    <x v="2"/>
    <s v="a6Jat4291026"/>
    <x v="3"/>
    <s v="Nov"/>
    <s v="Missing supporting documentation from vendor."/>
    <n v="9"/>
    <x v="4"/>
    <x v="12"/>
    <x v="2"/>
    <x v="0"/>
  </r>
  <r>
    <x v="0"/>
    <s v="TNF Sponsorship 2026"/>
    <s v="Billing Request- 00104397"/>
    <x v="2"/>
    <d v="2026-03-13T00:00:00"/>
    <d v="2026-05-08T00:00:00"/>
    <x v="1"/>
    <s v="a6JXt4207283"/>
    <x v="5"/>
    <s v="Dec"/>
    <s v="Manual billing entry issue."/>
    <n v="56"/>
    <x v="1"/>
    <x v="2"/>
    <x v="4"/>
    <x v="1"/>
  </r>
  <r>
    <x v="0"/>
    <s v="Amazon TNF 2024 2026"/>
    <s v="Billing Request- 00104398"/>
    <x v="4"/>
    <d v="2026-01-17T00:00:00"/>
    <d v="2026-02-09T00:00:00"/>
    <x v="2"/>
    <s v="a6Jat6231345"/>
    <x v="1"/>
    <s v="Jan"/>
    <s v="Agency submitted updated invoice mapping."/>
    <n v="23"/>
    <x v="3"/>
    <x v="7"/>
    <x v="4"/>
    <x v="1"/>
  </r>
  <r>
    <x v="0"/>
    <s v="Global Consumer Products 2026"/>
    <s v="Billing Request- 00104401"/>
    <x v="1"/>
    <d v="2026-05-03T00:00:00"/>
    <d v="2026-05-06T00:00:00"/>
    <x v="1"/>
    <s v="a6JXt3980562"/>
    <x v="6"/>
    <s v="Apr"/>
    <s v="Finance validation process delay."/>
    <n v="3"/>
    <x v="2"/>
    <x v="16"/>
    <x v="3"/>
    <x v="1"/>
  </r>
  <r>
    <x v="0"/>
    <s v="NWSL Prime Video 2026"/>
    <s v="Billing Request- 00104405"/>
    <x v="1"/>
    <d v="2026-04-22T00:00:00"/>
    <d v="2026-05-08T00:00:00"/>
    <x v="2"/>
    <s v="a6Jat8769657"/>
    <x v="4"/>
    <s v="Mar"/>
    <s v="Manual billing entry issue."/>
    <n v="16"/>
    <x v="3"/>
    <x v="10"/>
    <x v="1"/>
    <x v="1"/>
  </r>
  <r>
    <x v="0"/>
    <s v="NWSL Prime Video 2026"/>
    <s v="Billing Request- 00104406"/>
    <x v="4"/>
    <d v="2026-01-23T00:00:00"/>
    <d v="2026-03-28T00:00:00"/>
    <x v="0"/>
    <s v="a6JHn1189715"/>
    <x v="4"/>
    <s v="Jun"/>
    <s v="Finance validation process delay."/>
    <n v="64"/>
    <x v="0"/>
    <x v="7"/>
    <x v="1"/>
    <x v="1"/>
  </r>
  <r>
    <x v="0"/>
    <s v="NBA League Pass 2025"/>
    <s v="Billing Request- 00104407"/>
    <x v="7"/>
    <d v="2025-08-06T00:00:00"/>
    <d v="2025-11-14T00:00:00"/>
    <x v="2"/>
    <s v="a6JXt5869098"/>
    <x v="6"/>
    <s v="Jan"/>
    <s v="Manual billing entry issue."/>
    <n v="100"/>
    <x v="0"/>
    <x v="8"/>
    <x v="2"/>
    <x v="0"/>
  </r>
  <r>
    <x v="1"/>
    <s v="Prime Sports NFL 2025"/>
    <s v="Billing Request- 00104408"/>
    <x v="0"/>
    <d v="2025-09-12T00:00:00"/>
    <d v="2025-11-16T00:00:00"/>
    <x v="1"/>
    <s v="a6JHn6712412"/>
    <x v="3"/>
    <s v="Mar"/>
    <s v=""/>
    <n v="65"/>
    <x v="0"/>
    <x v="14"/>
    <x v="3"/>
    <x v="0"/>
  </r>
  <r>
    <x v="0"/>
    <s v="DirecTV NASCAR Campaign 2025"/>
    <s v="Billing Request- 00104409"/>
    <x v="5"/>
    <d v="2025-11-27T00:00:00"/>
    <d v="2026-03-01T00:00:00"/>
    <x v="2"/>
    <s v="a6JHn4244888"/>
    <x v="6"/>
    <s v="Jul"/>
    <s v="Agency submitted updated invoice mapping."/>
    <n v="94"/>
    <x v="0"/>
    <x v="15"/>
    <x v="0"/>
    <x v="0"/>
  </r>
  <r>
    <x v="3"/>
    <s v="NWSL Prime Video 2025"/>
    <s v="Billing Request- 00104411"/>
    <x v="2"/>
    <d v="2025-05-27T00:00:00"/>
    <d v="2025-07-08T00:00:00"/>
    <x v="2"/>
    <s v="a6JXt3404372"/>
    <x v="2"/>
    <s v="Mar; Apr"/>
    <s v="Late media plan changes from client."/>
    <n v="42"/>
    <x v="1"/>
    <x v="4"/>
    <x v="1"/>
    <x v="0"/>
  </r>
  <r>
    <x v="0"/>
    <s v="Confluence Academy 2026"/>
    <s v="Billing Request- 00104415"/>
    <x v="2"/>
    <d v="2026-02-08T00:00:00"/>
    <d v="2026-05-04T00:00:00"/>
    <x v="2"/>
    <s v="a6Jat3424106"/>
    <x v="3"/>
    <s v="Sep; Oct"/>
    <s v=""/>
    <n v="85"/>
    <x v="0"/>
    <x v="1"/>
    <x v="3"/>
    <x v="1"/>
  </r>
  <r>
    <x v="0"/>
    <s v="Prime Sports NFL 2025"/>
    <s v="Billing Request- 00104416"/>
    <x v="0"/>
    <d v="2025-08-08T00:00:00"/>
    <d v="2025-09-12T00:00:00"/>
    <x v="2"/>
    <s v="a6JXt7528706"/>
    <x v="0"/>
    <s v="Aug"/>
    <s v="Manual billing entry issue."/>
    <n v="35"/>
    <x v="1"/>
    <x v="8"/>
    <x v="3"/>
    <x v="0"/>
  </r>
  <r>
    <x v="0"/>
    <s v="Retail Media Expansion 2026"/>
    <s v="Billing Request- 00104417"/>
    <x v="7"/>
    <d v="2026-02-21T00:00:00"/>
    <d v="2026-03-25T00:00:00"/>
    <x v="2"/>
    <s v="a6JHn9596116"/>
    <x v="5"/>
    <s v="Jan; Feb"/>
    <s v=""/>
    <n v="32"/>
    <x v="1"/>
    <x v="1"/>
    <x v="3"/>
    <x v="1"/>
  </r>
  <r>
    <x v="0"/>
    <s v="DirecTV NASCAR Campaign 2025"/>
    <s v="Billing Request- 00104418"/>
    <x v="3"/>
    <d v="2025-09-29T00:00:00"/>
    <d v="2025-10-19T00:00:00"/>
    <x v="2"/>
    <s v="a6JXt8275996"/>
    <x v="6"/>
    <s v="Jan; Feb"/>
    <s v="Invoice details mismatch with approved campaign."/>
    <n v="20"/>
    <x v="3"/>
    <x v="14"/>
    <x v="0"/>
    <x v="0"/>
  </r>
  <r>
    <x v="0"/>
    <s v="Amazon TNF 2024 2025"/>
    <s v="Billing Request- 00104420"/>
    <x v="4"/>
    <d v="2025-07-04T00:00:00"/>
    <d v="2025-07-22T00:00:00"/>
    <x v="2"/>
    <s v="a6JXt7775901"/>
    <x v="2"/>
    <s v="Jul"/>
    <s v="Manual billing entry issue."/>
    <n v="18"/>
    <x v="3"/>
    <x v="12"/>
    <x v="4"/>
    <x v="0"/>
  </r>
  <r>
    <x v="0"/>
    <s v="Global Consumer Products 2026"/>
    <s v="Billing Request- 00104421"/>
    <x v="9"/>
    <d v="2026-02-15T00:00:00"/>
    <d v="2026-05-03T00:00:00"/>
    <x v="2"/>
    <s v="a6Jat3588068"/>
    <x v="2"/>
    <s v="Mar; Apr"/>
    <s v="Agency submitted updated invoice mapping."/>
    <n v="77"/>
    <x v="0"/>
    <x v="1"/>
    <x v="3"/>
    <x v="1"/>
  </r>
  <r>
    <x v="0"/>
    <s v="NWSL Prime Video 2025"/>
    <s v="Billing Request- 00104422"/>
    <x v="8"/>
    <d v="2025-01-29T00:00:00"/>
    <d v="2025-03-28T00:00:00"/>
    <x v="1"/>
    <s v="a6JXt7934202"/>
    <x v="2"/>
    <s v="Aug"/>
    <s v="Finance validation process delay."/>
    <n v="58"/>
    <x v="1"/>
    <x v="0"/>
    <x v="1"/>
    <x v="0"/>
  </r>
  <r>
    <x v="0"/>
    <s v="NBA League Pass 2026"/>
    <s v="Billing Request- 00104426"/>
    <x v="5"/>
    <d v="2026-01-21T00:00:00"/>
    <d v="2026-02-18T00:00:00"/>
    <x v="2"/>
    <s v="a6JHn8928125"/>
    <x v="3"/>
    <s v="May; Jun"/>
    <s v="Missing supporting documentation from vendor."/>
    <n v="28"/>
    <x v="3"/>
    <x v="7"/>
    <x v="2"/>
    <x v="1"/>
  </r>
  <r>
    <x v="0"/>
    <s v="NWSL Prime Video 2026"/>
    <s v="Billing Request- 00104427"/>
    <x v="7"/>
    <d v="2026-03-31T00:00:00"/>
    <d v="2026-05-08T00:00:00"/>
    <x v="2"/>
    <s v="a6JXt6017424"/>
    <x v="5"/>
    <s v="Dec"/>
    <s v=""/>
    <n v="38"/>
    <x v="1"/>
    <x v="2"/>
    <x v="1"/>
    <x v="1"/>
  </r>
  <r>
    <x v="0"/>
    <s v="Streaming Bundle Initiative 2026"/>
    <s v="Billing Request- 00104428"/>
    <x v="2"/>
    <d v="2026-01-03T00:00:00"/>
    <d v="2026-01-07T00:00:00"/>
    <x v="0"/>
    <s v="a6JXt3701912"/>
    <x v="2"/>
    <s v="Nov"/>
    <s v="Client requested retroactive billing adjustments."/>
    <n v="4"/>
    <x v="2"/>
    <x v="7"/>
    <x v="3"/>
    <x v="1"/>
  </r>
  <r>
    <x v="0"/>
    <s v="DirecTV NASCAR Campaign 2026"/>
    <s v="Billing Request- 00104429"/>
    <x v="6"/>
    <d v="2026-01-17T00:00:00"/>
    <d v="2026-05-09T00:00:00"/>
    <x v="2"/>
    <s v="a6JHn4749519"/>
    <x v="2"/>
    <s v="Jul; Aug"/>
    <s v="Invoice details mismatch with approved campaign."/>
    <n v="112"/>
    <x v="0"/>
    <x v="7"/>
    <x v="0"/>
    <x v="1"/>
  </r>
  <r>
    <x v="0"/>
    <s v="NWSL Prime Video 2025"/>
    <s v="Billing Request- 00104431"/>
    <x v="2"/>
    <d v="2025-10-21T00:00:00"/>
    <d v="2026-01-07T00:00:00"/>
    <x v="2"/>
    <s v="a6JXt8202123"/>
    <x v="1"/>
    <s v="Jan; Feb"/>
    <s v="Incorrect legal terms delayed PTS."/>
    <n v="78"/>
    <x v="0"/>
    <x v="5"/>
    <x v="1"/>
    <x v="0"/>
  </r>
  <r>
    <x v="0"/>
    <s v="WNBA Incremental Scatter 2026"/>
    <s v="Billing Request- 00104432"/>
    <x v="6"/>
    <d v="2026-03-24T00:00:00"/>
    <d v="2026-05-08T00:00:00"/>
    <x v="2"/>
    <s v="a6Jat8721116"/>
    <x v="2"/>
    <s v="Feb"/>
    <s v="Finance validation process delay."/>
    <n v="45"/>
    <x v="1"/>
    <x v="2"/>
    <x v="2"/>
    <x v="1"/>
  </r>
  <r>
    <x v="4"/>
    <s v="NWSL Halftime Sponsorship 2026"/>
    <s v="Billing Request- 00104433"/>
    <x v="2"/>
    <d v="2026-05-01T00:00:00"/>
    <d v="2026-05-04T00:00:00"/>
    <x v="0"/>
    <s v="a6JHn2816485"/>
    <x v="3"/>
    <s v="Aug"/>
    <s v=""/>
    <n v="3"/>
    <x v="2"/>
    <x v="16"/>
    <x v="1"/>
    <x v="1"/>
  </r>
  <r>
    <x v="2"/>
    <s v="Amazon TNF 2024 2025"/>
    <s v="Billing Request- 00104434"/>
    <x v="4"/>
    <d v="2025-11-01T00:00:00"/>
    <d v="2026-01-27T00:00:00"/>
    <x v="2"/>
    <s v="a6Jat3599531"/>
    <x v="0"/>
    <s v="Nov"/>
    <s v="Client requested retroactive billing adjustments."/>
    <n v="87"/>
    <x v="0"/>
    <x v="15"/>
    <x v="4"/>
    <x v="0"/>
  </r>
  <r>
    <x v="0"/>
    <s v="NASCAR Apex 2025 2026"/>
    <s v="Billing Request- 00104436"/>
    <x v="2"/>
    <d v="2026-03-07T00:00:00"/>
    <d v="2026-04-17T00:00:00"/>
    <x v="2"/>
    <s v="a6Jat2609212"/>
    <x v="2"/>
    <s v="Nov; Dec"/>
    <s v="Late media plan changes from client."/>
    <n v="41"/>
    <x v="1"/>
    <x v="2"/>
    <x v="0"/>
    <x v="1"/>
  </r>
  <r>
    <x v="4"/>
    <s v="Amazon TNF 2024 2026"/>
    <s v="Billing Request- 00104439"/>
    <x v="4"/>
    <d v="2026-02-23T00:00:00"/>
    <d v="2026-04-17T00:00:00"/>
    <x v="2"/>
    <s v="a6JHn5886686"/>
    <x v="2"/>
    <s v="Sep; Oct"/>
    <s v="Incorrect legal terms delayed PTS."/>
    <n v="53"/>
    <x v="1"/>
    <x v="1"/>
    <x v="4"/>
    <x v="1"/>
  </r>
  <r>
    <x v="0"/>
    <s v="Streaming Bundle Initiative 2025"/>
    <s v="Billing Request- 00104441"/>
    <x v="5"/>
    <d v="2025-10-25T00:00:00"/>
    <d v="2026-02-16T00:00:00"/>
    <x v="2"/>
    <s v="a6Jat1124908"/>
    <x v="5"/>
    <s v="Oct"/>
    <s v="Client requested retroactive billing adjustments."/>
    <n v="114"/>
    <x v="0"/>
    <x v="5"/>
    <x v="3"/>
    <x v="0"/>
  </r>
  <r>
    <x v="0"/>
    <s v="NASCAR P&amp;Q 2025"/>
    <s v="Billing Request- 00104442"/>
    <x v="1"/>
    <d v="2025-02-08T00:00:00"/>
    <d v="2025-04-14T00:00:00"/>
    <x v="0"/>
    <s v="a6JXt4184031"/>
    <x v="5"/>
    <s v="Apr"/>
    <s v="Agency submitted updated invoice mapping."/>
    <n v="65"/>
    <x v="0"/>
    <x v="6"/>
    <x v="0"/>
    <x v="0"/>
  </r>
  <r>
    <x v="0"/>
    <s v="Global Consumer Products 2025"/>
    <s v="Billing Request- 00104443"/>
    <x v="2"/>
    <d v="2025-01-28T00:00:00"/>
    <d v="2025-03-03T00:00:00"/>
    <x v="2"/>
    <s v="a6JHn6468515"/>
    <x v="5"/>
    <s v="Nov; Dec"/>
    <s v="Incorrect legal terms delayed PTS."/>
    <n v="34"/>
    <x v="1"/>
    <x v="0"/>
    <x v="3"/>
    <x v="0"/>
  </r>
  <r>
    <x v="0"/>
    <s v="NFL Prime Video 2025"/>
    <s v="Billing Request- 00104444"/>
    <x v="2"/>
    <d v="2025-05-20T00:00:00"/>
    <d v="2025-06-24T00:00:00"/>
    <x v="1"/>
    <s v="a6JHn6925861"/>
    <x v="0"/>
    <s v="Mar"/>
    <s v="Agency submitted updated invoice mapping."/>
    <n v="35"/>
    <x v="1"/>
    <x v="4"/>
    <x v="3"/>
    <x v="0"/>
  </r>
  <r>
    <x v="0"/>
    <s v="NASCAR Apex 2025 2026"/>
    <s v="Billing Request- 00104445"/>
    <x v="6"/>
    <d v="2026-01-14T00:00:00"/>
    <d v="2026-04-12T00:00:00"/>
    <x v="2"/>
    <s v="a6JHn1619635"/>
    <x v="0"/>
    <s v="Jan; Feb"/>
    <s v="Agency submitted updated invoice mapping."/>
    <n v="88"/>
    <x v="0"/>
    <x v="7"/>
    <x v="0"/>
    <x v="1"/>
  </r>
  <r>
    <x v="0"/>
    <s v="TNF Sponsorship 2025"/>
    <s v="Billing Request- 00104449"/>
    <x v="7"/>
    <d v="2025-05-08T00:00:00"/>
    <d v="2025-07-22T00:00:00"/>
    <x v="2"/>
    <s v="a6Jat1699056"/>
    <x v="3"/>
    <s v="May"/>
    <s v="Incorrect legal terms delayed PTS."/>
    <n v="75"/>
    <x v="0"/>
    <x v="4"/>
    <x v="4"/>
    <x v="0"/>
  </r>
  <r>
    <x v="0"/>
    <s v="NWSL Halftime Sponsorship 2025"/>
    <s v="Billing Request- 00104450"/>
    <x v="2"/>
    <d v="2025-10-18T00:00:00"/>
    <d v="2026-01-20T00:00:00"/>
    <x v="2"/>
    <s v="a6JHn8089838"/>
    <x v="0"/>
    <s v="Mar"/>
    <s v="Late media plan changes from client."/>
    <n v="94"/>
    <x v="0"/>
    <x v="5"/>
    <x v="1"/>
    <x v="0"/>
  </r>
  <r>
    <x v="0"/>
    <s v="Amazon NBA Live Sports 2026"/>
    <s v="Billing Request- 00104453"/>
    <x v="2"/>
    <d v="2026-04-05T00:00:00"/>
    <d v="2026-04-26T00:00:00"/>
    <x v="0"/>
    <s v="a6Jat4477667"/>
    <x v="0"/>
    <s v="Jul"/>
    <s v="Manual billing entry issue."/>
    <n v="21"/>
    <x v="3"/>
    <x v="10"/>
    <x v="2"/>
    <x v="1"/>
  </r>
  <r>
    <x v="0"/>
    <s v="NWSL Prime Video 2025"/>
    <s v="Billing Request- 00104454"/>
    <x v="9"/>
    <d v="2025-04-03T00:00:00"/>
    <d v="2025-06-08T00:00:00"/>
    <x v="0"/>
    <s v="a6JHn6366867"/>
    <x v="5"/>
    <s v="Jan; Feb"/>
    <s v="Missing supporting documentation from vendor."/>
    <n v="66"/>
    <x v="0"/>
    <x v="3"/>
    <x v="1"/>
    <x v="0"/>
  </r>
  <r>
    <x v="0"/>
    <s v="DirecTV NASCAR Campaign 2026"/>
    <s v="Billing Request- 00104455"/>
    <x v="7"/>
    <d v="2026-01-09T00:00:00"/>
    <d v="2026-04-15T00:00:00"/>
    <x v="2"/>
    <s v="a6JHn6866549"/>
    <x v="5"/>
    <s v="Apr"/>
    <s v="Invoice details mismatch with approved campaign."/>
    <n v="96"/>
    <x v="0"/>
    <x v="7"/>
    <x v="0"/>
    <x v="1"/>
  </r>
  <r>
    <x v="4"/>
    <s v="Amazon TNF 2024 2025"/>
    <s v="Billing Request- 00104456"/>
    <x v="8"/>
    <d v="2025-07-10T00:00:00"/>
    <d v="2025-10-29T00:00:00"/>
    <x v="2"/>
    <s v="a6JXt6587167"/>
    <x v="5"/>
    <s v="Apr"/>
    <s v=""/>
    <n v="111"/>
    <x v="0"/>
    <x v="12"/>
    <x v="4"/>
    <x v="0"/>
  </r>
  <r>
    <x v="0"/>
    <s v="Global Consumer Products 2025"/>
    <s v="Billing Request- 00104457"/>
    <x v="3"/>
    <d v="2025-09-04T00:00:00"/>
    <d v="2025-11-02T00:00:00"/>
    <x v="0"/>
    <s v="a6Jat5731957"/>
    <x v="5"/>
    <s v="Apr"/>
    <s v="Invoice details mismatch with approved campaign."/>
    <n v="59"/>
    <x v="1"/>
    <x v="14"/>
    <x v="3"/>
    <x v="0"/>
  </r>
  <r>
    <x v="0"/>
    <s v="TNF Sponsorship 2025"/>
    <s v="Billing Request- 00104458"/>
    <x v="2"/>
    <d v="2025-11-21T00:00:00"/>
    <d v="2026-03-02T00:00:00"/>
    <x v="2"/>
    <s v="a6JXt6723129"/>
    <x v="6"/>
    <s v="May; Jun"/>
    <s v="Incorrect legal terms delayed PTS."/>
    <n v="101"/>
    <x v="0"/>
    <x v="15"/>
    <x v="4"/>
    <x v="0"/>
  </r>
  <r>
    <x v="0"/>
    <s v="Amazon NBA Live Sports 2026"/>
    <s v="Billing Request- 00104460"/>
    <x v="9"/>
    <d v="2026-03-22T00:00:00"/>
    <d v="2026-05-07T00:00:00"/>
    <x v="1"/>
    <s v="a6JHn8139701"/>
    <x v="3"/>
    <s v="Dec"/>
    <s v="Client requested retroactive billing adjustments."/>
    <n v="46"/>
    <x v="1"/>
    <x v="2"/>
    <x v="2"/>
    <x v="1"/>
  </r>
  <r>
    <x v="0"/>
    <s v="Prime Sports NFL 2026"/>
    <s v="Billing Request- 00104462"/>
    <x v="7"/>
    <d v="2026-03-21T00:00:00"/>
    <d v="2026-05-04T00:00:00"/>
    <x v="2"/>
    <s v="a6Jat9669225"/>
    <x v="0"/>
    <s v="Jul"/>
    <s v="Invoice details mismatch with approved campaign."/>
    <n v="44"/>
    <x v="1"/>
    <x v="2"/>
    <x v="3"/>
    <x v="1"/>
  </r>
  <r>
    <x v="0"/>
    <s v="NASCAR P&amp;Q 2025"/>
    <s v="Billing Request- 00104463"/>
    <x v="1"/>
    <d v="2025-01-31T00:00:00"/>
    <d v="2025-04-26T00:00:00"/>
    <x v="0"/>
    <s v="a6Jat4349758"/>
    <x v="2"/>
    <s v="Jul"/>
    <s v="Invoice details mismatch with approved campaign."/>
    <n v="85"/>
    <x v="0"/>
    <x v="0"/>
    <x v="0"/>
    <x v="0"/>
  </r>
  <r>
    <x v="0"/>
    <s v="NFL Prime Video 2025"/>
    <s v="Billing Request- 00104464"/>
    <x v="2"/>
    <d v="2025-02-25T00:00:00"/>
    <d v="2025-04-23T00:00:00"/>
    <x v="2"/>
    <s v="a6Jat5984582"/>
    <x v="0"/>
    <s v="Jul"/>
    <s v="Finance validation process delay."/>
    <n v="57"/>
    <x v="1"/>
    <x v="6"/>
    <x v="3"/>
    <x v="0"/>
  </r>
  <r>
    <x v="0"/>
    <s v="Global Consumer Products 2025"/>
    <s v="Billing Request- 00104466"/>
    <x v="8"/>
    <d v="2025-06-24T00:00:00"/>
    <d v="2025-09-18T00:00:00"/>
    <x v="2"/>
    <s v="a6JXt6269544"/>
    <x v="3"/>
    <s v="Jan"/>
    <s v=""/>
    <n v="86"/>
    <x v="0"/>
    <x v="9"/>
    <x v="3"/>
    <x v="0"/>
  </r>
  <r>
    <x v="0"/>
    <s v="Prime Sports NFL 2025"/>
    <s v="Billing Request- 00104467"/>
    <x v="1"/>
    <d v="2025-08-17T00:00:00"/>
    <d v="2025-09-22T00:00:00"/>
    <x v="2"/>
    <s v="a6JXt8044262"/>
    <x v="2"/>
    <s v="Jul; Aug"/>
    <s v="Invoice details mismatch with approved campaign."/>
    <n v="36"/>
    <x v="1"/>
    <x v="8"/>
    <x v="3"/>
    <x v="0"/>
  </r>
  <r>
    <x v="0"/>
    <s v="Confluence Academy 2025"/>
    <s v="Billing Request- 00104468"/>
    <x v="2"/>
    <d v="2025-08-13T00:00:00"/>
    <d v="2025-10-15T00:00:00"/>
    <x v="2"/>
    <s v="a6Jat5851455"/>
    <x v="4"/>
    <s v="Nov"/>
    <s v="Incorrect legal terms delayed PTS."/>
    <n v="63"/>
    <x v="0"/>
    <x v="8"/>
    <x v="3"/>
    <x v="0"/>
  </r>
  <r>
    <x v="0"/>
    <s v="DirecTV NASCAR Campaign 2025"/>
    <s v="Billing Request- 00104470"/>
    <x v="8"/>
    <d v="2025-08-10T00:00:00"/>
    <d v="2025-09-10T00:00:00"/>
    <x v="2"/>
    <s v="a6JHn2461765"/>
    <x v="6"/>
    <s v="Jan; Feb"/>
    <s v="Late media plan changes from client."/>
    <n v="31"/>
    <x v="1"/>
    <x v="8"/>
    <x v="0"/>
    <x v="0"/>
  </r>
  <r>
    <x v="0"/>
    <s v="NASCAR Apex 2025 2025"/>
    <s v="Billing Request- 00104471"/>
    <x v="5"/>
    <d v="2025-03-02T00:00:00"/>
    <d v="2025-04-10T00:00:00"/>
    <x v="2"/>
    <s v="a6JXt6864413"/>
    <x v="6"/>
    <s v="Apr"/>
    <s v="Invoice details mismatch with approved campaign."/>
    <n v="39"/>
    <x v="1"/>
    <x v="13"/>
    <x v="0"/>
    <x v="0"/>
  </r>
  <r>
    <x v="0"/>
    <s v="NWSL Halftime Sponsorship 2025"/>
    <s v="Billing Request- 00104472"/>
    <x v="8"/>
    <d v="2025-02-18T00:00:00"/>
    <d v="2025-03-26T00:00:00"/>
    <x v="1"/>
    <s v="a6Jat6883822"/>
    <x v="4"/>
    <s v="Jul"/>
    <s v="Finance validation process delay."/>
    <n v="36"/>
    <x v="1"/>
    <x v="6"/>
    <x v="1"/>
    <x v="0"/>
  </r>
  <r>
    <x v="0"/>
    <s v="Amazon TNF 2024 2025"/>
    <s v="Billing Request- 00104473"/>
    <x v="1"/>
    <d v="2025-09-23T00:00:00"/>
    <d v="2025-10-28T00:00:00"/>
    <x v="2"/>
    <s v="a6JHn9503169"/>
    <x v="6"/>
    <s v="Jan"/>
    <s v="Finance validation process delay."/>
    <n v="35"/>
    <x v="1"/>
    <x v="14"/>
    <x v="4"/>
    <x v="0"/>
  </r>
  <r>
    <x v="0"/>
    <s v="NWSL Halftime Sponsorship 2025"/>
    <s v="Billing Request- 00104475"/>
    <x v="0"/>
    <d v="2025-04-07T00:00:00"/>
    <d v="2025-06-16T00:00:00"/>
    <x v="2"/>
    <s v="a6JHn3933318"/>
    <x v="0"/>
    <s v="Mar; Apr"/>
    <s v="Incorrect legal terms delayed PTS."/>
    <n v="70"/>
    <x v="0"/>
    <x v="3"/>
    <x v="1"/>
    <x v="0"/>
  </r>
  <r>
    <x v="3"/>
    <s v="NASCAR P&amp;Q 2026"/>
    <s v="Billing Request- 00104476"/>
    <x v="3"/>
    <d v="2026-01-13T00:00:00"/>
    <d v="2026-03-23T00:00:00"/>
    <x v="2"/>
    <s v="a6Jat7419285"/>
    <x v="3"/>
    <s v="Sep; Oct"/>
    <s v="Agency submitted updated invoice mapping."/>
    <n v="69"/>
    <x v="0"/>
    <x v="7"/>
    <x v="0"/>
    <x v="1"/>
  </r>
  <r>
    <x v="0"/>
    <s v="Amazon TNF 2024 2026"/>
    <s v="Billing Request- 00104477"/>
    <x v="2"/>
    <d v="2026-02-13T00:00:00"/>
    <d v="2026-03-11T00:00:00"/>
    <x v="2"/>
    <s v="a6JHn7462043"/>
    <x v="3"/>
    <s v="Nov"/>
    <s v="Client requested retroactive billing adjustments."/>
    <n v="26"/>
    <x v="3"/>
    <x v="1"/>
    <x v="4"/>
    <x v="1"/>
  </r>
  <r>
    <x v="0"/>
    <s v="Global Consumer Products 2026"/>
    <s v="Billing Request- 00104480"/>
    <x v="4"/>
    <d v="2026-02-26T00:00:00"/>
    <d v="2026-05-06T00:00:00"/>
    <x v="0"/>
    <s v="a6Jat7473301"/>
    <x v="3"/>
    <s v="Feb"/>
    <s v="Late media plan changes from client."/>
    <n v="69"/>
    <x v="0"/>
    <x v="1"/>
    <x v="3"/>
    <x v="1"/>
  </r>
  <r>
    <x v="0"/>
    <s v="NASCAR P&amp;Q 2025"/>
    <s v="Billing Request- 00104481"/>
    <x v="2"/>
    <d v="2025-07-02T00:00:00"/>
    <d v="2025-07-29T00:00:00"/>
    <x v="0"/>
    <s v="a6JXt7141336"/>
    <x v="5"/>
    <s v="Jul"/>
    <s v="Client requested retroactive billing adjustments."/>
    <n v="27"/>
    <x v="3"/>
    <x v="12"/>
    <x v="0"/>
    <x v="0"/>
  </r>
  <r>
    <x v="3"/>
    <s v="Streaming Bundle Initiative 2026"/>
    <s v="Billing Request- 00104482"/>
    <x v="7"/>
    <d v="2026-03-30T00:00:00"/>
    <d v="2026-05-08T00:00:00"/>
    <x v="0"/>
    <s v="a6JHn2619836"/>
    <x v="2"/>
    <s v="Dec"/>
    <s v="Missing supporting documentation from vendor."/>
    <n v="39"/>
    <x v="1"/>
    <x v="2"/>
    <x v="3"/>
    <x v="1"/>
  </r>
  <r>
    <x v="3"/>
    <s v="WNBA Incremental Scatter 2025"/>
    <s v="Billing Request- 00104484"/>
    <x v="0"/>
    <d v="2025-02-15T00:00:00"/>
    <d v="2025-03-21T00:00:00"/>
    <x v="2"/>
    <s v="a6Jat2155305"/>
    <x v="5"/>
    <s v="Mar"/>
    <s v="Manual billing entry issue."/>
    <n v="34"/>
    <x v="1"/>
    <x v="6"/>
    <x v="2"/>
    <x v="0"/>
  </r>
  <r>
    <x v="0"/>
    <s v="NFL Prime Video 2025"/>
    <s v="Billing Request- 00104485"/>
    <x v="4"/>
    <d v="2025-08-03T00:00:00"/>
    <d v="2025-09-12T00:00:00"/>
    <x v="1"/>
    <s v="a6Jat8180944"/>
    <x v="6"/>
    <s v="Mar; Apr"/>
    <s v="Agency submitted updated invoice mapping."/>
    <n v="40"/>
    <x v="1"/>
    <x v="8"/>
    <x v="3"/>
    <x v="0"/>
  </r>
  <r>
    <x v="0"/>
    <s v="NBA Playoffs Campaign 2025"/>
    <s v="Billing Request- 00104486"/>
    <x v="0"/>
    <d v="2025-11-27T00:00:00"/>
    <d v="2026-02-09T00:00:00"/>
    <x v="2"/>
    <s v="a6JHn8759448"/>
    <x v="5"/>
    <s v="Jul"/>
    <s v=""/>
    <n v="74"/>
    <x v="0"/>
    <x v="15"/>
    <x v="2"/>
    <x v="0"/>
  </r>
  <r>
    <x v="0"/>
    <s v="Global Consumer Products 2025"/>
    <s v="Billing Request- 00104487"/>
    <x v="5"/>
    <d v="2025-06-13T00:00:00"/>
    <d v="2025-10-10T00:00:00"/>
    <x v="0"/>
    <s v="a6JXt3805553"/>
    <x v="3"/>
    <s v="Mar"/>
    <s v="Finance validation process delay."/>
    <n v="119"/>
    <x v="0"/>
    <x v="9"/>
    <x v="3"/>
    <x v="0"/>
  </r>
  <r>
    <x v="0"/>
    <s v="Retail Media Expansion 2026"/>
    <s v="Billing Request- 00104489"/>
    <x v="4"/>
    <d v="2026-03-27T00:00:00"/>
    <d v="2026-05-08T00:00:00"/>
    <x v="2"/>
    <s v="a6JHn8617932"/>
    <x v="4"/>
    <s v="Mar"/>
    <s v="Client requested retroactive billing adjustments."/>
    <n v="42"/>
    <x v="1"/>
    <x v="2"/>
    <x v="3"/>
    <x v="1"/>
  </r>
  <r>
    <x v="0"/>
    <s v="NWSL Halftime Sponsorship 2025"/>
    <s v="Billing Request- 00104492"/>
    <x v="2"/>
    <d v="2025-04-29T00:00:00"/>
    <d v="2025-07-18T00:00:00"/>
    <x v="2"/>
    <s v="a6Jat7235222"/>
    <x v="4"/>
    <s v="Feb"/>
    <s v="Manual billing entry issue."/>
    <n v="80"/>
    <x v="0"/>
    <x v="3"/>
    <x v="1"/>
    <x v="0"/>
  </r>
  <r>
    <x v="0"/>
    <s v="WNBA Incremental Scatter 2026"/>
    <s v="Billing Request- 00104493"/>
    <x v="9"/>
    <d v="2026-03-05T00:00:00"/>
    <d v="2026-05-07T00:00:00"/>
    <x v="2"/>
    <s v="a6JXt5807148"/>
    <x v="0"/>
    <s v="Jan"/>
    <s v="Missing supporting documentation from vendor."/>
    <n v="63"/>
    <x v="0"/>
    <x v="2"/>
    <x v="2"/>
    <x v="1"/>
  </r>
  <r>
    <x v="1"/>
    <s v="NWSL Halftime Sponsorship 2026"/>
    <s v="Billing Request- 00104494"/>
    <x v="1"/>
    <d v="2026-02-08T00:00:00"/>
    <d v="2026-05-07T00:00:00"/>
    <x v="2"/>
    <s v="a6JHn7966211"/>
    <x v="6"/>
    <s v="Nov; Dec"/>
    <s v="Client requested retroactive billing adjustments."/>
    <n v="88"/>
    <x v="0"/>
    <x v="1"/>
    <x v="1"/>
    <x v="1"/>
  </r>
  <r>
    <x v="0"/>
    <s v="WNBA Incremental Scatter 2025"/>
    <s v="Billing Request- 00104495"/>
    <x v="7"/>
    <d v="2025-02-09T00:00:00"/>
    <d v="2025-02-14T00:00:00"/>
    <x v="0"/>
    <s v="a6JXt3346808"/>
    <x v="5"/>
    <s v="Nov"/>
    <s v="Invoice details mismatch with approved campaign."/>
    <n v="5"/>
    <x v="2"/>
    <x v="6"/>
    <x v="2"/>
    <x v="0"/>
  </r>
  <r>
    <x v="0"/>
    <s v="Amazon NBA Live Sports 2025"/>
    <s v="Billing Request- 00104497"/>
    <x v="2"/>
    <d v="2025-04-29T00:00:00"/>
    <d v="2025-07-19T00:00:00"/>
    <x v="0"/>
    <s v="a6Jat5948813"/>
    <x v="3"/>
    <s v="Jul"/>
    <s v="Finance validation process delay."/>
    <n v="81"/>
    <x v="0"/>
    <x v="3"/>
    <x v="2"/>
    <x v="0"/>
  </r>
  <r>
    <x v="0"/>
    <s v="TNF Sponsorship 2026"/>
    <s v="Billing Request- 00104499"/>
    <x v="3"/>
    <d v="2026-01-21T00:00:00"/>
    <d v="2026-04-18T00:00:00"/>
    <x v="2"/>
    <s v="a6Jat8092015"/>
    <x v="3"/>
    <s v="Jun"/>
    <s v="Manual billing entry issue."/>
    <n v="87"/>
    <x v="0"/>
    <x v="7"/>
    <x v="4"/>
    <x v="1"/>
  </r>
  <r>
    <x v="4"/>
    <s v="NASCAR Apex 2025 2026"/>
    <s v="Billing Request- 00104500"/>
    <x v="7"/>
    <d v="2026-04-11T00:00:00"/>
    <d v="2026-05-06T00:00:00"/>
    <x v="2"/>
    <s v="a6JXt1681539"/>
    <x v="4"/>
    <s v="Jan; Feb"/>
    <s v="Manual billing entry issue."/>
    <n v="25"/>
    <x v="3"/>
    <x v="10"/>
    <x v="0"/>
    <x v="1"/>
  </r>
  <r>
    <x v="0"/>
    <s v="NASCAR Apex 2025 2025"/>
    <s v="Billing Request- 00104505"/>
    <x v="0"/>
    <d v="2025-12-16T00:00:00"/>
    <d v="2026-02-13T00:00:00"/>
    <x v="2"/>
    <s v="a6JXt2400418"/>
    <x v="2"/>
    <s v="Jan"/>
    <s v="Client requested retroactive billing adjustments."/>
    <n v="59"/>
    <x v="1"/>
    <x v="11"/>
    <x v="0"/>
    <x v="0"/>
  </r>
  <r>
    <x v="0"/>
    <s v="NASCAR P&amp;Q 2026"/>
    <s v="Billing Request- 00104508"/>
    <x v="9"/>
    <d v="2026-04-05T00:00:00"/>
    <d v="2026-05-05T00:00:00"/>
    <x v="2"/>
    <s v="a6Jat1996110"/>
    <x v="3"/>
    <s v="Mar"/>
    <s v="Late media plan changes from client."/>
    <n v="30"/>
    <x v="3"/>
    <x v="10"/>
    <x v="0"/>
    <x v="1"/>
  </r>
  <r>
    <x v="4"/>
    <s v="NWSL Halftime Sponsorship 2025"/>
    <s v="Billing Request- 00104509"/>
    <x v="2"/>
    <d v="2025-05-10T00:00:00"/>
    <d v="2025-08-26T00:00:00"/>
    <x v="1"/>
    <s v="a6JXt7101238"/>
    <x v="2"/>
    <s v="Jul"/>
    <s v="Incorrect legal terms delayed PTS."/>
    <n v="108"/>
    <x v="0"/>
    <x v="4"/>
    <x v="1"/>
    <x v="0"/>
  </r>
  <r>
    <x v="0"/>
    <s v="NWSL Prime Video 2026"/>
    <s v="Billing Request- 00104515"/>
    <x v="8"/>
    <d v="2026-04-13T00:00:00"/>
    <d v="2026-05-08T00:00:00"/>
    <x v="2"/>
    <s v="a6JHn6086984"/>
    <x v="4"/>
    <s v="Nov"/>
    <s v="Late media plan changes from client."/>
    <n v="25"/>
    <x v="3"/>
    <x v="10"/>
    <x v="1"/>
    <x v="1"/>
  </r>
  <r>
    <x v="0"/>
    <s v="NBA League Pass 2025"/>
    <s v="Billing Request- 00104516"/>
    <x v="4"/>
    <d v="2025-12-25T00:00:00"/>
    <d v="2026-03-09T00:00:00"/>
    <x v="2"/>
    <s v="a6JXt7674593"/>
    <x v="1"/>
    <s v="Oct"/>
    <s v="Agency submitted updated invoice mapping."/>
    <n v="74"/>
    <x v="0"/>
    <x v="11"/>
    <x v="2"/>
    <x v="0"/>
  </r>
  <r>
    <x v="0"/>
    <s v="NWSL Prime Video 2025"/>
    <s v="Billing Request- 00104518"/>
    <x v="3"/>
    <d v="2025-11-17T00:00:00"/>
    <d v="2025-12-11T00:00:00"/>
    <x v="2"/>
    <s v="a6JXt2642440"/>
    <x v="2"/>
    <s v="Nov; Dec"/>
    <s v="Incorrect legal terms delayed PTS."/>
    <n v="24"/>
    <x v="3"/>
    <x v="15"/>
    <x v="1"/>
    <x v="0"/>
  </r>
  <r>
    <x v="0"/>
    <s v="WNBA Incremental Scatter 2025"/>
    <s v="Billing Request- 00104521"/>
    <x v="7"/>
    <d v="2025-11-29T00:00:00"/>
    <d v="2025-12-27T00:00:00"/>
    <x v="2"/>
    <s v="a6JHn4419219"/>
    <x v="0"/>
    <s v="Jul; Aug"/>
    <s v="Client requested retroactive billing adjustments."/>
    <n v="28"/>
    <x v="3"/>
    <x v="15"/>
    <x v="2"/>
    <x v="0"/>
  </r>
  <r>
    <x v="0"/>
    <s v="Amazon NBA Live Sports 2025"/>
    <s v="Billing Request- 00104522"/>
    <x v="5"/>
    <d v="2025-01-27T00:00:00"/>
    <d v="2025-03-08T00:00:00"/>
    <x v="1"/>
    <s v="a6JXt8730250"/>
    <x v="1"/>
    <s v="Dec"/>
    <s v="Manual billing entry issue."/>
    <n v="40"/>
    <x v="1"/>
    <x v="0"/>
    <x v="2"/>
    <x v="0"/>
  </r>
  <r>
    <x v="0"/>
    <s v="Amazon TNF 2024 2025"/>
    <s v="Billing Request- 00104523"/>
    <x v="7"/>
    <d v="2025-09-10T00:00:00"/>
    <d v="2025-09-28T00:00:00"/>
    <x v="2"/>
    <s v="a6Jat1124054"/>
    <x v="1"/>
    <s v="Jun"/>
    <s v="Invoice details mismatch with approved campaign."/>
    <n v="18"/>
    <x v="3"/>
    <x v="14"/>
    <x v="4"/>
    <x v="0"/>
  </r>
  <r>
    <x v="0"/>
    <s v="NASCAR P&amp;Q 2026"/>
    <s v="Billing Request- 00104524"/>
    <x v="6"/>
    <d v="2026-04-17T00:00:00"/>
    <d v="2026-05-06T00:00:00"/>
    <x v="0"/>
    <s v="a6Jat2684394"/>
    <x v="6"/>
    <s v="Mar; Apr"/>
    <s v=""/>
    <n v="19"/>
    <x v="3"/>
    <x v="10"/>
    <x v="0"/>
    <x v="1"/>
  </r>
  <r>
    <x v="0"/>
    <s v="NBA League Pass 2025"/>
    <s v="Billing Request- 00104526"/>
    <x v="9"/>
    <d v="2025-11-11T00:00:00"/>
    <d v="2025-11-15T00:00:00"/>
    <x v="2"/>
    <s v="a6Jat6969048"/>
    <x v="2"/>
    <s v="Nov"/>
    <s v="Manual billing entry issue."/>
    <n v="4"/>
    <x v="2"/>
    <x v="15"/>
    <x v="2"/>
    <x v="0"/>
  </r>
  <r>
    <x v="0"/>
    <s v="NFL Prime Video 2026"/>
    <s v="Billing Request- 00104527"/>
    <x v="6"/>
    <d v="2026-04-08T00:00:00"/>
    <d v="2026-05-06T00:00:00"/>
    <x v="2"/>
    <s v="a6JXt4284150"/>
    <x v="6"/>
    <s v="Oct"/>
    <s v="Invoice details mismatch with approved campaign."/>
    <n v="28"/>
    <x v="3"/>
    <x v="10"/>
    <x v="3"/>
    <x v="1"/>
  </r>
  <r>
    <x v="0"/>
    <s v="Retail Media Expansion 2026"/>
    <s v="Billing Request- 00104529"/>
    <x v="8"/>
    <d v="2026-04-25T00:00:00"/>
    <d v="2026-05-05T00:00:00"/>
    <x v="2"/>
    <s v="a6JHn6960712"/>
    <x v="0"/>
    <s v="Nov"/>
    <s v=""/>
    <n v="10"/>
    <x v="4"/>
    <x v="10"/>
    <x v="3"/>
    <x v="1"/>
  </r>
  <r>
    <x v="0"/>
    <s v="NWSL Halftime Sponsorship 2026"/>
    <s v="Billing Request- 00104532"/>
    <x v="0"/>
    <d v="2026-01-04T00:00:00"/>
    <d v="2026-01-18T00:00:00"/>
    <x v="0"/>
    <s v="a6Jat5518821"/>
    <x v="6"/>
    <s v="Sep"/>
    <s v="Incorrect legal terms delayed PTS."/>
    <n v="14"/>
    <x v="4"/>
    <x v="7"/>
    <x v="1"/>
    <x v="1"/>
  </r>
  <r>
    <x v="0"/>
    <s v="NWSL Prime Video 2026"/>
    <s v="Billing Request- 00104533"/>
    <x v="8"/>
    <d v="2026-03-30T00:00:00"/>
    <d v="2026-04-16T00:00:00"/>
    <x v="1"/>
    <s v="a6JHn3804005"/>
    <x v="4"/>
    <s v="Mar"/>
    <s v="Agency submitted updated invoice mapping."/>
    <n v="17"/>
    <x v="3"/>
    <x v="2"/>
    <x v="1"/>
    <x v="1"/>
  </r>
  <r>
    <x v="0"/>
    <s v="NASCAR Apex 2025 2026"/>
    <s v="Billing Request- 00104534"/>
    <x v="0"/>
    <d v="2026-04-14T00:00:00"/>
    <d v="2026-05-04T00:00:00"/>
    <x v="2"/>
    <s v="a6JXt9070866"/>
    <x v="0"/>
    <s v="Jul; Aug"/>
    <s v="Late media plan changes from client."/>
    <n v="20"/>
    <x v="3"/>
    <x v="10"/>
    <x v="0"/>
    <x v="1"/>
  </r>
  <r>
    <x v="0"/>
    <s v="Amazon NBA Live Sports 2025"/>
    <s v="Billing Request- 00104535"/>
    <x v="1"/>
    <d v="2025-11-19T00:00:00"/>
    <d v="2026-03-09T00:00:00"/>
    <x v="2"/>
    <s v="a6Jat1079967"/>
    <x v="2"/>
    <s v="Aug"/>
    <s v="Manual billing entry issue."/>
    <n v="110"/>
    <x v="0"/>
    <x v="15"/>
    <x v="2"/>
    <x v="0"/>
  </r>
  <r>
    <x v="0"/>
    <s v="DirecTV NASCAR Campaign 2025"/>
    <s v="Billing Request- 00104537"/>
    <x v="1"/>
    <d v="2025-07-17T00:00:00"/>
    <d v="2025-07-27T00:00:00"/>
    <x v="2"/>
    <s v="a6JXt6902803"/>
    <x v="3"/>
    <s v="May; Jun"/>
    <s v="Invoice details mismatch with approved campaign."/>
    <n v="10"/>
    <x v="4"/>
    <x v="12"/>
    <x v="0"/>
    <x v="0"/>
  </r>
  <r>
    <x v="0"/>
    <s v="NFL Prime Video 2025"/>
    <s v="Billing Request- 00104538"/>
    <x v="9"/>
    <d v="2025-03-05T00:00:00"/>
    <d v="2025-04-28T00:00:00"/>
    <x v="2"/>
    <s v="a6JHn3520509"/>
    <x v="6"/>
    <s v="Mar; Apr"/>
    <s v=""/>
    <n v="54"/>
    <x v="1"/>
    <x v="13"/>
    <x v="3"/>
    <x v="0"/>
  </r>
  <r>
    <x v="0"/>
    <s v="NWSL Prime Video 2026"/>
    <s v="Billing Request- 00104539"/>
    <x v="0"/>
    <d v="2026-02-10T00:00:00"/>
    <d v="2026-04-16T00:00:00"/>
    <x v="2"/>
    <s v="a6Jat1180747"/>
    <x v="0"/>
    <s v="Jan; Feb"/>
    <s v="Incorrect legal terms delayed PTS."/>
    <n v="65"/>
    <x v="0"/>
    <x v="1"/>
    <x v="1"/>
    <x v="1"/>
  </r>
  <r>
    <x v="0"/>
    <s v="NBA Playoffs Campaign 2025"/>
    <s v="Billing Request- 00104540"/>
    <x v="0"/>
    <d v="2025-07-08T00:00:00"/>
    <d v="2025-09-25T00:00:00"/>
    <x v="2"/>
    <s v="a6JHn9855482"/>
    <x v="6"/>
    <s v="Nov; Dec"/>
    <s v=""/>
    <n v="79"/>
    <x v="0"/>
    <x v="12"/>
    <x v="2"/>
    <x v="0"/>
  </r>
  <r>
    <x v="0"/>
    <s v="Confluence Academy 2025"/>
    <s v="Billing Request- 00104541"/>
    <x v="8"/>
    <d v="2025-01-23T00:00:00"/>
    <d v="2025-03-19T00:00:00"/>
    <x v="0"/>
    <s v="a6Jat5791625"/>
    <x v="2"/>
    <s v="Mar"/>
    <s v="Incorrect legal terms delayed PTS."/>
    <n v="55"/>
    <x v="1"/>
    <x v="0"/>
    <x v="3"/>
    <x v="0"/>
  </r>
  <r>
    <x v="0"/>
    <s v="WNBA Incremental Scatter 2025"/>
    <s v="Billing Request- 00104543"/>
    <x v="7"/>
    <d v="2025-03-13T00:00:00"/>
    <d v="2025-05-28T00:00:00"/>
    <x v="2"/>
    <s v="a6Jat4433503"/>
    <x v="3"/>
    <s v="Nov; Dec"/>
    <s v="Agency submitted updated invoice mapping."/>
    <n v="76"/>
    <x v="0"/>
    <x v="13"/>
    <x v="2"/>
    <x v="0"/>
  </r>
  <r>
    <x v="0"/>
    <s v="NWSL Prime Video 2026"/>
    <s v="Billing Request- 00104545"/>
    <x v="7"/>
    <d v="2026-04-28T00:00:00"/>
    <d v="2026-05-08T00:00:00"/>
    <x v="2"/>
    <s v="a6JXt3623491"/>
    <x v="0"/>
    <s v="Jan"/>
    <s v=""/>
    <n v="10"/>
    <x v="4"/>
    <x v="10"/>
    <x v="1"/>
    <x v="1"/>
  </r>
  <r>
    <x v="4"/>
    <s v="Streaming Bundle Initiative 2025"/>
    <s v="Billing Request- 00104546"/>
    <x v="1"/>
    <d v="2025-04-04T00:00:00"/>
    <d v="2025-04-21T00:00:00"/>
    <x v="0"/>
    <s v="a6JHn6520283"/>
    <x v="3"/>
    <s v="Sep"/>
    <s v="Late media plan changes from client."/>
    <n v="17"/>
    <x v="3"/>
    <x v="3"/>
    <x v="3"/>
    <x v="0"/>
  </r>
  <r>
    <x v="0"/>
    <s v="NASCAR P&amp;Q 2026"/>
    <s v="Billing Request- 00104547"/>
    <x v="3"/>
    <d v="2026-04-07T00:00:00"/>
    <d v="2026-05-06T00:00:00"/>
    <x v="2"/>
    <s v="a6Jat7410978"/>
    <x v="6"/>
    <s v="Oct"/>
    <s v=""/>
    <n v="29"/>
    <x v="3"/>
    <x v="10"/>
    <x v="0"/>
    <x v="1"/>
  </r>
  <r>
    <x v="0"/>
    <s v="Prime Sports NFL 2025"/>
    <s v="Billing Request- 00104548"/>
    <x v="1"/>
    <d v="2025-10-17T00:00:00"/>
    <d v="2026-01-04T00:00:00"/>
    <x v="2"/>
    <s v="a6JXt9622363"/>
    <x v="6"/>
    <s v="Jul"/>
    <s v="Client requested retroactive billing adjustments."/>
    <n v="79"/>
    <x v="0"/>
    <x v="5"/>
    <x v="3"/>
    <x v="0"/>
  </r>
  <r>
    <x v="1"/>
    <s v="WNBA Incremental Scatter 2026"/>
    <s v="Billing Request- 00104549"/>
    <x v="1"/>
    <d v="2026-03-11T00:00:00"/>
    <d v="2026-04-11T00:00:00"/>
    <x v="0"/>
    <s v="a6JXt2949351"/>
    <x v="2"/>
    <s v="May; Jun"/>
    <s v="Missing supporting documentation from vendor."/>
    <n v="31"/>
    <x v="1"/>
    <x v="2"/>
    <x v="2"/>
    <x v="1"/>
  </r>
  <r>
    <x v="1"/>
    <s v="NWSL Halftime Sponsorship 2026"/>
    <s v="Billing Request- 00104552"/>
    <x v="4"/>
    <d v="2026-04-15T00:00:00"/>
    <d v="2026-04-27T00:00:00"/>
    <x v="1"/>
    <s v="a6Jat5580308"/>
    <x v="5"/>
    <s v="Sep; Oct"/>
    <s v="Invoice details mismatch with approved campaign."/>
    <n v="12"/>
    <x v="4"/>
    <x v="10"/>
    <x v="1"/>
    <x v="1"/>
  </r>
  <r>
    <x v="0"/>
    <s v="NWSL Halftime Sponsorship 2026"/>
    <s v="Billing Request- 00104553"/>
    <x v="4"/>
    <d v="2026-01-30T00:00:00"/>
    <d v="2026-05-04T00:00:00"/>
    <x v="2"/>
    <s v="a6Jat9221080"/>
    <x v="2"/>
    <s v="Nov"/>
    <s v="Finance validation process delay."/>
    <n v="94"/>
    <x v="0"/>
    <x v="7"/>
    <x v="1"/>
    <x v="1"/>
  </r>
  <r>
    <x v="0"/>
    <s v="NFL Prime Video 2025"/>
    <s v="Billing Request- 00104554"/>
    <x v="6"/>
    <d v="2025-05-31T00:00:00"/>
    <d v="2025-06-10T00:00:00"/>
    <x v="1"/>
    <s v="a6Jat7952409"/>
    <x v="5"/>
    <s v="Sep"/>
    <s v="Incorrect legal terms delayed PTS."/>
    <n v="10"/>
    <x v="4"/>
    <x v="4"/>
    <x v="3"/>
    <x v="0"/>
  </r>
  <r>
    <x v="0"/>
    <s v="Retail Media Expansion 2025"/>
    <s v="Billing Request- 00104555"/>
    <x v="6"/>
    <d v="2025-03-07T00:00:00"/>
    <d v="2025-04-23T00:00:00"/>
    <x v="2"/>
    <s v="a6JHn4930372"/>
    <x v="0"/>
    <s v="Sep; Oct"/>
    <s v="Incorrect legal terms delayed PTS."/>
    <n v="47"/>
    <x v="1"/>
    <x v="13"/>
    <x v="3"/>
    <x v="0"/>
  </r>
  <r>
    <x v="0"/>
    <s v="NASCAR Apex 2025 2026"/>
    <s v="Billing Request- 00104556"/>
    <x v="8"/>
    <d v="2026-01-31T00:00:00"/>
    <d v="2026-03-25T00:00:00"/>
    <x v="2"/>
    <s v="a6JXt5608686"/>
    <x v="6"/>
    <s v="Jul"/>
    <s v="Agency submitted updated invoice mapping."/>
    <n v="53"/>
    <x v="1"/>
    <x v="7"/>
    <x v="0"/>
    <x v="1"/>
  </r>
  <r>
    <x v="3"/>
    <s v="Amazon TNF 2024 2025"/>
    <s v="Billing Request- 00104557"/>
    <x v="6"/>
    <d v="2025-11-14T00:00:00"/>
    <d v="2025-11-22T00:00:00"/>
    <x v="0"/>
    <s v="a6JXt2694511"/>
    <x v="5"/>
    <s v="Nov"/>
    <s v="Incorrect legal terms delayed PTS."/>
    <n v="8"/>
    <x v="4"/>
    <x v="15"/>
    <x v="4"/>
    <x v="0"/>
  </r>
  <r>
    <x v="0"/>
    <s v="Amazon TNF 2024 2026"/>
    <s v="Billing Request- 00104558"/>
    <x v="6"/>
    <d v="2026-04-05T00:00:00"/>
    <d v="2026-05-09T00:00:00"/>
    <x v="2"/>
    <s v="a6Jat4209825"/>
    <x v="4"/>
    <s v="Nov"/>
    <s v="Missing supporting documentation from vendor."/>
    <n v="34"/>
    <x v="1"/>
    <x v="10"/>
    <x v="4"/>
    <x v="1"/>
  </r>
  <r>
    <x v="4"/>
    <s v="Amazon TNF 2024 2025"/>
    <s v="Billing Request- 00104559"/>
    <x v="5"/>
    <d v="2025-09-19T00:00:00"/>
    <d v="2025-12-04T00:00:00"/>
    <x v="1"/>
    <s v="a6JXt2907362"/>
    <x v="2"/>
    <s v="Aug"/>
    <s v="Invoice details mismatch with approved campaign."/>
    <n v="76"/>
    <x v="0"/>
    <x v="14"/>
    <x v="4"/>
    <x v="0"/>
  </r>
  <r>
    <x v="0"/>
    <s v="NWSL Prime Video 2025"/>
    <s v="Billing Request- 00104560"/>
    <x v="3"/>
    <d v="2025-02-11T00:00:00"/>
    <d v="2025-04-04T00:00:00"/>
    <x v="2"/>
    <s v="a6Jat7661277"/>
    <x v="5"/>
    <s v="Jun"/>
    <s v="Finance validation process delay."/>
    <n v="52"/>
    <x v="1"/>
    <x v="6"/>
    <x v="1"/>
    <x v="0"/>
  </r>
  <r>
    <x v="3"/>
    <s v="Global Consumer Products 2025"/>
    <s v="Billing Request- 00104561"/>
    <x v="1"/>
    <d v="2025-11-21T00:00:00"/>
    <d v="2026-02-01T00:00:00"/>
    <x v="2"/>
    <s v="a6JXt8715461"/>
    <x v="5"/>
    <s v="Mar"/>
    <s v="Manual billing entry issue."/>
    <n v="72"/>
    <x v="0"/>
    <x v="15"/>
    <x v="3"/>
    <x v="0"/>
  </r>
  <r>
    <x v="0"/>
    <s v="NWSL Prime Video 2026"/>
    <s v="Billing Request- 00104562"/>
    <x v="2"/>
    <d v="2026-02-28T00:00:00"/>
    <d v="2026-04-09T00:00:00"/>
    <x v="2"/>
    <s v="a6Jat1211789"/>
    <x v="0"/>
    <s v="Aug"/>
    <s v="Client requested retroactive billing adjustments."/>
    <n v="40"/>
    <x v="1"/>
    <x v="1"/>
    <x v="1"/>
    <x v="1"/>
  </r>
  <r>
    <x v="2"/>
    <s v="Retail Media Expansion 2026"/>
    <s v="Billing Request- 00104563"/>
    <x v="2"/>
    <d v="2026-01-08T00:00:00"/>
    <d v="2026-02-01T00:00:00"/>
    <x v="2"/>
    <s v="a6JXt2319149"/>
    <x v="1"/>
    <s v="Sep; Oct"/>
    <s v="Agency submitted updated invoice mapping."/>
    <n v="24"/>
    <x v="3"/>
    <x v="7"/>
    <x v="3"/>
    <x v="1"/>
  </r>
  <r>
    <x v="0"/>
    <s v="DirecTV NASCAR Campaign 2025"/>
    <s v="Billing Request- 00104564"/>
    <x v="9"/>
    <d v="2025-02-17T00:00:00"/>
    <d v="2025-06-04T00:00:00"/>
    <x v="2"/>
    <s v="a6JHn6186407"/>
    <x v="5"/>
    <s v="May; Jun"/>
    <s v=""/>
    <n v="107"/>
    <x v="0"/>
    <x v="6"/>
    <x v="0"/>
    <x v="0"/>
  </r>
  <r>
    <x v="0"/>
    <s v="DirecTV NASCAR Campaign 2025"/>
    <s v="Billing Request- 00104565"/>
    <x v="1"/>
    <d v="2025-06-01T00:00:00"/>
    <d v="2025-06-20T00:00:00"/>
    <x v="2"/>
    <s v="a6Jat1357191"/>
    <x v="5"/>
    <s v="May; Jun"/>
    <s v="Missing supporting documentation from vendor."/>
    <n v="19"/>
    <x v="3"/>
    <x v="9"/>
    <x v="0"/>
    <x v="0"/>
  </r>
  <r>
    <x v="0"/>
    <s v="NBA League Pass 2025"/>
    <s v="Billing Request- 00104566"/>
    <x v="1"/>
    <d v="2025-11-08T00:00:00"/>
    <d v="2025-12-07T00:00:00"/>
    <x v="2"/>
    <s v="a6Jat7107418"/>
    <x v="2"/>
    <s v="Mar"/>
    <s v="Manual billing entry issue."/>
    <n v="29"/>
    <x v="3"/>
    <x v="15"/>
    <x v="2"/>
    <x v="0"/>
  </r>
  <r>
    <x v="4"/>
    <s v="NWSL Prime Video 2025"/>
    <s v="Billing Request- 00104567"/>
    <x v="1"/>
    <d v="2025-04-20T00:00:00"/>
    <d v="2025-04-24T00:00:00"/>
    <x v="2"/>
    <s v="a6Jat7494342"/>
    <x v="0"/>
    <s v="Jan; Feb"/>
    <s v=""/>
    <n v="4"/>
    <x v="2"/>
    <x v="3"/>
    <x v="1"/>
    <x v="0"/>
  </r>
  <r>
    <x v="4"/>
    <s v="Retail Media Expansion 2025"/>
    <s v="Billing Request- 00104568"/>
    <x v="8"/>
    <d v="2025-07-31T00:00:00"/>
    <d v="2025-09-09T00:00:00"/>
    <x v="1"/>
    <s v="a6JXt9761179"/>
    <x v="4"/>
    <s v="Sep; Oct"/>
    <s v="Late media plan changes from client."/>
    <n v="40"/>
    <x v="1"/>
    <x v="12"/>
    <x v="3"/>
    <x v="0"/>
  </r>
  <r>
    <x v="0"/>
    <s v="Prime Sports NFL 2026"/>
    <s v="Billing Request- 00104569"/>
    <x v="2"/>
    <d v="2026-01-19T00:00:00"/>
    <d v="2026-03-26T00:00:00"/>
    <x v="2"/>
    <s v="a6Jat5710797"/>
    <x v="3"/>
    <s v="Feb"/>
    <s v="Invoice details mismatch with approved campaign."/>
    <n v="66"/>
    <x v="0"/>
    <x v="7"/>
    <x v="3"/>
    <x v="1"/>
  </r>
  <r>
    <x v="0"/>
    <s v="NASCAR Apex 2025 2025"/>
    <s v="Billing Request- 00104570"/>
    <x v="7"/>
    <d v="2025-03-14T00:00:00"/>
    <d v="2025-07-01T00:00:00"/>
    <x v="2"/>
    <s v="a6Jat7877393"/>
    <x v="2"/>
    <s v="Jan; Feb"/>
    <s v="Agency submitted updated invoice mapping."/>
    <n v="109"/>
    <x v="0"/>
    <x v="13"/>
    <x v="0"/>
    <x v="0"/>
  </r>
  <r>
    <x v="0"/>
    <s v="NWSL Halftime Sponsorship 2025"/>
    <s v="Billing Request- 00104577"/>
    <x v="8"/>
    <d v="2025-04-06T00:00:00"/>
    <d v="2025-07-18T00:00:00"/>
    <x v="0"/>
    <s v="a6Jat6791413"/>
    <x v="0"/>
    <s v="Mar"/>
    <s v="Invoice details mismatch with approved campaign."/>
    <n v="103"/>
    <x v="0"/>
    <x v="3"/>
    <x v="1"/>
    <x v="0"/>
  </r>
  <r>
    <x v="0"/>
    <s v="Retail Media Expansion 2025"/>
    <s v="Billing Request- 00104579"/>
    <x v="5"/>
    <d v="2025-09-16T00:00:00"/>
    <d v="2025-11-11T00:00:00"/>
    <x v="0"/>
    <s v="a6Jat5701971"/>
    <x v="4"/>
    <s v="Jul; Aug"/>
    <s v=""/>
    <n v="56"/>
    <x v="1"/>
    <x v="14"/>
    <x v="3"/>
    <x v="0"/>
  </r>
  <r>
    <x v="0"/>
    <s v="Amazon TNF 2024 2025"/>
    <s v="Billing Request- 00104580"/>
    <x v="4"/>
    <d v="2025-03-08T00:00:00"/>
    <d v="2025-06-22T00:00:00"/>
    <x v="2"/>
    <s v="a6JXt4644223"/>
    <x v="5"/>
    <s v="Jan"/>
    <s v="Late media plan changes from client."/>
    <n v="106"/>
    <x v="0"/>
    <x v="13"/>
    <x v="4"/>
    <x v="0"/>
  </r>
  <r>
    <x v="0"/>
    <s v="NASCAR Apex 2025 2025"/>
    <s v="Billing Request- 00104582"/>
    <x v="0"/>
    <d v="2025-01-01T00:00:00"/>
    <d v="2025-01-20T00:00:00"/>
    <x v="2"/>
    <s v="a6JXt1779183"/>
    <x v="3"/>
    <s v="Feb"/>
    <s v="Agency submitted updated invoice mapping."/>
    <n v="19"/>
    <x v="3"/>
    <x v="0"/>
    <x v="0"/>
    <x v="0"/>
  </r>
  <r>
    <x v="0"/>
    <s v="Confluence Academy 2025"/>
    <s v="Billing Request- 00104583"/>
    <x v="0"/>
    <d v="2025-08-25T00:00:00"/>
    <d v="2025-11-28T00:00:00"/>
    <x v="2"/>
    <s v="a6JXt2140853"/>
    <x v="1"/>
    <s v="Apr"/>
    <s v=""/>
    <n v="95"/>
    <x v="0"/>
    <x v="8"/>
    <x v="3"/>
    <x v="0"/>
  </r>
  <r>
    <x v="0"/>
    <s v="Retail Media Expansion 2026"/>
    <s v="Billing Request- 00104584"/>
    <x v="9"/>
    <d v="2026-04-18T00:00:00"/>
    <d v="2026-05-07T00:00:00"/>
    <x v="2"/>
    <s v="a6JHn2334200"/>
    <x v="2"/>
    <s v="Jul"/>
    <s v="Missing supporting documentation from vendor."/>
    <n v="19"/>
    <x v="3"/>
    <x v="10"/>
    <x v="3"/>
    <x v="1"/>
  </r>
  <r>
    <x v="0"/>
    <s v="NWSL Prime Video 2026"/>
    <s v="Billing Request- 00104585"/>
    <x v="5"/>
    <d v="2026-05-02T00:00:00"/>
    <d v="2026-05-09T00:00:00"/>
    <x v="2"/>
    <s v="a6JXt6018933"/>
    <x v="2"/>
    <s v="Jan; Feb"/>
    <s v="Incorrect legal terms delayed PTS."/>
    <n v="7"/>
    <x v="2"/>
    <x v="16"/>
    <x v="1"/>
    <x v="1"/>
  </r>
  <r>
    <x v="2"/>
    <s v="Streaming Bundle Initiative 2025"/>
    <s v="Billing Request- 00104586"/>
    <x v="1"/>
    <d v="2025-05-20T00:00:00"/>
    <d v="2025-08-19T00:00:00"/>
    <x v="2"/>
    <s v="a6Jat5442304"/>
    <x v="2"/>
    <s v="May"/>
    <s v="Late media plan changes from client."/>
    <n v="91"/>
    <x v="0"/>
    <x v="4"/>
    <x v="3"/>
    <x v="0"/>
  </r>
  <r>
    <x v="0"/>
    <s v="NWSL Prime Video 2025"/>
    <s v="Billing Request- 00104587"/>
    <x v="6"/>
    <d v="2025-03-25T00:00:00"/>
    <d v="2025-07-05T00:00:00"/>
    <x v="2"/>
    <s v="a6JXt8926809"/>
    <x v="3"/>
    <s v="Feb"/>
    <s v="Invoice details mismatch with approved campaign."/>
    <n v="102"/>
    <x v="0"/>
    <x v="13"/>
    <x v="1"/>
    <x v="0"/>
  </r>
  <r>
    <x v="0"/>
    <s v="Confluence Academy 2025"/>
    <s v="Billing Request- 00104588"/>
    <x v="9"/>
    <d v="2025-05-16T00:00:00"/>
    <d v="2025-06-23T00:00:00"/>
    <x v="1"/>
    <s v="a6JXt9939908"/>
    <x v="0"/>
    <s v="Sep; Oct"/>
    <s v="Invoice details mismatch with approved campaign."/>
    <n v="38"/>
    <x v="1"/>
    <x v="4"/>
    <x v="3"/>
    <x v="0"/>
  </r>
  <r>
    <x v="2"/>
    <s v="Confluence Academy 2026"/>
    <s v="Billing Request- 00104589"/>
    <x v="8"/>
    <d v="2026-01-26T00:00:00"/>
    <d v="2026-02-24T00:00:00"/>
    <x v="2"/>
    <s v="a6JHn2044145"/>
    <x v="3"/>
    <s v="Mar"/>
    <s v="Late media plan changes from client."/>
    <n v="29"/>
    <x v="3"/>
    <x v="7"/>
    <x v="3"/>
    <x v="1"/>
  </r>
  <r>
    <x v="4"/>
    <s v="NBA League Pass 2026"/>
    <s v="Billing Request- 00104590"/>
    <x v="7"/>
    <d v="2026-01-06T00:00:00"/>
    <d v="2026-01-19T00:00:00"/>
    <x v="0"/>
    <s v="a6JXt6195171"/>
    <x v="5"/>
    <s v="Jun"/>
    <s v=""/>
    <n v="13"/>
    <x v="4"/>
    <x v="7"/>
    <x v="2"/>
    <x v="1"/>
  </r>
  <r>
    <x v="0"/>
    <s v="NASCAR P&amp;Q 2025"/>
    <s v="Billing Request- 00104591"/>
    <x v="9"/>
    <d v="2025-02-08T00:00:00"/>
    <d v="2025-06-08T00:00:00"/>
    <x v="2"/>
    <s v="a6JHn9941391"/>
    <x v="2"/>
    <s v="Jul"/>
    <s v="Invoice details mismatch with approved campaign."/>
    <n v="120"/>
    <x v="0"/>
    <x v="6"/>
    <x v="0"/>
    <x v="0"/>
  </r>
  <r>
    <x v="0"/>
    <s v="NWSL Halftime Sponsorship 2026"/>
    <s v="Billing Request- 00104592"/>
    <x v="0"/>
    <d v="2026-02-17T00:00:00"/>
    <d v="2026-03-17T00:00:00"/>
    <x v="2"/>
    <s v="a6Jat9414625"/>
    <x v="6"/>
    <s v="Aug"/>
    <s v="Late media plan changes from client."/>
    <n v="28"/>
    <x v="3"/>
    <x v="1"/>
    <x v="1"/>
    <x v="1"/>
  </r>
  <r>
    <x v="4"/>
    <s v="NWSL Prime Video 2025"/>
    <s v="Billing Request- 00104593"/>
    <x v="4"/>
    <d v="2025-06-01T00:00:00"/>
    <d v="2025-07-11T00:00:00"/>
    <x v="2"/>
    <s v="a6Jat2054290"/>
    <x v="1"/>
    <s v="Nov"/>
    <s v="Late media plan changes from client."/>
    <n v="40"/>
    <x v="1"/>
    <x v="9"/>
    <x v="1"/>
    <x v="0"/>
  </r>
  <r>
    <x v="0"/>
    <s v="Prime Sports NFL 2026"/>
    <s v="Billing Request- 00104594"/>
    <x v="8"/>
    <d v="2026-04-10T00:00:00"/>
    <d v="2026-05-06T00:00:00"/>
    <x v="0"/>
    <s v="a6Jat1960296"/>
    <x v="5"/>
    <s v="Jan"/>
    <s v="Incorrect legal terms delayed PTS."/>
    <n v="26"/>
    <x v="3"/>
    <x v="10"/>
    <x v="3"/>
    <x v="1"/>
  </r>
  <r>
    <x v="0"/>
    <s v="Global Consumer Products 2025"/>
    <s v="Billing Request- 00104595"/>
    <x v="0"/>
    <d v="2025-10-20T00:00:00"/>
    <d v="2026-01-07T00:00:00"/>
    <x v="2"/>
    <s v="a6JHn1321949"/>
    <x v="5"/>
    <s v="Dec"/>
    <s v="Incorrect legal terms delayed PTS."/>
    <n v="79"/>
    <x v="0"/>
    <x v="5"/>
    <x v="3"/>
    <x v="0"/>
  </r>
  <r>
    <x v="2"/>
    <s v="WNBA Incremental Scatter 2025"/>
    <s v="Billing Request- 00104598"/>
    <x v="8"/>
    <d v="2025-07-15T00:00:00"/>
    <d v="2025-10-11T00:00:00"/>
    <x v="2"/>
    <s v="a6JHn3623644"/>
    <x v="3"/>
    <s v="Mar; Apr"/>
    <s v="Agency submitted updated invoice mapping."/>
    <n v="88"/>
    <x v="0"/>
    <x v="12"/>
    <x v="2"/>
    <x v="0"/>
  </r>
  <r>
    <x v="0"/>
    <s v="WNBA Incremental Scatter 2026"/>
    <s v="Billing Request- 00104599"/>
    <x v="0"/>
    <d v="2026-02-17T00:00:00"/>
    <d v="2026-02-20T00:00:00"/>
    <x v="2"/>
    <s v="a6Jat4558662"/>
    <x v="2"/>
    <s v="Jan"/>
    <s v="Invoice details mismatch with approved campaign."/>
    <n v="3"/>
    <x v="2"/>
    <x v="1"/>
    <x v="2"/>
    <x v="1"/>
  </r>
  <r>
    <x v="0"/>
    <s v="NBA Playoffs Campaign 2026"/>
    <s v="Billing Request- 00104601"/>
    <x v="9"/>
    <d v="2026-03-13T00:00:00"/>
    <d v="2026-05-05T00:00:00"/>
    <x v="2"/>
    <s v="a6JHn7134775"/>
    <x v="0"/>
    <s v="Jul; Aug"/>
    <s v="Late media plan changes from client."/>
    <n v="53"/>
    <x v="1"/>
    <x v="2"/>
    <x v="2"/>
    <x v="1"/>
  </r>
  <r>
    <x v="4"/>
    <s v="NASCAR P&amp;Q 2026"/>
    <s v="Billing Request- 00104602"/>
    <x v="2"/>
    <d v="2026-04-10T00:00:00"/>
    <d v="2026-05-05T00:00:00"/>
    <x v="2"/>
    <s v="a6JHn9478371"/>
    <x v="4"/>
    <s v="Mar; Apr"/>
    <s v=""/>
    <n v="25"/>
    <x v="3"/>
    <x v="10"/>
    <x v="0"/>
    <x v="1"/>
  </r>
  <r>
    <x v="0"/>
    <s v="Prime Sports NFL 2025"/>
    <s v="Billing Request- 00104603"/>
    <x v="9"/>
    <d v="2025-10-09T00:00:00"/>
    <d v="2026-01-11T00:00:00"/>
    <x v="2"/>
    <s v="a6JXt5794514"/>
    <x v="1"/>
    <s v="Dec"/>
    <s v=""/>
    <n v="94"/>
    <x v="0"/>
    <x v="5"/>
    <x v="3"/>
    <x v="0"/>
  </r>
  <r>
    <x v="4"/>
    <s v="NASCAR Apex 2025 2025"/>
    <s v="Billing Request- 00104604"/>
    <x v="2"/>
    <d v="2025-08-13T00:00:00"/>
    <d v="2025-10-23T00:00:00"/>
    <x v="2"/>
    <s v="a6JXt4011272"/>
    <x v="4"/>
    <s v="May; Jun"/>
    <s v="Manual billing entry issue."/>
    <n v="71"/>
    <x v="0"/>
    <x v="8"/>
    <x v="0"/>
    <x v="0"/>
  </r>
  <r>
    <x v="0"/>
    <s v="Amazon NBA Live Sports 2025"/>
    <s v="Billing Request- 00104607"/>
    <x v="1"/>
    <d v="2025-08-16T00:00:00"/>
    <d v="2025-10-08T00:00:00"/>
    <x v="2"/>
    <s v="a6Jat4242480"/>
    <x v="5"/>
    <s v="Nov; Dec"/>
    <s v="Finance validation process delay."/>
    <n v="53"/>
    <x v="1"/>
    <x v="8"/>
    <x v="2"/>
    <x v="0"/>
  </r>
  <r>
    <x v="1"/>
    <s v="NWSL Prime Video 2026"/>
    <s v="Billing Request- 00104608"/>
    <x v="3"/>
    <d v="2026-02-15T00:00:00"/>
    <d v="2026-04-20T00:00:00"/>
    <x v="0"/>
    <s v="a6JXt9481156"/>
    <x v="2"/>
    <s v="Jan; Feb"/>
    <s v="Finance validation process delay."/>
    <n v="64"/>
    <x v="0"/>
    <x v="1"/>
    <x v="1"/>
    <x v="1"/>
  </r>
  <r>
    <x v="0"/>
    <s v="WNBA Incremental Scatter 2025"/>
    <s v="Billing Request- 00104609"/>
    <x v="8"/>
    <d v="2025-05-25T00:00:00"/>
    <d v="2025-08-27T00:00:00"/>
    <x v="0"/>
    <s v="a6JXt6442637"/>
    <x v="5"/>
    <s v="Oct"/>
    <s v="Missing supporting documentation from vendor."/>
    <n v="94"/>
    <x v="0"/>
    <x v="4"/>
    <x v="2"/>
    <x v="0"/>
  </r>
  <r>
    <x v="0"/>
    <s v="Streaming Bundle Initiative 2025"/>
    <s v="Billing Request- 00104612"/>
    <x v="9"/>
    <d v="2025-08-09T00:00:00"/>
    <d v="2025-11-02T00:00:00"/>
    <x v="2"/>
    <s v="a6JXt5252431"/>
    <x v="1"/>
    <s v="Mar; Apr"/>
    <s v="Client requested retroactive billing adjustments."/>
    <n v="85"/>
    <x v="0"/>
    <x v="8"/>
    <x v="3"/>
    <x v="0"/>
  </r>
  <r>
    <x v="0"/>
    <s v="TNF Sponsorship 2026"/>
    <s v="Billing Request- 00104613"/>
    <x v="1"/>
    <d v="2026-01-27T00:00:00"/>
    <d v="2026-04-01T00:00:00"/>
    <x v="2"/>
    <s v="a6JHn1620656"/>
    <x v="1"/>
    <s v="Nov"/>
    <s v="Invoice details mismatch with approved campaign."/>
    <n v="64"/>
    <x v="0"/>
    <x v="7"/>
    <x v="4"/>
    <x v="1"/>
  </r>
  <r>
    <x v="0"/>
    <s v="NWSL Prime Video 2025"/>
    <s v="Billing Request- 00104614"/>
    <x v="6"/>
    <d v="2025-03-26T00:00:00"/>
    <d v="2025-04-19T00:00:00"/>
    <x v="2"/>
    <s v="a6JHn7275637"/>
    <x v="4"/>
    <s v="Dec"/>
    <s v="Finance validation process delay."/>
    <n v="24"/>
    <x v="3"/>
    <x v="13"/>
    <x v="1"/>
    <x v="0"/>
  </r>
  <r>
    <x v="0"/>
    <s v="NASCAR P&amp;Q 2025"/>
    <s v="Billing Request- 00104615"/>
    <x v="5"/>
    <d v="2025-04-11T00:00:00"/>
    <d v="2025-08-07T00:00:00"/>
    <x v="2"/>
    <s v="a6Jat4018281"/>
    <x v="1"/>
    <s v="May; Jun"/>
    <s v="Incorrect legal terms delayed PTS."/>
    <n v="118"/>
    <x v="0"/>
    <x v="3"/>
    <x v="0"/>
    <x v="0"/>
  </r>
  <r>
    <x v="0"/>
    <s v="NASCAR Apex 2025 2025"/>
    <s v="Billing Request- 00104617"/>
    <x v="5"/>
    <d v="2025-12-18T00:00:00"/>
    <d v="2026-01-28T00:00:00"/>
    <x v="2"/>
    <s v="a6JHn4633878"/>
    <x v="5"/>
    <s v="Jun"/>
    <s v="Manual billing entry issue."/>
    <n v="41"/>
    <x v="1"/>
    <x v="11"/>
    <x v="0"/>
    <x v="0"/>
  </r>
  <r>
    <x v="0"/>
    <s v="WNBA Incremental Scatter 2026"/>
    <s v="Billing Request- 00104618"/>
    <x v="9"/>
    <d v="2026-01-18T00:00:00"/>
    <d v="2026-02-12T00:00:00"/>
    <x v="0"/>
    <s v="a6Jat7977522"/>
    <x v="5"/>
    <s v="Sep"/>
    <s v=""/>
    <n v="25"/>
    <x v="3"/>
    <x v="7"/>
    <x v="2"/>
    <x v="1"/>
  </r>
  <r>
    <x v="0"/>
    <s v="Amazon NBA Live Sports 2025"/>
    <s v="Billing Request- 00104620"/>
    <x v="5"/>
    <d v="2025-06-21T00:00:00"/>
    <d v="2025-08-15T00:00:00"/>
    <x v="0"/>
    <s v="a6JHn1894765"/>
    <x v="3"/>
    <s v="Oct"/>
    <s v="Missing supporting documentation from vendor."/>
    <n v="55"/>
    <x v="1"/>
    <x v="9"/>
    <x v="2"/>
    <x v="0"/>
  </r>
  <r>
    <x v="0"/>
    <s v="Confluence Academy 2026"/>
    <s v="Billing Request- 00104621"/>
    <x v="8"/>
    <d v="2026-03-12T00:00:00"/>
    <d v="2026-04-26T00:00:00"/>
    <x v="2"/>
    <s v="a6Jat5981429"/>
    <x v="5"/>
    <s v="Jul"/>
    <s v="Client requested retroactive billing adjustments."/>
    <n v="45"/>
    <x v="1"/>
    <x v="2"/>
    <x v="3"/>
    <x v="1"/>
  </r>
  <r>
    <x v="0"/>
    <s v="NASCAR Apex 2025 2026"/>
    <s v="Billing Request- 00104622"/>
    <x v="5"/>
    <d v="2026-02-07T00:00:00"/>
    <d v="2026-05-06T00:00:00"/>
    <x v="2"/>
    <s v="a6JXt9383571"/>
    <x v="3"/>
    <s v="Sep"/>
    <s v="Late media plan changes from client."/>
    <n v="88"/>
    <x v="0"/>
    <x v="1"/>
    <x v="0"/>
    <x v="1"/>
  </r>
  <r>
    <x v="4"/>
    <s v="NBA League Pass 2025"/>
    <s v="Billing Request- 00104623"/>
    <x v="8"/>
    <d v="2025-05-05T00:00:00"/>
    <d v="2025-05-16T00:00:00"/>
    <x v="0"/>
    <s v="a6Jat3898378"/>
    <x v="3"/>
    <s v="Aug"/>
    <s v="Client requested retroactive billing adjustments."/>
    <n v="11"/>
    <x v="4"/>
    <x v="4"/>
    <x v="2"/>
    <x v="0"/>
  </r>
  <r>
    <x v="0"/>
    <s v="NFL Prime Video 2025"/>
    <s v="Billing Request- 00104624"/>
    <x v="1"/>
    <d v="2025-02-17T00:00:00"/>
    <d v="2025-05-16T00:00:00"/>
    <x v="2"/>
    <s v="a6Jat6724961"/>
    <x v="4"/>
    <s v="Sep; Oct"/>
    <s v="Invoice details mismatch with approved campaign."/>
    <n v="88"/>
    <x v="0"/>
    <x v="6"/>
    <x v="3"/>
    <x v="0"/>
  </r>
  <r>
    <x v="0"/>
    <s v="DirecTV NASCAR Campaign 2026"/>
    <s v="Billing Request- 00104629"/>
    <x v="2"/>
    <d v="2026-05-04T00:00:00"/>
    <d v="2026-05-09T00:00:00"/>
    <x v="2"/>
    <s v="a6JXt8093863"/>
    <x v="1"/>
    <s v="Nov"/>
    <s v="Missing supporting documentation from vendor."/>
    <n v="5"/>
    <x v="2"/>
    <x v="16"/>
    <x v="0"/>
    <x v="1"/>
  </r>
  <r>
    <x v="3"/>
    <s v="WNBA Incremental Scatter 2025"/>
    <s v="Billing Request- 00104630"/>
    <x v="6"/>
    <d v="2025-03-12T00:00:00"/>
    <d v="2025-04-16T00:00:00"/>
    <x v="0"/>
    <s v="a6Jat3504101"/>
    <x v="3"/>
    <s v="Sep; Oct"/>
    <s v=""/>
    <n v="35"/>
    <x v="1"/>
    <x v="13"/>
    <x v="2"/>
    <x v="0"/>
  </r>
  <r>
    <x v="0"/>
    <s v="Retail Media Expansion 2025"/>
    <s v="Billing Request- 00104631"/>
    <x v="2"/>
    <d v="2025-04-11T00:00:00"/>
    <d v="2025-07-15T00:00:00"/>
    <x v="2"/>
    <s v="a6JXt3004667"/>
    <x v="6"/>
    <s v="May"/>
    <s v="Invoice details mismatch with approved campaign."/>
    <n v="95"/>
    <x v="0"/>
    <x v="3"/>
    <x v="3"/>
    <x v="0"/>
  </r>
  <r>
    <x v="0"/>
    <s v="NWSL Halftime Sponsorship 2025"/>
    <s v="Billing Request- 00104632"/>
    <x v="2"/>
    <d v="2025-12-06T00:00:00"/>
    <d v="2026-01-28T00:00:00"/>
    <x v="0"/>
    <s v="a6JXt4128270"/>
    <x v="3"/>
    <s v="Nov"/>
    <s v="Late media plan changes from client."/>
    <n v="53"/>
    <x v="1"/>
    <x v="11"/>
    <x v="1"/>
    <x v="0"/>
  </r>
  <r>
    <x v="0"/>
    <s v="Streaming Bundle Initiative 2025"/>
    <s v="Billing Request- 00104633"/>
    <x v="9"/>
    <d v="2025-08-29T00:00:00"/>
    <d v="2025-10-10T00:00:00"/>
    <x v="2"/>
    <s v="a6Jat7272391"/>
    <x v="1"/>
    <s v="Sep; Oct"/>
    <s v="Finance validation process delay."/>
    <n v="42"/>
    <x v="1"/>
    <x v="8"/>
    <x v="3"/>
    <x v="0"/>
  </r>
  <r>
    <x v="4"/>
    <s v="WNBA Incremental Scatter 2025"/>
    <s v="Billing Request- 00104635"/>
    <x v="6"/>
    <d v="2025-07-10T00:00:00"/>
    <d v="2025-09-14T00:00:00"/>
    <x v="0"/>
    <s v="a6Jat4227537"/>
    <x v="5"/>
    <s v="Dec"/>
    <s v=""/>
    <n v="66"/>
    <x v="0"/>
    <x v="12"/>
    <x v="2"/>
    <x v="0"/>
  </r>
  <r>
    <x v="0"/>
    <s v="NBA Playoffs Campaign 2025"/>
    <s v="Billing Request- 00104636"/>
    <x v="8"/>
    <d v="2025-03-11T00:00:00"/>
    <d v="2025-04-29T00:00:00"/>
    <x v="2"/>
    <s v="a6Jat4142615"/>
    <x v="2"/>
    <s v="Mar"/>
    <s v="Agency submitted updated invoice mapping."/>
    <n v="49"/>
    <x v="1"/>
    <x v="13"/>
    <x v="2"/>
    <x v="0"/>
  </r>
  <r>
    <x v="0"/>
    <s v="NFL Prime Video 2025"/>
    <s v="Billing Request- 00104637"/>
    <x v="3"/>
    <d v="2025-04-05T00:00:00"/>
    <d v="2025-04-20T00:00:00"/>
    <x v="0"/>
    <s v="a6Jat9661983"/>
    <x v="6"/>
    <s v="Jul; Aug"/>
    <s v="Manual billing entry issue."/>
    <n v="15"/>
    <x v="3"/>
    <x v="3"/>
    <x v="3"/>
    <x v="0"/>
  </r>
  <r>
    <x v="1"/>
    <s v="DirecTV NASCAR Campaign 2025"/>
    <s v="Billing Request- 00104638"/>
    <x v="0"/>
    <d v="2025-08-01T00:00:00"/>
    <d v="2025-11-29T00:00:00"/>
    <x v="2"/>
    <s v="a6JXt6249530"/>
    <x v="2"/>
    <s v="Jan"/>
    <s v="Incorrect legal terms delayed PTS."/>
    <n v="120"/>
    <x v="0"/>
    <x v="8"/>
    <x v="0"/>
    <x v="0"/>
  </r>
  <r>
    <x v="0"/>
    <s v="NASCAR P&amp;Q 2025"/>
    <s v="Billing Request- 00104639"/>
    <x v="9"/>
    <d v="2025-07-27T00:00:00"/>
    <d v="2025-10-20T00:00:00"/>
    <x v="1"/>
    <s v="a6Jat6796396"/>
    <x v="4"/>
    <s v="Jul"/>
    <s v="Invoice details mismatch with approved campaign."/>
    <n v="85"/>
    <x v="0"/>
    <x v="12"/>
    <x v="0"/>
    <x v="0"/>
  </r>
  <r>
    <x v="3"/>
    <s v="Amazon TNF 2024 2026"/>
    <s v="Billing Request- 00104640"/>
    <x v="4"/>
    <d v="2026-02-14T00:00:00"/>
    <d v="2026-02-24T00:00:00"/>
    <x v="1"/>
    <s v="a6JHn1090089"/>
    <x v="6"/>
    <s v="Feb"/>
    <s v=""/>
    <n v="10"/>
    <x v="4"/>
    <x v="1"/>
    <x v="4"/>
    <x v="1"/>
  </r>
  <r>
    <x v="0"/>
    <s v="TNF Sponsorship 2026"/>
    <s v="Billing Request- 00104641"/>
    <x v="0"/>
    <d v="2026-02-15T00:00:00"/>
    <d v="2026-03-04T00:00:00"/>
    <x v="0"/>
    <s v="a6Jat4943263"/>
    <x v="2"/>
    <s v="Dec"/>
    <s v="Missing supporting documentation from vendor."/>
    <n v="17"/>
    <x v="3"/>
    <x v="1"/>
    <x v="4"/>
    <x v="1"/>
  </r>
  <r>
    <x v="0"/>
    <s v="Confluence Academy 2026"/>
    <s v="Billing Request- 00104642"/>
    <x v="4"/>
    <d v="2026-01-13T00:00:00"/>
    <d v="2026-03-22T00:00:00"/>
    <x v="2"/>
    <s v="a6JHn2955151"/>
    <x v="1"/>
    <s v="Mar"/>
    <s v="Late media plan changes from client."/>
    <n v="68"/>
    <x v="0"/>
    <x v="7"/>
    <x v="3"/>
    <x v="1"/>
  </r>
  <r>
    <x v="4"/>
    <s v="NASCAR Apex 2025 2025"/>
    <s v="Billing Request- 00104643"/>
    <x v="1"/>
    <d v="2025-10-02T00:00:00"/>
    <d v="2025-10-26T00:00:00"/>
    <x v="0"/>
    <s v="a6JXt2671390"/>
    <x v="0"/>
    <s v="Jul"/>
    <s v="Client requested retroactive billing adjustments."/>
    <n v="24"/>
    <x v="3"/>
    <x v="5"/>
    <x v="0"/>
    <x v="0"/>
  </r>
  <r>
    <x v="0"/>
    <s v="NWSL Prime Video 2026"/>
    <s v="Billing Request- 00104644"/>
    <x v="8"/>
    <d v="2026-04-18T00:00:00"/>
    <d v="2026-05-09T00:00:00"/>
    <x v="2"/>
    <s v="a6Jat4067028"/>
    <x v="4"/>
    <s v="Apr"/>
    <s v="Missing supporting documentation from vendor."/>
    <n v="21"/>
    <x v="3"/>
    <x v="10"/>
    <x v="1"/>
    <x v="1"/>
  </r>
  <r>
    <x v="0"/>
    <s v="NASCAR P&amp;Q 2026"/>
    <s v="Billing Request- 00104646"/>
    <x v="6"/>
    <d v="2026-03-31T00:00:00"/>
    <d v="2026-04-20T00:00:00"/>
    <x v="1"/>
    <s v="a6JXt5314482"/>
    <x v="0"/>
    <s v="Oct"/>
    <s v="Missing supporting documentation from vendor."/>
    <n v="20"/>
    <x v="3"/>
    <x v="2"/>
    <x v="0"/>
    <x v="1"/>
  </r>
  <r>
    <x v="0"/>
    <s v="NWSL Prime Video 2025"/>
    <s v="Billing Request- 00104647"/>
    <x v="5"/>
    <d v="2025-07-13T00:00:00"/>
    <d v="2025-09-11T00:00:00"/>
    <x v="0"/>
    <s v="a6Jat5664955"/>
    <x v="2"/>
    <s v="Sep; Oct"/>
    <s v="Late media plan changes from client."/>
    <n v="60"/>
    <x v="1"/>
    <x v="12"/>
    <x v="1"/>
    <x v="0"/>
  </r>
  <r>
    <x v="0"/>
    <s v="NWSL Halftime Sponsorship 2025"/>
    <s v="Billing Request- 00104649"/>
    <x v="6"/>
    <d v="2025-02-19T00:00:00"/>
    <d v="2025-02-22T00:00:00"/>
    <x v="2"/>
    <s v="a6Jat3470780"/>
    <x v="1"/>
    <s v="Nov; Dec"/>
    <s v="Manual billing entry issue."/>
    <n v="3"/>
    <x v="2"/>
    <x v="6"/>
    <x v="1"/>
    <x v="0"/>
  </r>
  <r>
    <x v="0"/>
    <s v="Confluence Academy 2025"/>
    <s v="Billing Request- 00104653"/>
    <x v="7"/>
    <d v="2025-04-16T00:00:00"/>
    <d v="2025-05-25T00:00:00"/>
    <x v="2"/>
    <s v="a6JXt7524855"/>
    <x v="6"/>
    <s v="Nov"/>
    <s v="Invoice details mismatch with approved campaign."/>
    <n v="39"/>
    <x v="1"/>
    <x v="3"/>
    <x v="3"/>
    <x v="0"/>
  </r>
  <r>
    <x v="0"/>
    <s v="Amazon TNF 2024 2025"/>
    <s v="Billing Request- 00104654"/>
    <x v="6"/>
    <d v="2025-12-13T00:00:00"/>
    <d v="2026-02-19T00:00:00"/>
    <x v="2"/>
    <s v="a6JHn8733086"/>
    <x v="6"/>
    <s v="Jul"/>
    <s v="Incorrect legal terms delayed PTS."/>
    <n v="68"/>
    <x v="0"/>
    <x v="11"/>
    <x v="4"/>
    <x v="0"/>
  </r>
  <r>
    <x v="2"/>
    <s v="Retail Media Expansion 2025"/>
    <s v="Billing Request- 00104655"/>
    <x v="2"/>
    <d v="2025-04-25T00:00:00"/>
    <d v="2025-07-29T00:00:00"/>
    <x v="2"/>
    <s v="a6JXt5712242"/>
    <x v="3"/>
    <s v="Jan; Feb"/>
    <s v=""/>
    <n v="95"/>
    <x v="0"/>
    <x v="3"/>
    <x v="3"/>
    <x v="0"/>
  </r>
  <r>
    <x v="0"/>
    <s v="NFL Prime Video 2026"/>
    <s v="Billing Request- 00104656"/>
    <x v="2"/>
    <d v="2026-03-23T00:00:00"/>
    <d v="2026-03-26T00:00:00"/>
    <x v="2"/>
    <s v="a6JXt7155043"/>
    <x v="1"/>
    <s v="Apr"/>
    <s v=""/>
    <n v="3"/>
    <x v="2"/>
    <x v="2"/>
    <x v="3"/>
    <x v="1"/>
  </r>
  <r>
    <x v="1"/>
    <s v="NBA Playoffs Campaign 2026"/>
    <s v="Billing Request- 00104657"/>
    <x v="4"/>
    <d v="2026-02-15T00:00:00"/>
    <d v="2026-05-05T00:00:00"/>
    <x v="0"/>
    <s v="a6JHn8609649"/>
    <x v="6"/>
    <s v="Jul; Aug"/>
    <s v="Finance validation process delay."/>
    <n v="79"/>
    <x v="0"/>
    <x v="1"/>
    <x v="2"/>
    <x v="1"/>
  </r>
  <r>
    <x v="0"/>
    <s v="Prime Sports NFL 2025"/>
    <s v="Billing Request- 00104660"/>
    <x v="9"/>
    <d v="2025-01-12T00:00:00"/>
    <d v="2025-02-20T00:00:00"/>
    <x v="2"/>
    <s v="a6JXt7030060"/>
    <x v="0"/>
    <s v="Apr"/>
    <s v="Incorrect legal terms delayed PTS."/>
    <n v="39"/>
    <x v="1"/>
    <x v="0"/>
    <x v="3"/>
    <x v="0"/>
  </r>
  <r>
    <x v="3"/>
    <s v="Retail Media Expansion 2026"/>
    <s v="Billing Request- 00104661"/>
    <x v="3"/>
    <d v="2026-02-17T00:00:00"/>
    <d v="2026-04-29T00:00:00"/>
    <x v="0"/>
    <s v="a6JHn6254828"/>
    <x v="0"/>
    <s v="Oct"/>
    <s v="Manual billing entry issue."/>
    <n v="71"/>
    <x v="0"/>
    <x v="1"/>
    <x v="3"/>
    <x v="1"/>
  </r>
  <r>
    <x v="0"/>
    <s v="Streaming Bundle Initiative 2025"/>
    <s v="Billing Request- 00104662"/>
    <x v="7"/>
    <d v="2025-05-02T00:00:00"/>
    <d v="2025-05-05T00:00:00"/>
    <x v="1"/>
    <s v="a6JXt7332082"/>
    <x v="6"/>
    <s v="Sep"/>
    <s v="Agency submitted updated invoice mapping."/>
    <n v="3"/>
    <x v="2"/>
    <x v="4"/>
    <x v="3"/>
    <x v="0"/>
  </r>
  <r>
    <x v="0"/>
    <s v="Confluence Academy 2025"/>
    <s v="Billing Request- 00104663"/>
    <x v="6"/>
    <d v="2025-10-30T00:00:00"/>
    <d v="2025-12-22T00:00:00"/>
    <x v="2"/>
    <s v="a6JXt8966928"/>
    <x v="2"/>
    <s v="Jan; Feb"/>
    <s v=""/>
    <n v="53"/>
    <x v="1"/>
    <x v="5"/>
    <x v="3"/>
    <x v="0"/>
  </r>
  <r>
    <x v="0"/>
    <s v="DirecTV NASCAR Campaign 2025"/>
    <s v="Billing Request- 00104664"/>
    <x v="5"/>
    <d v="2025-05-09T00:00:00"/>
    <d v="2025-09-02T00:00:00"/>
    <x v="2"/>
    <s v="a6JHn5693705"/>
    <x v="4"/>
    <s v="Jan"/>
    <s v="Missing supporting documentation from vendor."/>
    <n v="116"/>
    <x v="0"/>
    <x v="4"/>
    <x v="0"/>
    <x v="0"/>
  </r>
  <r>
    <x v="0"/>
    <s v="DirecTV NASCAR Campaign 2026"/>
    <s v="Billing Request- 00104665"/>
    <x v="3"/>
    <d v="2026-02-09T00:00:00"/>
    <d v="2026-03-25T00:00:00"/>
    <x v="2"/>
    <s v="a6Jat6866885"/>
    <x v="6"/>
    <s v="Nov; Dec"/>
    <s v="Finance validation process delay."/>
    <n v="44"/>
    <x v="1"/>
    <x v="1"/>
    <x v="0"/>
    <x v="1"/>
  </r>
  <r>
    <x v="0"/>
    <s v="DirecTV NASCAR Campaign 2025"/>
    <s v="Billing Request- 00104666"/>
    <x v="3"/>
    <d v="2025-11-17T00:00:00"/>
    <d v="2025-12-19T00:00:00"/>
    <x v="2"/>
    <s v="a6Jat9505331"/>
    <x v="3"/>
    <s v="Aug"/>
    <s v="Late media plan changes from client."/>
    <n v="32"/>
    <x v="1"/>
    <x v="15"/>
    <x v="0"/>
    <x v="0"/>
  </r>
  <r>
    <x v="0"/>
    <s v="Retail Media Expansion 2026"/>
    <s v="Billing Request- 00104667"/>
    <x v="3"/>
    <d v="2026-03-03T00:00:00"/>
    <d v="2026-05-09T00:00:00"/>
    <x v="1"/>
    <s v="a6JHn8423695"/>
    <x v="1"/>
    <s v="Jul"/>
    <s v="Late media plan changes from client."/>
    <n v="67"/>
    <x v="0"/>
    <x v="2"/>
    <x v="3"/>
    <x v="1"/>
  </r>
  <r>
    <x v="0"/>
    <s v="Amazon TNF 2024 2026"/>
    <s v="Billing Request- 00104669"/>
    <x v="8"/>
    <d v="2026-05-06T00:00:00"/>
    <d v="2026-05-04T00:00:00"/>
    <x v="2"/>
    <s v="a6Jat1893719"/>
    <x v="1"/>
    <s v="Aug"/>
    <s v="Missing supporting documentation from vendor."/>
    <n v="-2"/>
    <x v="2"/>
    <x v="16"/>
    <x v="4"/>
    <x v="1"/>
  </r>
  <r>
    <x v="0"/>
    <s v="NWSL Halftime Sponsorship 2025"/>
    <s v="Billing Request- 00104673"/>
    <x v="2"/>
    <d v="2025-08-27T00:00:00"/>
    <d v="2025-12-04T00:00:00"/>
    <x v="2"/>
    <s v="a6JHn8054923"/>
    <x v="3"/>
    <s v="Jan; Feb"/>
    <s v="Incorrect legal terms delayed PTS."/>
    <n v="99"/>
    <x v="0"/>
    <x v="8"/>
    <x v="1"/>
    <x v="0"/>
  </r>
  <r>
    <x v="0"/>
    <s v="Confluence Academy 2025"/>
    <s v="Billing Request- 00104674"/>
    <x v="7"/>
    <d v="2025-06-08T00:00:00"/>
    <d v="2025-08-02T00:00:00"/>
    <x v="0"/>
    <s v="a6JXt4289405"/>
    <x v="0"/>
    <s v="Nov"/>
    <s v="Finance validation process delay."/>
    <n v="55"/>
    <x v="1"/>
    <x v="9"/>
    <x v="3"/>
    <x v="0"/>
  </r>
  <r>
    <x v="0"/>
    <s v="Confluence Academy 2025"/>
    <s v="Billing Request- 00104675"/>
    <x v="0"/>
    <d v="2025-01-23T00:00:00"/>
    <d v="2025-05-23T00:00:00"/>
    <x v="2"/>
    <s v="a6JXt2991456"/>
    <x v="4"/>
    <s v="Jan"/>
    <s v=""/>
    <n v="120"/>
    <x v="0"/>
    <x v="0"/>
    <x v="3"/>
    <x v="0"/>
  </r>
  <r>
    <x v="0"/>
    <s v="Amazon NBA Live Sports 2026"/>
    <s v="Billing Request- 00104676"/>
    <x v="0"/>
    <d v="2026-02-27T00:00:00"/>
    <d v="2026-05-05T00:00:00"/>
    <x v="2"/>
    <s v="a6JHn9970640"/>
    <x v="0"/>
    <s v="Nov; Dec"/>
    <s v="Incorrect legal terms delayed PTS."/>
    <n v="67"/>
    <x v="0"/>
    <x v="1"/>
    <x v="2"/>
    <x v="1"/>
  </r>
  <r>
    <x v="0"/>
    <s v="NWSL Prime Video 2025"/>
    <s v="Billing Request- 00104678"/>
    <x v="6"/>
    <d v="2025-09-15T00:00:00"/>
    <d v="2025-12-28T00:00:00"/>
    <x v="1"/>
    <s v="a6JHn8117210"/>
    <x v="1"/>
    <s v="May; Jun"/>
    <s v="Finance validation process delay."/>
    <n v="104"/>
    <x v="0"/>
    <x v="14"/>
    <x v="1"/>
    <x v="0"/>
  </r>
  <r>
    <x v="0"/>
    <s v="NWSL Prime Video 2025"/>
    <s v="Billing Request- 00104679"/>
    <x v="4"/>
    <d v="2025-06-13T00:00:00"/>
    <d v="2025-08-29T00:00:00"/>
    <x v="2"/>
    <s v="a6JXt9505402"/>
    <x v="6"/>
    <s v="May; Jun"/>
    <s v="Invoice details mismatch with approved campaign."/>
    <n v="77"/>
    <x v="0"/>
    <x v="9"/>
    <x v="1"/>
    <x v="0"/>
  </r>
  <r>
    <x v="0"/>
    <s v="NFL Prime Video 2025"/>
    <s v="Billing Request- 00104681"/>
    <x v="8"/>
    <d v="2025-05-25T00:00:00"/>
    <d v="2025-08-22T00:00:00"/>
    <x v="2"/>
    <s v="a6JHn6667867"/>
    <x v="6"/>
    <s v="May; Jun"/>
    <s v="Manual billing entry issue."/>
    <n v="89"/>
    <x v="0"/>
    <x v="4"/>
    <x v="3"/>
    <x v="0"/>
  </r>
  <r>
    <x v="4"/>
    <s v="NASCAR Apex 2025 2025"/>
    <s v="Billing Request- 00104682"/>
    <x v="5"/>
    <d v="2025-10-06T00:00:00"/>
    <d v="2026-01-30T00:00:00"/>
    <x v="2"/>
    <s v="a6JXt7029753"/>
    <x v="6"/>
    <s v="May; Jun"/>
    <s v="Manual billing entry issue."/>
    <n v="116"/>
    <x v="0"/>
    <x v="5"/>
    <x v="0"/>
    <x v="0"/>
  </r>
  <r>
    <x v="0"/>
    <s v="NASCAR Apex 2025 2026"/>
    <s v="Billing Request- 00104684"/>
    <x v="0"/>
    <d v="2026-02-10T00:00:00"/>
    <d v="2026-04-27T00:00:00"/>
    <x v="0"/>
    <s v="a6JHn7683219"/>
    <x v="1"/>
    <s v="Jul"/>
    <s v="Client requested retroactive billing adjustments."/>
    <n v="76"/>
    <x v="0"/>
    <x v="1"/>
    <x v="0"/>
    <x v="1"/>
  </r>
  <r>
    <x v="0"/>
    <s v="NWSL Halftime Sponsorship 2025"/>
    <s v="Billing Request- 00104685"/>
    <x v="0"/>
    <d v="2025-10-03T00:00:00"/>
    <d v="2025-10-31T00:00:00"/>
    <x v="0"/>
    <s v="a6JXt2148155"/>
    <x v="1"/>
    <s v="Jan"/>
    <s v="Missing supporting documentation from vendor."/>
    <n v="28"/>
    <x v="3"/>
    <x v="5"/>
    <x v="1"/>
    <x v="0"/>
  </r>
  <r>
    <x v="0"/>
    <s v="Global Consumer Products 2026"/>
    <s v="Billing Request- 00104687"/>
    <x v="8"/>
    <d v="2026-04-27T00:00:00"/>
    <d v="2026-04-28T00:00:00"/>
    <x v="2"/>
    <s v="a6Jat2875733"/>
    <x v="1"/>
    <s v="Jun"/>
    <s v="Late media plan changes from client."/>
    <n v="1"/>
    <x v="2"/>
    <x v="10"/>
    <x v="3"/>
    <x v="1"/>
  </r>
  <r>
    <x v="0"/>
    <s v="Streaming Bundle Initiative 2025"/>
    <s v="Billing Request- 00104688"/>
    <x v="0"/>
    <d v="2025-11-20T00:00:00"/>
    <d v="2025-12-31T00:00:00"/>
    <x v="2"/>
    <s v="a6JHn1788784"/>
    <x v="3"/>
    <s v="Apr"/>
    <s v="Missing supporting documentation from vendor."/>
    <n v="41"/>
    <x v="1"/>
    <x v="15"/>
    <x v="3"/>
    <x v="0"/>
  </r>
  <r>
    <x v="0"/>
    <s v="NASCAR P&amp;Q 2026"/>
    <s v="Billing Request- 00104689"/>
    <x v="4"/>
    <d v="2026-04-11T00:00:00"/>
    <d v="2026-05-08T00:00:00"/>
    <x v="2"/>
    <s v="a6JXt9262486"/>
    <x v="6"/>
    <s v="Aug"/>
    <s v="Agency submitted updated invoice mapping."/>
    <n v="27"/>
    <x v="3"/>
    <x v="10"/>
    <x v="0"/>
    <x v="1"/>
  </r>
  <r>
    <x v="0"/>
    <s v="NWSL Prime Video 2026"/>
    <s v="Billing Request- 00104690"/>
    <x v="3"/>
    <d v="2026-04-06T00:00:00"/>
    <d v="2026-05-06T00:00:00"/>
    <x v="0"/>
    <s v="a6JXt2285523"/>
    <x v="0"/>
    <s v="Apr"/>
    <s v="Finance validation process delay."/>
    <n v="30"/>
    <x v="3"/>
    <x v="10"/>
    <x v="1"/>
    <x v="1"/>
  </r>
  <r>
    <x v="0"/>
    <s v="WNBA Incremental Scatter 2026"/>
    <s v="Billing Request- 00104692"/>
    <x v="4"/>
    <d v="2026-01-06T00:00:00"/>
    <d v="2026-01-26T00:00:00"/>
    <x v="1"/>
    <s v="a6JXt7670460"/>
    <x v="3"/>
    <s v="Feb"/>
    <s v="Manual billing entry issue."/>
    <n v="20"/>
    <x v="3"/>
    <x v="7"/>
    <x v="2"/>
    <x v="1"/>
  </r>
  <r>
    <x v="0"/>
    <s v="Prime Sports NFL 2026"/>
    <s v="Billing Request- 00104693"/>
    <x v="1"/>
    <d v="2026-04-09T00:00:00"/>
    <d v="2026-04-23T00:00:00"/>
    <x v="2"/>
    <s v="a6JHn5307766"/>
    <x v="3"/>
    <s v="Mar; Apr"/>
    <s v="Invoice details mismatch with approved campaign."/>
    <n v="14"/>
    <x v="4"/>
    <x v="10"/>
    <x v="3"/>
    <x v="1"/>
  </r>
  <r>
    <x v="4"/>
    <s v="NBA Playoffs Campaign 2025"/>
    <s v="Billing Request- 00104694"/>
    <x v="0"/>
    <d v="2025-06-17T00:00:00"/>
    <d v="2025-06-28T00:00:00"/>
    <x v="1"/>
    <s v="a6JHn7109877"/>
    <x v="6"/>
    <s v="Mar; Apr"/>
    <s v="Late media plan changes from client."/>
    <n v="11"/>
    <x v="4"/>
    <x v="9"/>
    <x v="2"/>
    <x v="0"/>
  </r>
  <r>
    <x v="0"/>
    <s v="NWSL Prime Video 2025"/>
    <s v="Billing Request- 00104695"/>
    <x v="7"/>
    <d v="2025-02-14T00:00:00"/>
    <d v="2025-03-31T00:00:00"/>
    <x v="0"/>
    <s v="a6JHn4352239"/>
    <x v="5"/>
    <s v="Mar; Apr"/>
    <s v="Late media plan changes from client."/>
    <n v="45"/>
    <x v="1"/>
    <x v="6"/>
    <x v="1"/>
    <x v="0"/>
  </r>
  <r>
    <x v="2"/>
    <s v="Prime Sports NFL 2025"/>
    <s v="Billing Request- 00104696"/>
    <x v="6"/>
    <d v="2025-06-20T00:00:00"/>
    <d v="2025-06-23T00:00:00"/>
    <x v="2"/>
    <s v="a6JHn4009142"/>
    <x v="1"/>
    <s v="Jan"/>
    <s v="Incorrect legal terms delayed PTS."/>
    <n v="3"/>
    <x v="2"/>
    <x v="9"/>
    <x v="3"/>
    <x v="0"/>
  </r>
  <r>
    <x v="0"/>
    <s v="NASCAR P&amp;Q 2026"/>
    <s v="Billing Request- 00104697"/>
    <x v="0"/>
    <d v="2026-01-23T00:00:00"/>
    <d v="2026-03-17T00:00:00"/>
    <x v="2"/>
    <s v="a6JHn8300787"/>
    <x v="0"/>
    <s v="Jul; Aug"/>
    <s v="Finance validation process delay."/>
    <n v="53"/>
    <x v="1"/>
    <x v="7"/>
    <x v="0"/>
    <x v="1"/>
  </r>
  <r>
    <x v="0"/>
    <s v="NBA League Pass 2025"/>
    <s v="Billing Request- 00104698"/>
    <x v="2"/>
    <d v="2025-02-20T00:00:00"/>
    <d v="2025-06-06T00:00:00"/>
    <x v="0"/>
    <s v="a6Jat5597572"/>
    <x v="5"/>
    <s v="Mar; Apr"/>
    <s v="Late media plan changes from client."/>
    <n v="106"/>
    <x v="0"/>
    <x v="6"/>
    <x v="2"/>
    <x v="0"/>
  </r>
  <r>
    <x v="0"/>
    <s v="NASCAR P&amp;Q 2026"/>
    <s v="Billing Request- 00104699"/>
    <x v="7"/>
    <d v="2026-01-17T00:00:00"/>
    <d v="2026-04-15T00:00:00"/>
    <x v="2"/>
    <s v="a6Jat5454133"/>
    <x v="3"/>
    <s v="Mar"/>
    <s v=""/>
    <n v="88"/>
    <x v="0"/>
    <x v="7"/>
    <x v="0"/>
    <x v="1"/>
  </r>
  <r>
    <x v="0"/>
    <s v="TNF Sponsorship 2026"/>
    <s v="Billing Request- 00104701"/>
    <x v="2"/>
    <d v="2026-01-22T00:00:00"/>
    <d v="2026-01-29T00:00:00"/>
    <x v="2"/>
    <s v="a6Jat8201829"/>
    <x v="1"/>
    <s v="Aug"/>
    <s v=""/>
    <n v="7"/>
    <x v="2"/>
    <x v="7"/>
    <x v="4"/>
    <x v="1"/>
  </r>
  <r>
    <x v="4"/>
    <s v="NBA Playoffs Campaign 2026"/>
    <s v="Billing Request- 00104703"/>
    <x v="0"/>
    <d v="2026-03-03T00:00:00"/>
    <d v="2026-05-04T00:00:00"/>
    <x v="0"/>
    <s v="a6Jat6332319"/>
    <x v="4"/>
    <s v="May"/>
    <s v=""/>
    <n v="62"/>
    <x v="0"/>
    <x v="2"/>
    <x v="2"/>
    <x v="1"/>
  </r>
  <r>
    <x v="1"/>
    <s v="Amazon TNF 2024 2025"/>
    <s v="Billing Request- 00104704"/>
    <x v="2"/>
    <d v="2025-09-08T00:00:00"/>
    <d v="2025-12-13T00:00:00"/>
    <x v="0"/>
    <s v="a6JXt3832531"/>
    <x v="5"/>
    <s v="Apr"/>
    <s v="Agency submitted updated invoice mapping."/>
    <n v="96"/>
    <x v="0"/>
    <x v="14"/>
    <x v="4"/>
    <x v="0"/>
  </r>
  <r>
    <x v="0"/>
    <s v="Prime Sports NFL 2025"/>
    <s v="Billing Request- 00104705"/>
    <x v="3"/>
    <d v="2025-04-19T00:00:00"/>
    <d v="2025-04-20T00:00:00"/>
    <x v="2"/>
    <s v="a6JXt2890368"/>
    <x v="4"/>
    <s v="Jun"/>
    <s v="Late media plan changes from client."/>
    <n v="1"/>
    <x v="2"/>
    <x v="3"/>
    <x v="3"/>
    <x v="0"/>
  </r>
  <r>
    <x v="0"/>
    <s v="Confluence Academy 2025"/>
    <s v="Billing Request- 00104706"/>
    <x v="4"/>
    <d v="2025-08-01T00:00:00"/>
    <d v="2025-10-04T00:00:00"/>
    <x v="2"/>
    <s v="a6JXt8326823"/>
    <x v="0"/>
    <s v="Mar"/>
    <s v="Incorrect legal terms delayed PTS."/>
    <n v="64"/>
    <x v="0"/>
    <x v="8"/>
    <x v="3"/>
    <x v="0"/>
  </r>
  <r>
    <x v="0"/>
    <s v="NBA Playoffs Campaign 2025"/>
    <s v="Billing Request- 00104707"/>
    <x v="7"/>
    <d v="2025-11-10T00:00:00"/>
    <d v="2026-03-08T00:00:00"/>
    <x v="1"/>
    <s v="a6JHn3061416"/>
    <x v="2"/>
    <s v="Jul"/>
    <s v="Invoice details mismatch with approved campaign."/>
    <n v="118"/>
    <x v="0"/>
    <x v="15"/>
    <x v="2"/>
    <x v="0"/>
  </r>
  <r>
    <x v="0"/>
    <s v="Global Consumer Products 2025"/>
    <s v="Billing Request- 00104709"/>
    <x v="1"/>
    <d v="2025-12-21T00:00:00"/>
    <d v="2025-12-25T00:00:00"/>
    <x v="0"/>
    <s v="a6JXt9328682"/>
    <x v="1"/>
    <s v="Mar; Apr"/>
    <s v=""/>
    <n v="4"/>
    <x v="2"/>
    <x v="11"/>
    <x v="3"/>
    <x v="0"/>
  </r>
  <r>
    <x v="0"/>
    <s v="Streaming Bundle Initiative 2025"/>
    <s v="Billing Request- 00104711"/>
    <x v="8"/>
    <d v="2025-07-12T00:00:00"/>
    <d v="2025-07-29T00:00:00"/>
    <x v="2"/>
    <s v="a6JXt5778850"/>
    <x v="4"/>
    <s v="May"/>
    <s v="Agency submitted updated invoice mapping."/>
    <n v="17"/>
    <x v="3"/>
    <x v="12"/>
    <x v="3"/>
    <x v="0"/>
  </r>
  <r>
    <x v="2"/>
    <s v="NASCAR P&amp;Q 2025"/>
    <s v="Billing Request- 00104713"/>
    <x v="8"/>
    <d v="2025-02-23T00:00:00"/>
    <d v="2025-04-02T00:00:00"/>
    <x v="0"/>
    <s v="a6JXt5699531"/>
    <x v="3"/>
    <s v="Jan"/>
    <s v="Late media plan changes from client."/>
    <n v="38"/>
    <x v="1"/>
    <x v="6"/>
    <x v="0"/>
    <x v="0"/>
  </r>
  <r>
    <x v="0"/>
    <s v="NASCAR P&amp;Q 2025"/>
    <s v="Billing Request- 00104715"/>
    <x v="5"/>
    <d v="2025-01-18T00:00:00"/>
    <d v="2025-03-09T00:00:00"/>
    <x v="2"/>
    <s v="a6JXt5139326"/>
    <x v="3"/>
    <s v="Oct"/>
    <s v="Late media plan changes from client."/>
    <n v="50"/>
    <x v="1"/>
    <x v="0"/>
    <x v="0"/>
    <x v="0"/>
  </r>
  <r>
    <x v="0"/>
    <s v="NASCAR P&amp;Q 2025"/>
    <s v="Billing Request- 00104716"/>
    <x v="3"/>
    <d v="2025-04-29T00:00:00"/>
    <d v="2025-06-04T00:00:00"/>
    <x v="2"/>
    <s v="a6JHn1086576"/>
    <x v="2"/>
    <s v="May; Jun"/>
    <s v="Finance validation process delay."/>
    <n v="36"/>
    <x v="1"/>
    <x v="3"/>
    <x v="0"/>
    <x v="0"/>
  </r>
  <r>
    <x v="0"/>
    <s v="WNBA Incremental Scatter 2025"/>
    <s v="Billing Request- 00104717"/>
    <x v="9"/>
    <d v="2025-05-16T00:00:00"/>
    <d v="2025-07-19T00:00:00"/>
    <x v="0"/>
    <s v="a6Jat8179576"/>
    <x v="4"/>
    <s v="Dec"/>
    <s v="Client requested retroactive billing adjustments."/>
    <n v="64"/>
    <x v="0"/>
    <x v="4"/>
    <x v="2"/>
    <x v="0"/>
  </r>
  <r>
    <x v="0"/>
    <s v="Global Consumer Products 2026"/>
    <s v="Billing Request- 00104719"/>
    <x v="5"/>
    <d v="2026-02-12T00:00:00"/>
    <d v="2026-03-21T00:00:00"/>
    <x v="2"/>
    <s v="a6Jat6846764"/>
    <x v="5"/>
    <s v="Aug"/>
    <s v="Client requested retroactive billing adjustments."/>
    <n v="37"/>
    <x v="1"/>
    <x v="1"/>
    <x v="3"/>
    <x v="1"/>
  </r>
  <r>
    <x v="3"/>
    <s v="WNBA Incremental Scatter 2025"/>
    <s v="Billing Request- 00104720"/>
    <x v="5"/>
    <d v="2025-08-06T00:00:00"/>
    <d v="2025-10-16T00:00:00"/>
    <x v="2"/>
    <s v="a6Jat9534820"/>
    <x v="6"/>
    <s v="Jul; Aug"/>
    <s v=""/>
    <n v="71"/>
    <x v="0"/>
    <x v="8"/>
    <x v="2"/>
    <x v="0"/>
  </r>
  <r>
    <x v="0"/>
    <s v="WNBA Incremental Scatter 2026"/>
    <s v="Billing Request- 00104721"/>
    <x v="4"/>
    <d v="2026-05-09T00:00:00"/>
    <d v="2026-05-08T00:00:00"/>
    <x v="2"/>
    <s v="a6Jat2929683"/>
    <x v="2"/>
    <s v="Sep"/>
    <s v="Agency submitted updated invoice mapping."/>
    <n v="-1"/>
    <x v="2"/>
    <x v="16"/>
    <x v="2"/>
    <x v="1"/>
  </r>
  <r>
    <x v="0"/>
    <s v="NASCAR Apex 2025 2026"/>
    <s v="Billing Request- 00104726"/>
    <x v="0"/>
    <d v="2026-03-25T00:00:00"/>
    <d v="2026-04-13T00:00:00"/>
    <x v="2"/>
    <s v="a6JXt7193786"/>
    <x v="4"/>
    <s v="Feb"/>
    <s v=""/>
    <n v="19"/>
    <x v="3"/>
    <x v="2"/>
    <x v="0"/>
    <x v="1"/>
  </r>
  <r>
    <x v="0"/>
    <s v="NBA Playoffs Campaign 2025"/>
    <s v="Billing Request- 00104727"/>
    <x v="4"/>
    <d v="2025-07-03T00:00:00"/>
    <d v="2025-07-14T00:00:00"/>
    <x v="2"/>
    <s v="a6JHn1762251"/>
    <x v="5"/>
    <s v="May; Jun"/>
    <s v="Late media plan changes from client."/>
    <n v="11"/>
    <x v="4"/>
    <x v="12"/>
    <x v="2"/>
    <x v="0"/>
  </r>
  <r>
    <x v="0"/>
    <s v="NWSL Halftime Sponsorship 2025"/>
    <s v="Billing Request- 00104728"/>
    <x v="9"/>
    <d v="2025-02-26T00:00:00"/>
    <d v="2025-03-12T00:00:00"/>
    <x v="2"/>
    <s v="a6Jat4937780"/>
    <x v="3"/>
    <s v="Sep; Oct"/>
    <s v="Finance validation process delay."/>
    <n v="14"/>
    <x v="4"/>
    <x v="6"/>
    <x v="1"/>
    <x v="0"/>
  </r>
  <r>
    <x v="0"/>
    <s v="Amazon TNF 2024 2025"/>
    <s v="Billing Request- 00104732"/>
    <x v="7"/>
    <d v="2025-12-02T00:00:00"/>
    <d v="2026-02-04T00:00:00"/>
    <x v="2"/>
    <s v="a6Jat1789957"/>
    <x v="3"/>
    <s v="Jul"/>
    <s v="Manual billing entry issue."/>
    <n v="64"/>
    <x v="0"/>
    <x v="11"/>
    <x v="4"/>
    <x v="0"/>
  </r>
  <r>
    <x v="0"/>
    <s v="DirecTV NASCAR Campaign 2025"/>
    <s v="Billing Request- 00104733"/>
    <x v="7"/>
    <d v="2025-04-25T00:00:00"/>
    <d v="2025-08-19T00:00:00"/>
    <x v="0"/>
    <s v="a6JHn4012185"/>
    <x v="3"/>
    <s v="Jan"/>
    <s v="Invoice details mismatch with approved campaign."/>
    <n v="116"/>
    <x v="0"/>
    <x v="3"/>
    <x v="0"/>
    <x v="0"/>
  </r>
  <r>
    <x v="1"/>
    <s v="DirecTV NASCAR Campaign 2026"/>
    <s v="Billing Request- 00104734"/>
    <x v="9"/>
    <d v="2026-01-23T00:00:00"/>
    <d v="2026-03-12T00:00:00"/>
    <x v="1"/>
    <s v="a6JXt8279463"/>
    <x v="4"/>
    <s v="Apr"/>
    <s v="Late media plan changes from client."/>
    <n v="48"/>
    <x v="1"/>
    <x v="7"/>
    <x v="0"/>
    <x v="1"/>
  </r>
  <r>
    <x v="0"/>
    <s v="Prime Sports NFL 2025"/>
    <s v="Billing Request- 00104735"/>
    <x v="1"/>
    <d v="2025-10-05T00:00:00"/>
    <d v="2025-12-04T00:00:00"/>
    <x v="2"/>
    <s v="a6Jat2944254"/>
    <x v="1"/>
    <s v="Sep; Oct"/>
    <s v=""/>
    <n v="60"/>
    <x v="1"/>
    <x v="5"/>
    <x v="3"/>
    <x v="0"/>
  </r>
  <r>
    <x v="0"/>
    <s v="DirecTV NASCAR Campaign 2025"/>
    <s v="Billing Request- 00104736"/>
    <x v="6"/>
    <d v="2025-06-23T00:00:00"/>
    <d v="2025-09-10T00:00:00"/>
    <x v="2"/>
    <s v="a6Jat7482885"/>
    <x v="2"/>
    <s v="Nov"/>
    <s v="Incorrect legal terms delayed PTS."/>
    <n v="79"/>
    <x v="0"/>
    <x v="9"/>
    <x v="0"/>
    <x v="0"/>
  </r>
  <r>
    <x v="0"/>
    <s v="NWSL Prime Video 2025"/>
    <s v="Billing Request- 00104737"/>
    <x v="7"/>
    <d v="2025-04-30T00:00:00"/>
    <d v="2025-06-20T00:00:00"/>
    <x v="2"/>
    <s v="a6Jat2479627"/>
    <x v="1"/>
    <s v="May; Jun"/>
    <s v="Late media plan changes from client."/>
    <n v="51"/>
    <x v="1"/>
    <x v="3"/>
    <x v="1"/>
    <x v="0"/>
  </r>
  <r>
    <x v="0"/>
    <s v="NBA League Pass 2025"/>
    <s v="Billing Request- 00104741"/>
    <x v="4"/>
    <d v="2025-01-21T00:00:00"/>
    <d v="2025-05-16T00:00:00"/>
    <x v="0"/>
    <s v="a6JXt4438012"/>
    <x v="3"/>
    <s v="Sep"/>
    <s v="Client requested retroactive billing adjustments."/>
    <n v="115"/>
    <x v="0"/>
    <x v="0"/>
    <x v="2"/>
    <x v="0"/>
  </r>
  <r>
    <x v="1"/>
    <s v="Amazon TNF 2024 2025"/>
    <s v="Billing Request- 00104742"/>
    <x v="0"/>
    <d v="2025-11-08T00:00:00"/>
    <d v="2026-03-01T00:00:00"/>
    <x v="2"/>
    <s v="a6JHn7723094"/>
    <x v="5"/>
    <s v="Mar"/>
    <s v=""/>
    <n v="113"/>
    <x v="0"/>
    <x v="15"/>
    <x v="4"/>
    <x v="0"/>
  </r>
  <r>
    <x v="0"/>
    <s v="WNBA Incremental Scatter 2025"/>
    <s v="Billing Request- 00104743"/>
    <x v="9"/>
    <d v="2025-04-07T00:00:00"/>
    <d v="2025-08-05T00:00:00"/>
    <x v="2"/>
    <s v="a6Jat7532326"/>
    <x v="3"/>
    <s v="Jan"/>
    <s v="Manual billing entry issue."/>
    <n v="120"/>
    <x v="0"/>
    <x v="3"/>
    <x v="2"/>
    <x v="0"/>
  </r>
  <r>
    <x v="0"/>
    <s v="TNF Sponsorship 2025"/>
    <s v="Billing Request- 00104744"/>
    <x v="2"/>
    <d v="2025-08-17T00:00:00"/>
    <d v="2025-10-01T00:00:00"/>
    <x v="2"/>
    <s v="a6Jat8224860"/>
    <x v="6"/>
    <s v="Sep; Oct"/>
    <s v="Incorrect legal terms delayed PTS."/>
    <n v="45"/>
    <x v="1"/>
    <x v="8"/>
    <x v="4"/>
    <x v="0"/>
  </r>
  <r>
    <x v="0"/>
    <s v="NWSL Prime Video 2025"/>
    <s v="Billing Request- 00104746"/>
    <x v="7"/>
    <d v="2025-06-18T00:00:00"/>
    <d v="2025-07-16T00:00:00"/>
    <x v="2"/>
    <s v="a6JHn9941974"/>
    <x v="5"/>
    <s v="Jul"/>
    <s v="Incorrect legal terms delayed PTS."/>
    <n v="28"/>
    <x v="3"/>
    <x v="9"/>
    <x v="1"/>
    <x v="0"/>
  </r>
  <r>
    <x v="3"/>
    <s v="NASCAR Apex 2025 2025"/>
    <s v="Billing Request- 00104747"/>
    <x v="3"/>
    <d v="2025-08-11T00:00:00"/>
    <d v="2025-09-30T00:00:00"/>
    <x v="1"/>
    <s v="a6JHn8754812"/>
    <x v="6"/>
    <s v="May"/>
    <s v="Missing supporting documentation from vendor."/>
    <n v="50"/>
    <x v="1"/>
    <x v="8"/>
    <x v="0"/>
    <x v="0"/>
  </r>
  <r>
    <x v="0"/>
    <s v="Amazon TNF 2024 2025"/>
    <s v="Billing Request- 00104748"/>
    <x v="7"/>
    <d v="2025-09-21T00:00:00"/>
    <d v="2025-12-24T00:00:00"/>
    <x v="1"/>
    <s v="a6JXt7306432"/>
    <x v="4"/>
    <s v="Feb"/>
    <s v="Incorrect legal terms delayed PTS."/>
    <n v="94"/>
    <x v="0"/>
    <x v="14"/>
    <x v="4"/>
    <x v="0"/>
  </r>
  <r>
    <x v="0"/>
    <s v="WNBA Incremental Scatter 2025"/>
    <s v="Billing Request- 00104749"/>
    <x v="9"/>
    <d v="2025-01-21T00:00:00"/>
    <d v="2025-04-12T00:00:00"/>
    <x v="0"/>
    <s v="a6Jat8788584"/>
    <x v="4"/>
    <s v="Aug"/>
    <s v="Agency submitted updated invoice mapping."/>
    <n v="81"/>
    <x v="0"/>
    <x v="0"/>
    <x v="2"/>
    <x v="0"/>
  </r>
  <r>
    <x v="0"/>
    <s v="Amazon TNF 2024 2025"/>
    <s v="Billing Request- 00104750"/>
    <x v="5"/>
    <d v="2025-09-29T00:00:00"/>
    <d v="2025-12-08T00:00:00"/>
    <x v="0"/>
    <s v="a6JXt2951693"/>
    <x v="2"/>
    <s v="May; Jun"/>
    <s v="Finance validation process delay."/>
    <n v="70"/>
    <x v="0"/>
    <x v="14"/>
    <x v="4"/>
    <x v="0"/>
  </r>
  <r>
    <x v="0"/>
    <s v="Amazon TNF 2024 2025"/>
    <s v="Billing Request- 00104751"/>
    <x v="5"/>
    <d v="2025-07-05T00:00:00"/>
    <d v="2025-10-22T00:00:00"/>
    <x v="2"/>
    <s v="a6JHn6218689"/>
    <x v="3"/>
    <s v="Jan; Feb"/>
    <s v="Finance validation process delay."/>
    <n v="109"/>
    <x v="0"/>
    <x v="12"/>
    <x v="4"/>
    <x v="0"/>
  </r>
  <r>
    <x v="0"/>
    <s v="Amazon TNF 2024 2025"/>
    <s v="Billing Request- 00104752"/>
    <x v="0"/>
    <d v="2025-12-25T00:00:00"/>
    <d v="2026-04-06T00:00:00"/>
    <x v="0"/>
    <s v="a6Jat6791685"/>
    <x v="0"/>
    <s v="Mar; Apr"/>
    <s v="Invoice details mismatch with approved campaign."/>
    <n v="102"/>
    <x v="0"/>
    <x v="11"/>
    <x v="4"/>
    <x v="0"/>
  </r>
  <r>
    <x v="3"/>
    <s v="NASCAR Apex 2025 2025"/>
    <s v="Billing Request- 00104753"/>
    <x v="1"/>
    <d v="2025-04-05T00:00:00"/>
    <d v="2025-05-19T00:00:00"/>
    <x v="2"/>
    <s v="a6JHn6919951"/>
    <x v="5"/>
    <s v="Jan; Feb"/>
    <s v="Incorrect legal terms delayed PTS."/>
    <n v="44"/>
    <x v="1"/>
    <x v="3"/>
    <x v="0"/>
    <x v="0"/>
  </r>
  <r>
    <x v="4"/>
    <s v="NASCAR P&amp;Q 2026"/>
    <s v="Billing Request- 00104755"/>
    <x v="7"/>
    <d v="2026-04-19T00:00:00"/>
    <d v="2026-05-04T00:00:00"/>
    <x v="2"/>
    <s v="a6Jat8663029"/>
    <x v="1"/>
    <s v="Feb"/>
    <s v="Finance validation process delay."/>
    <n v="15"/>
    <x v="3"/>
    <x v="10"/>
    <x v="0"/>
    <x v="1"/>
  </r>
  <r>
    <x v="0"/>
    <s v="NWSL Prime Video 2026"/>
    <s v="Billing Request- 00104756"/>
    <x v="5"/>
    <d v="2026-04-10T00:00:00"/>
    <d v="2026-05-06T00:00:00"/>
    <x v="0"/>
    <s v="a6JXt5991331"/>
    <x v="6"/>
    <s v="Aug"/>
    <s v="Incorrect legal terms delayed PTS."/>
    <n v="26"/>
    <x v="3"/>
    <x v="10"/>
    <x v="1"/>
    <x v="1"/>
  </r>
  <r>
    <x v="0"/>
    <s v="Streaming Bundle Initiative 2026"/>
    <s v="Billing Request- 00104757"/>
    <x v="1"/>
    <d v="2026-03-24T00:00:00"/>
    <d v="2026-05-05T00:00:00"/>
    <x v="1"/>
    <s v="a6JHn2102278"/>
    <x v="4"/>
    <s v="Sep"/>
    <s v="Invoice details mismatch with approved campaign."/>
    <n v="42"/>
    <x v="1"/>
    <x v="2"/>
    <x v="3"/>
    <x v="1"/>
  </r>
  <r>
    <x v="0"/>
    <s v="Amazon NBA Live Sports 2026"/>
    <s v="Billing Request- 00104758"/>
    <x v="3"/>
    <d v="2026-05-02T00:00:00"/>
    <d v="2026-05-05T00:00:00"/>
    <x v="2"/>
    <s v="a6JXt8071758"/>
    <x v="6"/>
    <s v="Apr"/>
    <s v="Agency submitted updated invoice mapping."/>
    <n v="3"/>
    <x v="2"/>
    <x v="16"/>
    <x v="2"/>
    <x v="1"/>
  </r>
  <r>
    <x v="0"/>
    <s v="NWSL Halftime Sponsorship 2026"/>
    <s v="Billing Request- 00104759"/>
    <x v="6"/>
    <d v="2026-04-28T00:00:00"/>
    <d v="2026-05-06T00:00:00"/>
    <x v="0"/>
    <s v="a6JXt4840865"/>
    <x v="4"/>
    <s v="Mar; Apr"/>
    <s v="Client requested retroactive billing adjustments."/>
    <n v="8"/>
    <x v="4"/>
    <x v="10"/>
    <x v="1"/>
    <x v="1"/>
  </r>
  <r>
    <x v="0"/>
    <s v="NWSL Halftime Sponsorship 2025"/>
    <s v="Billing Request- 00104761"/>
    <x v="7"/>
    <d v="2025-05-14T00:00:00"/>
    <d v="2025-06-01T00:00:00"/>
    <x v="1"/>
    <s v="a6JXt3147673"/>
    <x v="4"/>
    <s v="May"/>
    <s v="Client requested retroactive billing adjustments."/>
    <n v="18"/>
    <x v="3"/>
    <x v="4"/>
    <x v="1"/>
    <x v="0"/>
  </r>
  <r>
    <x v="0"/>
    <s v="NASCAR P&amp;Q 2026"/>
    <s v="Billing Request- 00104763"/>
    <x v="2"/>
    <d v="2026-01-25T00:00:00"/>
    <d v="2026-04-05T00:00:00"/>
    <x v="0"/>
    <s v="a6JHn7771417"/>
    <x v="2"/>
    <s v="Sep; Oct"/>
    <s v="Manual billing entry issue."/>
    <n v="70"/>
    <x v="0"/>
    <x v="7"/>
    <x v="0"/>
    <x v="1"/>
  </r>
  <r>
    <x v="0"/>
    <s v="Streaming Bundle Initiative 2025"/>
    <s v="Billing Request- 00104764"/>
    <x v="3"/>
    <d v="2025-08-01T00:00:00"/>
    <d v="2025-08-24T00:00:00"/>
    <x v="0"/>
    <s v="a6JXt5339258"/>
    <x v="1"/>
    <s v="Aug"/>
    <s v="Manual billing entry issue."/>
    <n v="23"/>
    <x v="3"/>
    <x v="8"/>
    <x v="3"/>
    <x v="0"/>
  </r>
  <r>
    <x v="0"/>
    <s v="TNF Sponsorship 2025"/>
    <s v="Billing Request- 00104765"/>
    <x v="2"/>
    <d v="2025-10-16T00:00:00"/>
    <d v="2025-11-05T00:00:00"/>
    <x v="0"/>
    <s v="a6JXt7961835"/>
    <x v="3"/>
    <s v="Sep; Oct"/>
    <s v="Finance validation process delay."/>
    <n v="20"/>
    <x v="3"/>
    <x v="5"/>
    <x v="4"/>
    <x v="0"/>
  </r>
  <r>
    <x v="0"/>
    <s v="Retail Media Expansion 2026"/>
    <s v="Billing Request- 00104766"/>
    <x v="1"/>
    <d v="2026-04-07T00:00:00"/>
    <d v="2026-05-08T00:00:00"/>
    <x v="2"/>
    <s v="a6Jat3700844"/>
    <x v="0"/>
    <s v="Nov; Dec"/>
    <s v=""/>
    <n v="31"/>
    <x v="1"/>
    <x v="10"/>
    <x v="3"/>
    <x v="1"/>
  </r>
  <r>
    <x v="0"/>
    <s v="WNBA Incremental Scatter 2026"/>
    <s v="Billing Request- 00104768"/>
    <x v="2"/>
    <d v="2026-04-05T00:00:00"/>
    <d v="2026-04-18T00:00:00"/>
    <x v="2"/>
    <s v="a6JXt4272077"/>
    <x v="6"/>
    <s v="Mar"/>
    <s v="Finance validation process delay."/>
    <n v="13"/>
    <x v="4"/>
    <x v="10"/>
    <x v="2"/>
    <x v="1"/>
  </r>
  <r>
    <x v="1"/>
    <s v="NASCAR Apex 2025 2025"/>
    <s v="Billing Request- 00104769"/>
    <x v="8"/>
    <d v="2025-02-07T00:00:00"/>
    <d v="2025-04-24T00:00:00"/>
    <x v="0"/>
    <s v="a6JXt7135510"/>
    <x v="0"/>
    <s v="Jan; Feb"/>
    <s v="Missing supporting documentation from vendor."/>
    <n v="76"/>
    <x v="0"/>
    <x v="6"/>
    <x v="0"/>
    <x v="0"/>
  </r>
  <r>
    <x v="0"/>
    <s v="NWSL Prime Video 2025"/>
    <s v="Billing Request- 00104771"/>
    <x v="7"/>
    <d v="2025-03-04T00:00:00"/>
    <d v="2025-05-24T00:00:00"/>
    <x v="1"/>
    <s v="a6JXt3897782"/>
    <x v="6"/>
    <s v="Feb"/>
    <s v="Agency submitted updated invoice mapping."/>
    <n v="81"/>
    <x v="0"/>
    <x v="13"/>
    <x v="1"/>
    <x v="0"/>
  </r>
  <r>
    <x v="0"/>
    <s v="WNBA Incremental Scatter 2026"/>
    <s v="Billing Request- 00104773"/>
    <x v="8"/>
    <d v="2026-04-26T00:00:00"/>
    <d v="2026-05-04T00:00:00"/>
    <x v="2"/>
    <s v="a6JXt3712737"/>
    <x v="1"/>
    <s v="Jan"/>
    <s v="Manual billing entry issue."/>
    <n v="8"/>
    <x v="4"/>
    <x v="10"/>
    <x v="2"/>
    <x v="1"/>
  </r>
  <r>
    <x v="0"/>
    <s v="NWSL Prime Video 2025"/>
    <s v="Billing Request- 00104774"/>
    <x v="1"/>
    <d v="2025-08-04T00:00:00"/>
    <d v="2025-11-16T00:00:00"/>
    <x v="2"/>
    <s v="a6JXt2956391"/>
    <x v="0"/>
    <s v="Aug"/>
    <s v="Incorrect legal terms delayed PTS."/>
    <n v="104"/>
    <x v="0"/>
    <x v="8"/>
    <x v="1"/>
    <x v="0"/>
  </r>
  <r>
    <x v="4"/>
    <s v="Global Consumer Products 2025"/>
    <s v="Billing Request- 00104776"/>
    <x v="6"/>
    <d v="2025-01-24T00:00:00"/>
    <d v="2025-03-05T00:00:00"/>
    <x v="0"/>
    <s v="a6JXt7719344"/>
    <x v="6"/>
    <s v="Jan"/>
    <s v="Manual billing entry issue."/>
    <n v="40"/>
    <x v="1"/>
    <x v="0"/>
    <x v="3"/>
    <x v="0"/>
  </r>
  <r>
    <x v="0"/>
    <s v="Amazon NBA Live Sports 2025"/>
    <s v="Billing Request- 00104777"/>
    <x v="7"/>
    <d v="2025-11-02T00:00:00"/>
    <d v="2025-12-18T00:00:00"/>
    <x v="2"/>
    <s v="a6JHn9880148"/>
    <x v="1"/>
    <s v="Jun"/>
    <s v="Client requested retroactive billing adjustments."/>
    <n v="46"/>
    <x v="1"/>
    <x v="15"/>
    <x v="2"/>
    <x v="0"/>
  </r>
  <r>
    <x v="0"/>
    <s v="NASCAR P&amp;Q 2025"/>
    <s v="Billing Request- 00104779"/>
    <x v="2"/>
    <d v="2025-07-24T00:00:00"/>
    <d v="2025-09-03T00:00:00"/>
    <x v="1"/>
    <s v="a6Jat2677947"/>
    <x v="0"/>
    <s v="Aug"/>
    <s v="Incorrect legal terms delayed PTS."/>
    <n v="41"/>
    <x v="1"/>
    <x v="12"/>
    <x v="0"/>
    <x v="0"/>
  </r>
  <r>
    <x v="0"/>
    <s v="DirecTV NASCAR Campaign 2025"/>
    <s v="Billing Request- 00104782"/>
    <x v="0"/>
    <d v="2025-12-08T00:00:00"/>
    <d v="2026-03-20T00:00:00"/>
    <x v="2"/>
    <s v="a6JXt7628349"/>
    <x v="1"/>
    <s v="Oct"/>
    <s v="Late media plan changes from client."/>
    <n v="102"/>
    <x v="0"/>
    <x v="11"/>
    <x v="0"/>
    <x v="0"/>
  </r>
  <r>
    <x v="0"/>
    <s v="NASCAR P&amp;Q 2026"/>
    <s v="Billing Request- 00104783"/>
    <x v="2"/>
    <d v="2026-01-21T00:00:00"/>
    <d v="2026-04-21T00:00:00"/>
    <x v="2"/>
    <s v="a6Jat2561132"/>
    <x v="4"/>
    <s v="Jan; Feb"/>
    <s v="Client requested retroactive billing adjustments."/>
    <n v="90"/>
    <x v="0"/>
    <x v="7"/>
    <x v="0"/>
    <x v="1"/>
  </r>
  <r>
    <x v="0"/>
    <s v="Confluence Academy 2025"/>
    <s v="Billing Request- 00104784"/>
    <x v="9"/>
    <d v="2025-04-23T00:00:00"/>
    <d v="2025-05-19T00:00:00"/>
    <x v="0"/>
    <s v="a6Jat8393282"/>
    <x v="1"/>
    <s v="Oct"/>
    <s v="Missing supporting documentation from vendor."/>
    <n v="26"/>
    <x v="3"/>
    <x v="3"/>
    <x v="3"/>
    <x v="0"/>
  </r>
  <r>
    <x v="0"/>
    <s v="NWSL Prime Video 2025"/>
    <s v="Billing Request- 00104786"/>
    <x v="0"/>
    <d v="2025-01-06T00:00:00"/>
    <d v="2025-04-22T00:00:00"/>
    <x v="0"/>
    <s v="a6Jat2011226"/>
    <x v="2"/>
    <s v="May; Jun"/>
    <s v=""/>
    <n v="106"/>
    <x v="0"/>
    <x v="0"/>
    <x v="1"/>
    <x v="0"/>
  </r>
  <r>
    <x v="0"/>
    <s v="WNBA Incremental Scatter 2026"/>
    <s v="Billing Request- 00104788"/>
    <x v="4"/>
    <d v="2026-02-18T00:00:00"/>
    <d v="2026-04-30T00:00:00"/>
    <x v="0"/>
    <s v="a6JXt6376423"/>
    <x v="0"/>
    <s v="Aug"/>
    <s v=""/>
    <n v="71"/>
    <x v="0"/>
    <x v="1"/>
    <x v="2"/>
    <x v="1"/>
  </r>
  <r>
    <x v="0"/>
    <s v="NASCAR P&amp;Q 2025"/>
    <s v="Billing Request- 00104789"/>
    <x v="1"/>
    <d v="2025-11-23T00:00:00"/>
    <d v="2026-01-04T00:00:00"/>
    <x v="2"/>
    <s v="a6Jat6800202"/>
    <x v="2"/>
    <s v="Mar"/>
    <s v="Late media plan changes from client."/>
    <n v="42"/>
    <x v="1"/>
    <x v="15"/>
    <x v="0"/>
    <x v="0"/>
  </r>
  <r>
    <x v="0"/>
    <s v="NASCAR Apex 2025 2025"/>
    <s v="Billing Request- 00104790"/>
    <x v="8"/>
    <d v="2025-08-24T00:00:00"/>
    <d v="2025-10-28T00:00:00"/>
    <x v="0"/>
    <s v="a6Jat2197870"/>
    <x v="2"/>
    <s v="Jan; Feb"/>
    <s v="Agency submitted updated invoice mapping."/>
    <n v="65"/>
    <x v="0"/>
    <x v="8"/>
    <x v="0"/>
    <x v="0"/>
  </r>
  <r>
    <x v="1"/>
    <s v="WNBA Incremental Scatter 2025"/>
    <s v="Billing Request- 00104791"/>
    <x v="6"/>
    <d v="2025-04-01T00:00:00"/>
    <d v="2025-05-11T00:00:00"/>
    <x v="2"/>
    <s v="a6JHn7870852"/>
    <x v="6"/>
    <s v="Sep"/>
    <s v="Finance validation process delay."/>
    <n v="40"/>
    <x v="1"/>
    <x v="3"/>
    <x v="2"/>
    <x v="0"/>
  </r>
  <r>
    <x v="0"/>
    <s v="TNF Sponsorship 2025"/>
    <s v="Billing Request- 00104792"/>
    <x v="6"/>
    <d v="2025-11-29T00:00:00"/>
    <d v="2025-12-04T00:00:00"/>
    <x v="0"/>
    <s v="a6Jat5389082"/>
    <x v="3"/>
    <s v="Oct"/>
    <s v="Invoice details mismatch with approved campaign."/>
    <n v="5"/>
    <x v="2"/>
    <x v="15"/>
    <x v="4"/>
    <x v="0"/>
  </r>
  <r>
    <x v="0"/>
    <s v="NBA Playoffs Campaign 2026"/>
    <s v="Billing Request- 00104793"/>
    <x v="3"/>
    <d v="2026-01-23T00:00:00"/>
    <d v="2026-02-09T00:00:00"/>
    <x v="2"/>
    <s v="a6JXt9744886"/>
    <x v="3"/>
    <s v="Nov; Dec"/>
    <s v="Incorrect legal terms delayed PTS."/>
    <n v="17"/>
    <x v="3"/>
    <x v="7"/>
    <x v="2"/>
    <x v="1"/>
  </r>
  <r>
    <x v="0"/>
    <s v="DirecTV NASCAR Campaign 2025"/>
    <s v="Billing Request- 00104797"/>
    <x v="0"/>
    <d v="2025-06-17T00:00:00"/>
    <d v="2025-09-14T00:00:00"/>
    <x v="2"/>
    <s v="a6JXt6872665"/>
    <x v="6"/>
    <s v="Apr"/>
    <s v="Agency submitted updated invoice mapping."/>
    <n v="89"/>
    <x v="0"/>
    <x v="9"/>
    <x v="0"/>
    <x v="0"/>
  </r>
  <r>
    <x v="0"/>
    <s v="Prime Sports NFL 2025"/>
    <s v="Billing Request- 00104799"/>
    <x v="2"/>
    <d v="2025-04-24T00:00:00"/>
    <d v="2025-06-23T00:00:00"/>
    <x v="2"/>
    <s v="a6JHn6007031"/>
    <x v="6"/>
    <s v="Jul"/>
    <s v="Incorrect legal terms delayed PTS."/>
    <n v="60"/>
    <x v="1"/>
    <x v="3"/>
    <x v="3"/>
    <x v="0"/>
  </r>
  <r>
    <x v="4"/>
    <s v="Prime Sports NFL 2025"/>
    <s v="Billing Request- 00104801"/>
    <x v="6"/>
    <d v="2025-04-27T00:00:00"/>
    <d v="2025-05-18T00:00:00"/>
    <x v="1"/>
    <s v="a6JXt6442067"/>
    <x v="3"/>
    <s v="Jan"/>
    <s v="Agency submitted updated invoice mapping."/>
    <n v="21"/>
    <x v="3"/>
    <x v="3"/>
    <x v="3"/>
    <x v="0"/>
  </r>
  <r>
    <x v="0"/>
    <s v="NASCAR P&amp;Q 2025"/>
    <s v="Billing Request- 00104802"/>
    <x v="4"/>
    <d v="2025-11-02T00:00:00"/>
    <d v="2025-12-09T00:00:00"/>
    <x v="2"/>
    <s v="a6Jat7573554"/>
    <x v="0"/>
    <s v="Jun"/>
    <s v="Agency submitted updated invoice mapping."/>
    <n v="37"/>
    <x v="1"/>
    <x v="15"/>
    <x v="0"/>
    <x v="0"/>
  </r>
  <r>
    <x v="1"/>
    <s v="Retail Media Expansion 2026"/>
    <s v="Billing Request- 00104803"/>
    <x v="3"/>
    <d v="2026-05-09T00:00:00"/>
    <d v="2026-05-05T00:00:00"/>
    <x v="2"/>
    <s v="a6JXt9926748"/>
    <x v="2"/>
    <s v="Mar; Apr"/>
    <s v="Missing supporting documentation from vendor."/>
    <n v="-4"/>
    <x v="2"/>
    <x v="16"/>
    <x v="3"/>
    <x v="1"/>
  </r>
  <r>
    <x v="0"/>
    <s v="Amazon TNF 2024 2025"/>
    <s v="Billing Request- 00104804"/>
    <x v="3"/>
    <d v="2025-09-28T00:00:00"/>
    <d v="2025-09-30T00:00:00"/>
    <x v="0"/>
    <s v="a6JXt4020319"/>
    <x v="3"/>
    <s v="Oct"/>
    <s v="Late media plan changes from client."/>
    <n v="2"/>
    <x v="2"/>
    <x v="14"/>
    <x v="4"/>
    <x v="0"/>
  </r>
  <r>
    <x v="0"/>
    <s v="NBA Playoffs Campaign 2025"/>
    <s v="Billing Request- 00104805"/>
    <x v="9"/>
    <d v="2025-01-17T00:00:00"/>
    <d v="2025-02-27T00:00:00"/>
    <x v="2"/>
    <s v="a6JHn2603864"/>
    <x v="1"/>
    <s v="Aug"/>
    <s v="Finance validation process delay."/>
    <n v="41"/>
    <x v="1"/>
    <x v="0"/>
    <x v="2"/>
    <x v="0"/>
  </r>
  <r>
    <x v="0"/>
    <s v="Amazon NBA Live Sports 2026"/>
    <s v="Billing Request- 00104807"/>
    <x v="2"/>
    <d v="2026-04-24T00:00:00"/>
    <d v="2026-05-05T00:00:00"/>
    <x v="2"/>
    <s v="a6Jat1791041"/>
    <x v="5"/>
    <s v="Dec"/>
    <s v="Incorrect legal terms delayed PTS."/>
    <n v="11"/>
    <x v="4"/>
    <x v="10"/>
    <x v="2"/>
    <x v="1"/>
  </r>
  <r>
    <x v="0"/>
    <s v="NASCAR Apex 2025 2026"/>
    <s v="Billing Request- 00104808"/>
    <x v="3"/>
    <d v="2026-01-07T00:00:00"/>
    <d v="2026-04-12T00:00:00"/>
    <x v="0"/>
    <s v="a6JXt8501367"/>
    <x v="3"/>
    <s v="Feb"/>
    <s v="Late media plan changes from client."/>
    <n v="95"/>
    <x v="0"/>
    <x v="7"/>
    <x v="0"/>
    <x v="1"/>
  </r>
  <r>
    <x v="0"/>
    <s v="Retail Media Expansion 2025"/>
    <s v="Billing Request- 00104810"/>
    <x v="8"/>
    <d v="2025-07-25T00:00:00"/>
    <d v="2025-10-12T00:00:00"/>
    <x v="2"/>
    <s v="a6JXt4347539"/>
    <x v="2"/>
    <s v="Feb"/>
    <s v="Incorrect legal terms delayed PTS."/>
    <n v="79"/>
    <x v="0"/>
    <x v="12"/>
    <x v="3"/>
    <x v="0"/>
  </r>
  <r>
    <x v="0"/>
    <s v="TNF Sponsorship 2025"/>
    <s v="Billing Request- 00104811"/>
    <x v="7"/>
    <d v="2025-09-26T00:00:00"/>
    <d v="2025-11-02T00:00:00"/>
    <x v="0"/>
    <s v="a6JXt4953259"/>
    <x v="6"/>
    <s v="Oct"/>
    <s v="Finance validation process delay."/>
    <n v="37"/>
    <x v="1"/>
    <x v="14"/>
    <x v="4"/>
    <x v="0"/>
  </r>
  <r>
    <x v="0"/>
    <s v="TNF Sponsorship 2026"/>
    <s v="Billing Request- 00104812"/>
    <x v="2"/>
    <d v="2026-01-26T00:00:00"/>
    <d v="2026-03-07T00:00:00"/>
    <x v="0"/>
    <s v="a6Jat9410136"/>
    <x v="4"/>
    <s v="May; Jun"/>
    <s v="Missing supporting documentation from vendor."/>
    <n v="40"/>
    <x v="1"/>
    <x v="7"/>
    <x v="4"/>
    <x v="1"/>
  </r>
  <r>
    <x v="0"/>
    <s v="Prime Sports NFL 2025"/>
    <s v="Billing Request- 00104813"/>
    <x v="9"/>
    <d v="2025-08-22T00:00:00"/>
    <d v="2025-09-27T00:00:00"/>
    <x v="0"/>
    <s v="a6JHn7847168"/>
    <x v="1"/>
    <s v="May; Jun"/>
    <s v=""/>
    <n v="36"/>
    <x v="1"/>
    <x v="8"/>
    <x v="3"/>
    <x v="0"/>
  </r>
  <r>
    <x v="0"/>
    <s v="NWSL Halftime Sponsorship 2025"/>
    <s v="Billing Request- 00104814"/>
    <x v="1"/>
    <d v="2025-08-03T00:00:00"/>
    <d v="2025-08-30T00:00:00"/>
    <x v="2"/>
    <s v="a6Jat2904765"/>
    <x v="0"/>
    <s v="Sep; Oct"/>
    <s v="Invoice details mismatch with approved campaign."/>
    <n v="27"/>
    <x v="3"/>
    <x v="8"/>
    <x v="1"/>
    <x v="0"/>
  </r>
  <r>
    <x v="0"/>
    <s v="NBA League Pass 2025"/>
    <s v="Billing Request- 00104815"/>
    <x v="8"/>
    <d v="2025-07-10T00:00:00"/>
    <d v="2025-10-31T00:00:00"/>
    <x v="2"/>
    <s v="a6JHn9760284"/>
    <x v="3"/>
    <s v="Jul; Aug"/>
    <s v=""/>
    <n v="113"/>
    <x v="0"/>
    <x v="12"/>
    <x v="2"/>
    <x v="0"/>
  </r>
  <r>
    <x v="4"/>
    <s v="Prime Sports NFL 2025"/>
    <s v="Billing Request- 00104818"/>
    <x v="6"/>
    <d v="2025-01-24T00:00:00"/>
    <d v="2025-05-08T00:00:00"/>
    <x v="2"/>
    <s v="a6JXt2564372"/>
    <x v="2"/>
    <s v="Jul; Aug"/>
    <s v="Missing supporting documentation from vendor."/>
    <n v="104"/>
    <x v="0"/>
    <x v="0"/>
    <x v="3"/>
    <x v="0"/>
  </r>
  <r>
    <x v="0"/>
    <s v="NWSL Prime Video 2025"/>
    <s v="Billing Request- 00104822"/>
    <x v="5"/>
    <d v="2025-12-05T00:00:00"/>
    <d v="2026-01-12T00:00:00"/>
    <x v="0"/>
    <s v="a6Jat9116669"/>
    <x v="5"/>
    <s v="May; Jun"/>
    <s v="Agency submitted updated invoice mapping."/>
    <n v="38"/>
    <x v="1"/>
    <x v="11"/>
    <x v="1"/>
    <x v="0"/>
  </r>
  <r>
    <x v="0"/>
    <s v="NASCAR P&amp;Q 2025"/>
    <s v="Billing Request- 00104824"/>
    <x v="7"/>
    <d v="2025-10-26T00:00:00"/>
    <d v="2025-12-22T00:00:00"/>
    <x v="2"/>
    <s v="a6JXt1341603"/>
    <x v="5"/>
    <s v="Nov"/>
    <s v="Missing supporting documentation from vendor."/>
    <n v="57"/>
    <x v="1"/>
    <x v="5"/>
    <x v="0"/>
    <x v="0"/>
  </r>
  <r>
    <x v="0"/>
    <s v="NFL Prime Video 2025"/>
    <s v="Billing Request- 00104825"/>
    <x v="3"/>
    <d v="2025-11-01T00:00:00"/>
    <d v="2026-01-05T00:00:00"/>
    <x v="2"/>
    <s v="a6Jat8562087"/>
    <x v="4"/>
    <s v="Mar; Apr"/>
    <s v="Agency submitted updated invoice mapping."/>
    <n v="65"/>
    <x v="0"/>
    <x v="15"/>
    <x v="3"/>
    <x v="0"/>
  </r>
  <r>
    <x v="3"/>
    <s v="DirecTV NASCAR Campaign 2025"/>
    <s v="Billing Request- 00104826"/>
    <x v="8"/>
    <d v="2025-10-10T00:00:00"/>
    <d v="2026-02-04T00:00:00"/>
    <x v="2"/>
    <s v="a6JXt5921118"/>
    <x v="5"/>
    <s v="Feb"/>
    <s v="Late media plan changes from client."/>
    <n v="117"/>
    <x v="0"/>
    <x v="5"/>
    <x v="0"/>
    <x v="0"/>
  </r>
  <r>
    <x v="0"/>
    <s v="Retail Media Expansion 2026"/>
    <s v="Billing Request- 00104828"/>
    <x v="0"/>
    <d v="2026-02-03T00:00:00"/>
    <d v="2026-03-07T00:00:00"/>
    <x v="0"/>
    <s v="a6Jat3890542"/>
    <x v="0"/>
    <s v="Nov; Dec"/>
    <s v="Client requested retroactive billing adjustments."/>
    <n v="32"/>
    <x v="1"/>
    <x v="1"/>
    <x v="3"/>
    <x v="1"/>
  </r>
  <r>
    <x v="0"/>
    <s v="Retail Media Expansion 2025"/>
    <s v="Billing Request- 00104829"/>
    <x v="7"/>
    <d v="2025-09-04T00:00:00"/>
    <d v="2025-12-07T00:00:00"/>
    <x v="2"/>
    <s v="a6JXt6259911"/>
    <x v="6"/>
    <s v="May"/>
    <s v="Agency submitted updated invoice mapping."/>
    <n v="94"/>
    <x v="0"/>
    <x v="14"/>
    <x v="3"/>
    <x v="0"/>
  </r>
  <r>
    <x v="0"/>
    <s v="Global Consumer Products 2026"/>
    <s v="Billing Request- 00104832"/>
    <x v="7"/>
    <d v="2026-01-21T00:00:00"/>
    <d v="2026-02-23T00:00:00"/>
    <x v="0"/>
    <s v="a6JXt3752831"/>
    <x v="2"/>
    <s v="Jul"/>
    <s v="Agency submitted updated invoice mapping."/>
    <n v="33"/>
    <x v="1"/>
    <x v="7"/>
    <x v="3"/>
    <x v="1"/>
  </r>
  <r>
    <x v="0"/>
    <s v="NFL Prime Video 2025"/>
    <s v="Billing Request- 00104834"/>
    <x v="5"/>
    <d v="2025-03-17T00:00:00"/>
    <d v="2025-07-15T00:00:00"/>
    <x v="2"/>
    <s v="a6JXt6335268"/>
    <x v="6"/>
    <s v="Sep"/>
    <s v="Invoice details mismatch with approved campaign."/>
    <n v="120"/>
    <x v="0"/>
    <x v="13"/>
    <x v="3"/>
    <x v="0"/>
  </r>
  <r>
    <x v="0"/>
    <s v="NWSL Halftime Sponsorship 2025"/>
    <s v="Billing Request- 00104835"/>
    <x v="3"/>
    <d v="2025-06-04T00:00:00"/>
    <d v="2025-07-07T00:00:00"/>
    <x v="2"/>
    <s v="a6Jat5431397"/>
    <x v="5"/>
    <s v="Jul; Aug"/>
    <s v="Late media plan changes from client."/>
    <n v="33"/>
    <x v="1"/>
    <x v="9"/>
    <x v="1"/>
    <x v="0"/>
  </r>
  <r>
    <x v="0"/>
    <s v="DirecTV NASCAR Campaign 2026"/>
    <s v="Billing Request- 00104836"/>
    <x v="8"/>
    <d v="2026-02-12T00:00:00"/>
    <d v="2026-05-08T00:00:00"/>
    <x v="2"/>
    <s v="a6Jat4663779"/>
    <x v="3"/>
    <s v="Sep; Oct"/>
    <s v="Invoice details mismatch with approved campaign."/>
    <n v="85"/>
    <x v="0"/>
    <x v="1"/>
    <x v="0"/>
    <x v="1"/>
  </r>
  <r>
    <x v="4"/>
    <s v="NWSL Prime Video 2025"/>
    <s v="Billing Request- 00104837"/>
    <x v="9"/>
    <d v="2025-09-26T00:00:00"/>
    <d v="2025-10-24T00:00:00"/>
    <x v="2"/>
    <s v="a6Jat1875987"/>
    <x v="2"/>
    <s v="Jan"/>
    <s v=""/>
    <n v="28"/>
    <x v="3"/>
    <x v="14"/>
    <x v="1"/>
    <x v="0"/>
  </r>
  <r>
    <x v="4"/>
    <s v="NASCAR Apex 2025 2025"/>
    <s v="Billing Request- 00104839"/>
    <x v="3"/>
    <d v="2025-09-07T00:00:00"/>
    <d v="2025-09-19T00:00:00"/>
    <x v="2"/>
    <s v="a6JHn4730965"/>
    <x v="4"/>
    <s v="Jul; Aug"/>
    <s v="Client requested retroactive billing adjustments."/>
    <n v="12"/>
    <x v="4"/>
    <x v="14"/>
    <x v="0"/>
    <x v="0"/>
  </r>
  <r>
    <x v="0"/>
    <s v="WNBA Incremental Scatter 2025"/>
    <s v="Billing Request- 00104841"/>
    <x v="3"/>
    <d v="2025-09-26T00:00:00"/>
    <d v="2025-10-12T00:00:00"/>
    <x v="0"/>
    <s v="a6Jat5695334"/>
    <x v="6"/>
    <s v="Dec"/>
    <s v="Agency submitted updated invoice mapping."/>
    <n v="16"/>
    <x v="3"/>
    <x v="14"/>
    <x v="2"/>
    <x v="0"/>
  </r>
  <r>
    <x v="0"/>
    <s v="Amazon TNF 2024 2025"/>
    <s v="Billing Request- 00104843"/>
    <x v="9"/>
    <d v="2025-12-21T00:00:00"/>
    <d v="2026-04-07T00:00:00"/>
    <x v="2"/>
    <s v="a6JHn6585868"/>
    <x v="0"/>
    <s v="May; Jun"/>
    <s v="Late media plan changes from client."/>
    <n v="107"/>
    <x v="0"/>
    <x v="11"/>
    <x v="4"/>
    <x v="0"/>
  </r>
  <r>
    <x v="0"/>
    <s v="Prime Sports NFL 2025"/>
    <s v="Billing Request- 00104844"/>
    <x v="0"/>
    <d v="2025-07-08T00:00:00"/>
    <d v="2025-07-23T00:00:00"/>
    <x v="2"/>
    <s v="a6JHn5369153"/>
    <x v="1"/>
    <s v="Sep; Oct"/>
    <s v="Client requested retroactive billing adjustments."/>
    <n v="15"/>
    <x v="3"/>
    <x v="12"/>
    <x v="3"/>
    <x v="0"/>
  </r>
  <r>
    <x v="0"/>
    <s v="NWSL Prime Video 2026"/>
    <s v="Billing Request- 00104845"/>
    <x v="4"/>
    <d v="2026-05-06T00:00:00"/>
    <d v="2026-05-04T00:00:00"/>
    <x v="2"/>
    <s v="a6JXt9644379"/>
    <x v="4"/>
    <s v="Jan"/>
    <s v="Agency submitted updated invoice mapping."/>
    <n v="-2"/>
    <x v="2"/>
    <x v="16"/>
    <x v="1"/>
    <x v="1"/>
  </r>
  <r>
    <x v="0"/>
    <s v="Amazon TNF 2024 2026"/>
    <s v="Billing Request- 00104846"/>
    <x v="8"/>
    <d v="2026-02-04T00:00:00"/>
    <d v="2026-03-05T00:00:00"/>
    <x v="2"/>
    <s v="a6Jat9949656"/>
    <x v="1"/>
    <s v="Apr"/>
    <s v="Invoice details mismatch with approved campaign."/>
    <n v="29"/>
    <x v="3"/>
    <x v="1"/>
    <x v="4"/>
    <x v="1"/>
  </r>
  <r>
    <x v="0"/>
    <s v="NBA Playoffs Campaign 2025"/>
    <s v="Billing Request- 00104847"/>
    <x v="7"/>
    <d v="2025-12-17T00:00:00"/>
    <d v="2025-12-20T00:00:00"/>
    <x v="0"/>
    <s v="a6JXt1163850"/>
    <x v="1"/>
    <s v="Dec"/>
    <s v="Late media plan changes from client."/>
    <n v="3"/>
    <x v="2"/>
    <x v="11"/>
    <x v="2"/>
    <x v="0"/>
  </r>
  <r>
    <x v="3"/>
    <s v="Retail Media Expansion 2026"/>
    <s v="Billing Request- 00104850"/>
    <x v="7"/>
    <d v="2026-05-04T00:00:00"/>
    <d v="2026-05-09T00:00:00"/>
    <x v="2"/>
    <s v="a6JXt7645541"/>
    <x v="1"/>
    <s v="Apr"/>
    <s v="Client requested retroactive billing adjustments."/>
    <n v="5"/>
    <x v="2"/>
    <x v="16"/>
    <x v="3"/>
    <x v="1"/>
  </r>
  <r>
    <x v="0"/>
    <s v="NWSL Prime Video 2025"/>
    <s v="Billing Request- 00104851"/>
    <x v="3"/>
    <d v="2025-01-16T00:00:00"/>
    <d v="2025-02-21T00:00:00"/>
    <x v="0"/>
    <s v="a6Jat4734264"/>
    <x v="6"/>
    <s v="Jan; Feb"/>
    <s v="Incorrect legal terms delayed PTS."/>
    <n v="36"/>
    <x v="1"/>
    <x v="0"/>
    <x v="1"/>
    <x v="0"/>
  </r>
  <r>
    <x v="0"/>
    <s v="NWSL Halftime Sponsorship 2026"/>
    <s v="Billing Request- 00104852"/>
    <x v="2"/>
    <d v="2026-03-07T00:00:00"/>
    <d v="2026-05-06T00:00:00"/>
    <x v="2"/>
    <s v="a6JXt7827605"/>
    <x v="3"/>
    <s v="Sep"/>
    <s v="Incorrect legal terms delayed PTS."/>
    <n v="60"/>
    <x v="1"/>
    <x v="2"/>
    <x v="1"/>
    <x v="1"/>
  </r>
  <r>
    <x v="0"/>
    <s v="NASCAR P&amp;Q 2026"/>
    <s v="Billing Request- 00104855"/>
    <x v="5"/>
    <d v="2026-02-16T00:00:00"/>
    <d v="2026-04-20T00:00:00"/>
    <x v="2"/>
    <s v="a6Jat9173069"/>
    <x v="4"/>
    <s v="Mar"/>
    <s v="Incorrect legal terms delayed PTS."/>
    <n v="63"/>
    <x v="0"/>
    <x v="1"/>
    <x v="0"/>
    <x v="1"/>
  </r>
  <r>
    <x v="0"/>
    <s v="Prime Sports NFL 2025"/>
    <s v="Billing Request- 00104856"/>
    <x v="9"/>
    <d v="2025-04-24T00:00:00"/>
    <d v="2025-05-31T00:00:00"/>
    <x v="0"/>
    <s v="a6JXt3662318"/>
    <x v="0"/>
    <s v="May; Jun"/>
    <s v="Invoice details mismatch with approved campaign."/>
    <n v="37"/>
    <x v="1"/>
    <x v="3"/>
    <x v="3"/>
    <x v="0"/>
  </r>
  <r>
    <x v="0"/>
    <s v="NWSL Prime Video 2026"/>
    <s v="Billing Request- 00104857"/>
    <x v="9"/>
    <d v="2026-04-23T00:00:00"/>
    <d v="2026-05-06T00:00:00"/>
    <x v="2"/>
    <s v="a6JXt5615589"/>
    <x v="6"/>
    <s v="Dec"/>
    <s v="Manual billing entry issue."/>
    <n v="13"/>
    <x v="4"/>
    <x v="10"/>
    <x v="1"/>
    <x v="1"/>
  </r>
  <r>
    <x v="3"/>
    <s v="DirecTV NASCAR Campaign 2025"/>
    <s v="Billing Request- 00104858"/>
    <x v="3"/>
    <d v="2025-06-04T00:00:00"/>
    <d v="2025-07-25T00:00:00"/>
    <x v="2"/>
    <s v="a6Jat7391873"/>
    <x v="4"/>
    <s v="Sep"/>
    <s v=""/>
    <n v="51"/>
    <x v="1"/>
    <x v="9"/>
    <x v="0"/>
    <x v="0"/>
  </r>
  <r>
    <x v="4"/>
    <s v="NASCAR Apex 2025 2026"/>
    <s v="Billing Request- 00104859"/>
    <x v="8"/>
    <d v="2026-05-06T00:00:00"/>
    <d v="2026-05-06T00:00:00"/>
    <x v="2"/>
    <s v="a6JXt2566328"/>
    <x v="0"/>
    <s v="Jul"/>
    <s v="Missing supporting documentation from vendor."/>
    <n v="0"/>
    <x v="2"/>
    <x v="16"/>
    <x v="0"/>
    <x v="1"/>
  </r>
  <r>
    <x v="3"/>
    <s v="Confluence Academy 2026"/>
    <s v="Billing Request- 00104860"/>
    <x v="4"/>
    <d v="2026-03-25T00:00:00"/>
    <d v="2026-04-25T00:00:00"/>
    <x v="1"/>
    <s v="a6Jat2432625"/>
    <x v="6"/>
    <s v="Feb"/>
    <s v="Finance validation process delay."/>
    <n v="31"/>
    <x v="1"/>
    <x v="2"/>
    <x v="3"/>
    <x v="1"/>
  </r>
  <r>
    <x v="0"/>
    <s v="NFL Prime Video 2026"/>
    <s v="Billing Request- 00104861"/>
    <x v="1"/>
    <d v="2026-05-01T00:00:00"/>
    <d v="2026-05-08T00:00:00"/>
    <x v="2"/>
    <s v="a6JXt5196697"/>
    <x v="5"/>
    <s v="Nov; Dec"/>
    <s v="Finance validation process delay."/>
    <n v="7"/>
    <x v="2"/>
    <x v="16"/>
    <x v="3"/>
    <x v="1"/>
  </r>
  <r>
    <x v="0"/>
    <s v="NBA Playoffs Campaign 2025"/>
    <s v="Billing Request- 00104862"/>
    <x v="7"/>
    <d v="2025-01-25T00:00:00"/>
    <d v="2025-02-21T00:00:00"/>
    <x v="0"/>
    <s v="a6Jat4336417"/>
    <x v="5"/>
    <s v="May"/>
    <s v="Agency submitted updated invoice mapping."/>
    <n v="27"/>
    <x v="3"/>
    <x v="0"/>
    <x v="2"/>
    <x v="0"/>
  </r>
  <r>
    <x v="0"/>
    <s v="NASCAR Apex 2025 2025"/>
    <s v="Billing Request- 00104863"/>
    <x v="2"/>
    <d v="2025-05-13T00:00:00"/>
    <d v="2025-08-05T00:00:00"/>
    <x v="0"/>
    <s v="a6JXt5757898"/>
    <x v="0"/>
    <s v="Jun"/>
    <s v="Finance validation process delay."/>
    <n v="84"/>
    <x v="0"/>
    <x v="4"/>
    <x v="0"/>
    <x v="0"/>
  </r>
  <r>
    <x v="0"/>
    <s v="Retail Media Expansion 2025"/>
    <s v="Billing Request- 00104864"/>
    <x v="1"/>
    <d v="2025-09-11T00:00:00"/>
    <d v="2025-12-11T00:00:00"/>
    <x v="0"/>
    <s v="a6JXt8712699"/>
    <x v="0"/>
    <s v="Oct"/>
    <s v="Client requested retroactive billing adjustments."/>
    <n v="91"/>
    <x v="0"/>
    <x v="14"/>
    <x v="3"/>
    <x v="0"/>
  </r>
  <r>
    <x v="0"/>
    <s v="NWSL Prime Video 2025"/>
    <s v="Billing Request- 00104865"/>
    <x v="4"/>
    <d v="2025-07-20T00:00:00"/>
    <d v="2025-09-30T00:00:00"/>
    <x v="2"/>
    <s v="a6JHn3108352"/>
    <x v="2"/>
    <s v="Jan; Feb"/>
    <s v="Incorrect legal terms delayed PTS."/>
    <n v="72"/>
    <x v="0"/>
    <x v="12"/>
    <x v="1"/>
    <x v="0"/>
  </r>
  <r>
    <x v="0"/>
    <s v="NWSL Halftime Sponsorship 2025"/>
    <s v="Billing Request- 00104867"/>
    <x v="1"/>
    <d v="2025-09-23T00:00:00"/>
    <d v="2026-01-12T00:00:00"/>
    <x v="2"/>
    <s v="a6Jat3955795"/>
    <x v="4"/>
    <s v="Jan; Feb"/>
    <s v="Manual billing entry issue."/>
    <n v="111"/>
    <x v="0"/>
    <x v="14"/>
    <x v="1"/>
    <x v="0"/>
  </r>
  <r>
    <x v="0"/>
    <s v="NASCAR Apex 2025 2025"/>
    <s v="Billing Request- 00104868"/>
    <x v="5"/>
    <d v="2025-10-12T00:00:00"/>
    <d v="2025-10-27T00:00:00"/>
    <x v="2"/>
    <s v="a6JHn3874971"/>
    <x v="2"/>
    <s v="Nov"/>
    <s v="Incorrect legal terms delayed PTS."/>
    <n v="15"/>
    <x v="3"/>
    <x v="5"/>
    <x v="0"/>
    <x v="0"/>
  </r>
  <r>
    <x v="4"/>
    <s v="NWSL Halftime Sponsorship 2025"/>
    <s v="Billing Request- 00104869"/>
    <x v="7"/>
    <d v="2025-04-09T00:00:00"/>
    <d v="2025-05-20T00:00:00"/>
    <x v="0"/>
    <s v="a6JHn5875607"/>
    <x v="0"/>
    <s v="Jun"/>
    <s v=""/>
    <n v="41"/>
    <x v="1"/>
    <x v="3"/>
    <x v="1"/>
    <x v="0"/>
  </r>
  <r>
    <x v="0"/>
    <s v="Retail Media Expansion 2025"/>
    <s v="Billing Request- 00104872"/>
    <x v="0"/>
    <d v="2025-12-05T00:00:00"/>
    <d v="2026-02-03T00:00:00"/>
    <x v="1"/>
    <s v="a6JHn3843577"/>
    <x v="2"/>
    <s v="Sep"/>
    <s v="Client requested retroactive billing adjustments."/>
    <n v="60"/>
    <x v="1"/>
    <x v="11"/>
    <x v="3"/>
    <x v="0"/>
  </r>
  <r>
    <x v="0"/>
    <s v="NWSL Prime Video 2025"/>
    <s v="Billing Request- 00104873"/>
    <x v="2"/>
    <d v="2025-04-21T00:00:00"/>
    <d v="2025-08-12T00:00:00"/>
    <x v="2"/>
    <s v="a6JXt9976440"/>
    <x v="5"/>
    <s v="Apr"/>
    <s v="Late media plan changes from client."/>
    <n v="113"/>
    <x v="0"/>
    <x v="3"/>
    <x v="1"/>
    <x v="0"/>
  </r>
  <r>
    <x v="0"/>
    <s v="Streaming Bundle Initiative 2025"/>
    <s v="Billing Request- 00104874"/>
    <x v="6"/>
    <d v="2025-02-22T00:00:00"/>
    <d v="2025-05-25T00:00:00"/>
    <x v="2"/>
    <s v="a6Jat5874943"/>
    <x v="6"/>
    <s v="May"/>
    <s v="Client requested retroactive billing adjustments."/>
    <n v="92"/>
    <x v="0"/>
    <x v="6"/>
    <x v="3"/>
    <x v="0"/>
  </r>
  <r>
    <x v="0"/>
    <s v="NWSL Prime Video 2025"/>
    <s v="Billing Request- 00104875"/>
    <x v="4"/>
    <d v="2025-05-20T00:00:00"/>
    <d v="2025-08-08T00:00:00"/>
    <x v="2"/>
    <s v="a6Jat5401887"/>
    <x v="3"/>
    <s v="Jan; Feb"/>
    <s v=""/>
    <n v="80"/>
    <x v="0"/>
    <x v="4"/>
    <x v="1"/>
    <x v="0"/>
  </r>
  <r>
    <x v="0"/>
    <s v="NWSL Halftime Sponsorship 2025"/>
    <s v="Billing Request- 00104877"/>
    <x v="6"/>
    <d v="2025-11-08T00:00:00"/>
    <d v="2026-01-27T00:00:00"/>
    <x v="1"/>
    <s v="a6JHn8928853"/>
    <x v="6"/>
    <s v="May"/>
    <s v="Agency submitted updated invoice mapping."/>
    <n v="80"/>
    <x v="0"/>
    <x v="15"/>
    <x v="1"/>
    <x v="0"/>
  </r>
  <r>
    <x v="3"/>
    <s v="NFL Prime Video 2025"/>
    <s v="Billing Request- 00104878"/>
    <x v="6"/>
    <d v="2025-05-08T00:00:00"/>
    <d v="2025-08-31T00:00:00"/>
    <x v="2"/>
    <s v="a6JHn3831022"/>
    <x v="3"/>
    <s v="Oct"/>
    <s v="Invoice details mismatch with approved campaign."/>
    <n v="115"/>
    <x v="0"/>
    <x v="4"/>
    <x v="3"/>
    <x v="0"/>
  </r>
  <r>
    <x v="0"/>
    <s v="Prime Sports NFL 2026"/>
    <s v="Billing Request- 00104879"/>
    <x v="9"/>
    <d v="2026-01-04T00:00:00"/>
    <d v="2026-02-05T00:00:00"/>
    <x v="2"/>
    <s v="a6JHn5217210"/>
    <x v="0"/>
    <s v="May; Jun"/>
    <s v="Agency submitted updated invoice mapping."/>
    <n v="32"/>
    <x v="1"/>
    <x v="7"/>
    <x v="3"/>
    <x v="1"/>
  </r>
  <r>
    <x v="0"/>
    <s v="NWSL Prime Video 2025"/>
    <s v="Billing Request- 00104881"/>
    <x v="7"/>
    <d v="2025-04-03T00:00:00"/>
    <d v="2025-05-25T00:00:00"/>
    <x v="0"/>
    <s v="a6Jat8700500"/>
    <x v="0"/>
    <s v="May"/>
    <s v="Agency submitted updated invoice mapping."/>
    <n v="52"/>
    <x v="1"/>
    <x v="3"/>
    <x v="1"/>
    <x v="0"/>
  </r>
  <r>
    <x v="0"/>
    <s v="NWSL Prime Video 2025"/>
    <s v="Billing Request- 00104882"/>
    <x v="6"/>
    <d v="2025-02-27T00:00:00"/>
    <d v="2025-05-02T00:00:00"/>
    <x v="2"/>
    <s v="a6Jat5793422"/>
    <x v="3"/>
    <s v="Sep"/>
    <s v="Client requested retroactive billing adjustments."/>
    <n v="64"/>
    <x v="0"/>
    <x v="6"/>
    <x v="1"/>
    <x v="0"/>
  </r>
  <r>
    <x v="0"/>
    <s v="TNF Sponsorship 2025"/>
    <s v="Billing Request- 00104883"/>
    <x v="2"/>
    <d v="2025-04-04T00:00:00"/>
    <d v="2025-06-20T00:00:00"/>
    <x v="2"/>
    <s v="a6JHn9767553"/>
    <x v="5"/>
    <s v="Oct"/>
    <s v="Incorrect legal terms delayed PTS."/>
    <n v="77"/>
    <x v="0"/>
    <x v="3"/>
    <x v="4"/>
    <x v="0"/>
  </r>
  <r>
    <x v="4"/>
    <s v="NBA Playoffs Campaign 2026"/>
    <s v="Billing Request- 00104884"/>
    <x v="5"/>
    <d v="2026-03-11T00:00:00"/>
    <d v="2026-05-08T00:00:00"/>
    <x v="0"/>
    <s v="a6Jat3244212"/>
    <x v="1"/>
    <s v="Aug"/>
    <s v="Invoice details mismatch with approved campaign."/>
    <n v="58"/>
    <x v="1"/>
    <x v="2"/>
    <x v="2"/>
    <x v="1"/>
  </r>
  <r>
    <x v="3"/>
    <s v="NWSL Prime Video 2026"/>
    <s v="Billing Request- 00104885"/>
    <x v="7"/>
    <d v="2026-01-21T00:00:00"/>
    <d v="2026-04-16T00:00:00"/>
    <x v="1"/>
    <s v="a6JXt7813778"/>
    <x v="0"/>
    <s v="Aug"/>
    <s v=""/>
    <n v="85"/>
    <x v="0"/>
    <x v="7"/>
    <x v="1"/>
    <x v="1"/>
  </r>
  <r>
    <x v="1"/>
    <s v="NASCAR Apex 2025 2025"/>
    <s v="Billing Request- 00104886"/>
    <x v="7"/>
    <d v="2025-06-29T00:00:00"/>
    <d v="2025-09-06T00:00:00"/>
    <x v="2"/>
    <s v="a6JXt5410046"/>
    <x v="3"/>
    <s v="Apr"/>
    <s v="Finance validation process delay."/>
    <n v="69"/>
    <x v="0"/>
    <x v="9"/>
    <x v="0"/>
    <x v="0"/>
  </r>
  <r>
    <x v="0"/>
    <s v="NWSL Halftime Sponsorship 2025"/>
    <s v="Billing Request- 00104887"/>
    <x v="6"/>
    <d v="2025-04-09T00:00:00"/>
    <d v="2025-04-20T00:00:00"/>
    <x v="0"/>
    <s v="a6Jat5408395"/>
    <x v="0"/>
    <s v="Jul"/>
    <s v="Incorrect legal terms delayed PTS."/>
    <n v="11"/>
    <x v="4"/>
    <x v="3"/>
    <x v="1"/>
    <x v="0"/>
  </r>
  <r>
    <x v="0"/>
    <s v="Streaming Bundle Initiative 2026"/>
    <s v="Billing Request- 00104888"/>
    <x v="3"/>
    <d v="2026-03-06T00:00:00"/>
    <d v="2026-05-03T00:00:00"/>
    <x v="2"/>
    <s v="a6JHn1841265"/>
    <x v="5"/>
    <s v="Jul; Aug"/>
    <s v="Invoice details mismatch with approved campaign."/>
    <n v="58"/>
    <x v="1"/>
    <x v="2"/>
    <x v="3"/>
    <x v="1"/>
  </r>
  <r>
    <x v="1"/>
    <s v="NWSL Prime Video 2026"/>
    <s v="Billing Request- 00104889"/>
    <x v="9"/>
    <d v="2026-03-23T00:00:00"/>
    <d v="2026-04-17T00:00:00"/>
    <x v="1"/>
    <s v="a6Jat8144659"/>
    <x v="5"/>
    <s v="Feb"/>
    <s v="Missing supporting documentation from vendor."/>
    <n v="25"/>
    <x v="3"/>
    <x v="2"/>
    <x v="1"/>
    <x v="1"/>
  </r>
  <r>
    <x v="0"/>
    <s v="Streaming Bundle Initiative 2025"/>
    <s v="Billing Request- 00104890"/>
    <x v="5"/>
    <d v="2025-02-23T00:00:00"/>
    <d v="2025-05-08T00:00:00"/>
    <x v="2"/>
    <s v="a6JHn4257143"/>
    <x v="6"/>
    <s v="Jul; Aug"/>
    <s v="Finance validation process delay."/>
    <n v="74"/>
    <x v="0"/>
    <x v="6"/>
    <x v="3"/>
    <x v="0"/>
  </r>
  <r>
    <x v="0"/>
    <s v="NASCAR Apex 2025 2026"/>
    <s v="Billing Request- 00104891"/>
    <x v="4"/>
    <d v="2026-03-24T00:00:00"/>
    <d v="2026-05-01T00:00:00"/>
    <x v="2"/>
    <s v="a6JXt8753558"/>
    <x v="0"/>
    <s v="Feb"/>
    <s v=""/>
    <n v="38"/>
    <x v="1"/>
    <x v="2"/>
    <x v="0"/>
    <x v="1"/>
  </r>
  <r>
    <x v="0"/>
    <s v="Retail Media Expansion 2026"/>
    <s v="Billing Request- 00104892"/>
    <x v="7"/>
    <d v="2026-03-29T00:00:00"/>
    <d v="2026-05-07T00:00:00"/>
    <x v="0"/>
    <s v="a6JHn5757636"/>
    <x v="4"/>
    <s v="May; Jun"/>
    <s v="Invoice details mismatch with approved campaign."/>
    <n v="39"/>
    <x v="1"/>
    <x v="2"/>
    <x v="3"/>
    <x v="1"/>
  </r>
  <r>
    <x v="0"/>
    <s v="NASCAR Apex 2025 2025"/>
    <s v="Billing Request- 00104893"/>
    <x v="6"/>
    <d v="2025-02-06T00:00:00"/>
    <d v="2025-05-10T00:00:00"/>
    <x v="2"/>
    <s v="a6Jat2416730"/>
    <x v="1"/>
    <s v="Jan; Feb"/>
    <s v="Agency submitted updated invoice mapping."/>
    <n v="93"/>
    <x v="0"/>
    <x v="6"/>
    <x v="0"/>
    <x v="0"/>
  </r>
  <r>
    <x v="0"/>
    <s v="Confluence Academy 2025"/>
    <s v="Billing Request- 00104894"/>
    <x v="0"/>
    <d v="2025-11-16T00:00:00"/>
    <d v="2026-01-28T00:00:00"/>
    <x v="0"/>
    <s v="a6Jat8559713"/>
    <x v="4"/>
    <s v="Jan"/>
    <s v="Client requested retroactive billing adjustments."/>
    <n v="73"/>
    <x v="0"/>
    <x v="15"/>
    <x v="3"/>
    <x v="0"/>
  </r>
  <r>
    <x v="0"/>
    <s v="WNBA Incremental Scatter 2025"/>
    <s v="Billing Request- 00104895"/>
    <x v="4"/>
    <d v="2025-05-11T00:00:00"/>
    <d v="2025-07-01T00:00:00"/>
    <x v="0"/>
    <s v="a6JHn7862890"/>
    <x v="0"/>
    <s v="Jan; Feb"/>
    <s v="Late media plan changes from client."/>
    <n v="51"/>
    <x v="1"/>
    <x v="4"/>
    <x v="2"/>
    <x v="0"/>
  </r>
  <r>
    <x v="0"/>
    <s v="NBA Playoffs Campaign 2025"/>
    <s v="Billing Request- 00104896"/>
    <x v="3"/>
    <d v="2025-04-13T00:00:00"/>
    <d v="2025-08-02T00:00:00"/>
    <x v="2"/>
    <s v="a6JXt4533182"/>
    <x v="5"/>
    <s v="Jul"/>
    <s v="Manual billing entry issue."/>
    <n v="111"/>
    <x v="0"/>
    <x v="3"/>
    <x v="2"/>
    <x v="0"/>
  </r>
  <r>
    <x v="0"/>
    <s v="NWSL Prime Video 2026"/>
    <s v="Billing Request- 00104898"/>
    <x v="1"/>
    <d v="2026-02-14T00:00:00"/>
    <d v="2026-05-09T00:00:00"/>
    <x v="2"/>
    <s v="a6JHn8523893"/>
    <x v="6"/>
    <s v="Jan"/>
    <s v="Client requested retroactive billing adjustments."/>
    <n v="84"/>
    <x v="0"/>
    <x v="1"/>
    <x v="1"/>
    <x v="1"/>
  </r>
  <r>
    <x v="4"/>
    <s v="Streaming Bundle Initiative 2025"/>
    <s v="Billing Request- 00104900"/>
    <x v="9"/>
    <d v="2025-09-18T00:00:00"/>
    <d v="2025-12-19T00:00:00"/>
    <x v="2"/>
    <s v="a6JXt2166015"/>
    <x v="4"/>
    <s v="Jul; Aug"/>
    <s v="Finance validation process delay."/>
    <n v="92"/>
    <x v="0"/>
    <x v="14"/>
    <x v="3"/>
    <x v="0"/>
  </r>
  <r>
    <x v="2"/>
    <s v="NBA League Pass 2026"/>
    <s v="Billing Request- 00104901"/>
    <x v="5"/>
    <d v="2026-03-30T00:00:00"/>
    <d v="2026-03-31T00:00:00"/>
    <x v="2"/>
    <s v="a6Jat2427336"/>
    <x v="4"/>
    <s v="Apr"/>
    <s v="Invoice details mismatch with approved campaign."/>
    <n v="1"/>
    <x v="2"/>
    <x v="2"/>
    <x v="2"/>
    <x v="1"/>
  </r>
  <r>
    <x v="1"/>
    <s v="NWSL Prime Video 2026"/>
    <s v="Billing Request- 00104902"/>
    <x v="1"/>
    <d v="2026-04-05T00:00:00"/>
    <d v="2026-05-01T00:00:00"/>
    <x v="1"/>
    <s v="a6Jat9072345"/>
    <x v="5"/>
    <s v="May; Jun"/>
    <s v="Missing supporting documentation from vendor."/>
    <n v="26"/>
    <x v="3"/>
    <x v="10"/>
    <x v="1"/>
    <x v="1"/>
  </r>
  <r>
    <x v="0"/>
    <s v="NBA League Pass 2025"/>
    <s v="Billing Request- 00104903"/>
    <x v="3"/>
    <d v="2025-03-01T00:00:00"/>
    <d v="2025-04-19T00:00:00"/>
    <x v="0"/>
    <s v="a6Jat4566855"/>
    <x v="6"/>
    <s v="Apr"/>
    <s v="Client requested retroactive billing adjustments."/>
    <n v="49"/>
    <x v="1"/>
    <x v="13"/>
    <x v="2"/>
    <x v="0"/>
  </r>
  <r>
    <x v="0"/>
    <s v="Amazon TNF 2024 2026"/>
    <s v="Billing Request- 00104904"/>
    <x v="9"/>
    <d v="2026-05-02T00:00:00"/>
    <d v="2026-05-04T00:00:00"/>
    <x v="0"/>
    <s v="a6JHn6175907"/>
    <x v="6"/>
    <s v="Nov; Dec"/>
    <s v="Manual billing entry issue."/>
    <n v="2"/>
    <x v="2"/>
    <x v="16"/>
    <x v="4"/>
    <x v="1"/>
  </r>
  <r>
    <x v="4"/>
    <s v="TNF Sponsorship 2026"/>
    <s v="Billing Request- 00104906"/>
    <x v="9"/>
    <d v="2026-02-22T00:00:00"/>
    <d v="2026-03-23T00:00:00"/>
    <x v="2"/>
    <s v="a6JXt9366198"/>
    <x v="4"/>
    <s v="Apr"/>
    <s v="Finance validation process delay."/>
    <n v="29"/>
    <x v="3"/>
    <x v="1"/>
    <x v="4"/>
    <x v="1"/>
  </r>
  <r>
    <x v="0"/>
    <s v="NBA Playoffs Campaign 2025"/>
    <s v="Billing Request- 00104908"/>
    <x v="8"/>
    <d v="2025-10-23T00:00:00"/>
    <d v="2026-01-03T00:00:00"/>
    <x v="2"/>
    <s v="a6Jat3192171"/>
    <x v="5"/>
    <s v="Jan; Feb"/>
    <s v="Client requested retroactive billing adjustments."/>
    <n v="72"/>
    <x v="0"/>
    <x v="5"/>
    <x v="2"/>
    <x v="0"/>
  </r>
  <r>
    <x v="0"/>
    <s v="NWSL Halftime Sponsorship 2025"/>
    <s v="Billing Request- 00104911"/>
    <x v="6"/>
    <d v="2025-10-19T00:00:00"/>
    <d v="2026-01-21T00:00:00"/>
    <x v="1"/>
    <s v="a6JHn5298112"/>
    <x v="2"/>
    <s v="Apr"/>
    <s v="Late media plan changes from client."/>
    <n v="94"/>
    <x v="0"/>
    <x v="5"/>
    <x v="1"/>
    <x v="0"/>
  </r>
  <r>
    <x v="0"/>
    <s v="WNBA Incremental Scatter 2025"/>
    <s v="Billing Request- 00104912"/>
    <x v="4"/>
    <d v="2025-02-06T00:00:00"/>
    <d v="2025-02-07T00:00:00"/>
    <x v="2"/>
    <s v="a6JXt8991485"/>
    <x v="2"/>
    <s v="May; Jun"/>
    <s v="Incorrect legal terms delayed PTS."/>
    <n v="1"/>
    <x v="2"/>
    <x v="6"/>
    <x v="2"/>
    <x v="0"/>
  </r>
  <r>
    <x v="0"/>
    <s v="WNBA Incremental Scatter 2025"/>
    <s v="Billing Request- 00104914"/>
    <x v="6"/>
    <d v="2025-08-30T00:00:00"/>
    <d v="2025-10-15T00:00:00"/>
    <x v="2"/>
    <s v="a6JHn8241248"/>
    <x v="3"/>
    <s v="Jun"/>
    <s v="Invoice details mismatch with approved campaign."/>
    <n v="46"/>
    <x v="1"/>
    <x v="8"/>
    <x v="2"/>
    <x v="0"/>
  </r>
  <r>
    <x v="4"/>
    <s v="NWSL Prime Video 2025"/>
    <s v="Billing Request- 00104915"/>
    <x v="6"/>
    <d v="2025-06-19T00:00:00"/>
    <d v="2025-09-18T00:00:00"/>
    <x v="2"/>
    <s v="a6JXt1925388"/>
    <x v="1"/>
    <s v="Sep"/>
    <s v="Late media plan changes from client."/>
    <n v="91"/>
    <x v="0"/>
    <x v="9"/>
    <x v="1"/>
    <x v="0"/>
  </r>
  <r>
    <x v="0"/>
    <s v="NASCAR Apex 2025 2026"/>
    <s v="Billing Request- 00104916"/>
    <x v="9"/>
    <d v="2026-04-28T00:00:00"/>
    <d v="2026-05-09T00:00:00"/>
    <x v="2"/>
    <s v="a6Jat4632352"/>
    <x v="1"/>
    <s v="Feb"/>
    <s v="Finance validation process delay."/>
    <n v="11"/>
    <x v="4"/>
    <x v="10"/>
    <x v="0"/>
    <x v="1"/>
  </r>
  <r>
    <x v="0"/>
    <s v="Streaming Bundle Initiative 2026"/>
    <s v="Billing Request- 00104917"/>
    <x v="3"/>
    <d v="2026-04-08T00:00:00"/>
    <d v="2026-05-04T00:00:00"/>
    <x v="2"/>
    <s v="a6JXt4152619"/>
    <x v="2"/>
    <s v="Nov"/>
    <s v="Incorrect legal terms delayed PTS."/>
    <n v="26"/>
    <x v="3"/>
    <x v="10"/>
    <x v="3"/>
    <x v="1"/>
  </r>
  <r>
    <x v="0"/>
    <s v="WNBA Incremental Scatter 2025"/>
    <s v="Billing Request- 00104918"/>
    <x v="3"/>
    <d v="2025-07-06T00:00:00"/>
    <d v="2025-09-26T00:00:00"/>
    <x v="2"/>
    <s v="a6Jat6136658"/>
    <x v="4"/>
    <s v="Jan"/>
    <s v="Finance validation process delay."/>
    <n v="82"/>
    <x v="0"/>
    <x v="12"/>
    <x v="2"/>
    <x v="0"/>
  </r>
  <r>
    <x v="0"/>
    <s v="NBA Playoffs Campaign 2025"/>
    <s v="Billing Request- 00104919"/>
    <x v="2"/>
    <d v="2025-08-25T00:00:00"/>
    <d v="2025-12-16T00:00:00"/>
    <x v="2"/>
    <s v="a6Jat8718306"/>
    <x v="4"/>
    <s v="Nov; Dec"/>
    <s v="Manual billing entry issue."/>
    <n v="113"/>
    <x v="0"/>
    <x v="8"/>
    <x v="2"/>
    <x v="0"/>
  </r>
  <r>
    <x v="0"/>
    <s v="Amazon TNF 2024 2026"/>
    <s v="Billing Request- 00104921"/>
    <x v="8"/>
    <d v="2026-02-05T00:00:00"/>
    <d v="2026-05-08T00:00:00"/>
    <x v="1"/>
    <s v="a6JHn8114189"/>
    <x v="3"/>
    <s v="Jan"/>
    <s v="Manual billing entry issue."/>
    <n v="92"/>
    <x v="0"/>
    <x v="1"/>
    <x v="4"/>
    <x v="1"/>
  </r>
  <r>
    <x v="0"/>
    <s v="NASCAR P&amp;Q 2025"/>
    <s v="Billing Request- 00104922"/>
    <x v="0"/>
    <d v="2025-11-05T00:00:00"/>
    <d v="2025-12-17T00:00:00"/>
    <x v="0"/>
    <s v="a6Jat4558326"/>
    <x v="0"/>
    <s v="Apr"/>
    <s v="Client requested retroactive billing adjustments."/>
    <n v="42"/>
    <x v="1"/>
    <x v="15"/>
    <x v="0"/>
    <x v="0"/>
  </r>
  <r>
    <x v="0"/>
    <s v="TNF Sponsorship 2026"/>
    <s v="Billing Request- 00104923"/>
    <x v="4"/>
    <d v="2026-01-31T00:00:00"/>
    <d v="2026-04-30T00:00:00"/>
    <x v="2"/>
    <s v="a6Jat7099658"/>
    <x v="5"/>
    <s v="Nov; Dec"/>
    <s v="Client requested retroactive billing adjustments."/>
    <n v="89"/>
    <x v="0"/>
    <x v="7"/>
    <x v="4"/>
    <x v="1"/>
  </r>
  <r>
    <x v="0"/>
    <s v="Prime Sports NFL 2026"/>
    <s v="Billing Request- 00104924"/>
    <x v="9"/>
    <d v="2026-03-03T00:00:00"/>
    <d v="2026-05-07T00:00:00"/>
    <x v="2"/>
    <s v="a6JXt9065534"/>
    <x v="5"/>
    <s v="Oct"/>
    <s v=""/>
    <n v="65"/>
    <x v="0"/>
    <x v="2"/>
    <x v="3"/>
    <x v="1"/>
  </r>
  <r>
    <x v="0"/>
    <s v="NASCAR P&amp;Q 2025"/>
    <s v="Billing Request- 00104925"/>
    <x v="9"/>
    <d v="2025-06-17T00:00:00"/>
    <d v="2025-08-23T00:00:00"/>
    <x v="2"/>
    <s v="a6JHn8379369"/>
    <x v="5"/>
    <s v="Dec"/>
    <s v="Finance validation process delay."/>
    <n v="67"/>
    <x v="0"/>
    <x v="9"/>
    <x v="0"/>
    <x v="0"/>
  </r>
  <r>
    <x v="1"/>
    <s v="NASCAR Apex 2025 2025"/>
    <s v="Billing Request- 00104926"/>
    <x v="6"/>
    <d v="2025-12-21T00:00:00"/>
    <d v="2026-02-15T00:00:00"/>
    <x v="2"/>
    <s v="a6JHn9282866"/>
    <x v="6"/>
    <s v="Mar"/>
    <s v="Manual billing entry issue."/>
    <n v="56"/>
    <x v="1"/>
    <x v="11"/>
    <x v="0"/>
    <x v="0"/>
  </r>
  <r>
    <x v="1"/>
    <s v="WNBA Incremental Scatter 2025"/>
    <s v="Billing Request- 00104928"/>
    <x v="2"/>
    <d v="2025-07-01T00:00:00"/>
    <d v="2025-07-24T00:00:00"/>
    <x v="2"/>
    <s v="a6JHn2270281"/>
    <x v="4"/>
    <s v="Jan"/>
    <s v="Manual billing entry issue."/>
    <n v="23"/>
    <x v="3"/>
    <x v="12"/>
    <x v="2"/>
    <x v="0"/>
  </r>
  <r>
    <x v="0"/>
    <s v="NWSL Prime Video 2025"/>
    <s v="Billing Request- 00104929"/>
    <x v="2"/>
    <d v="2025-08-22T00:00:00"/>
    <d v="2025-12-13T00:00:00"/>
    <x v="2"/>
    <s v="a6JHn1850992"/>
    <x v="5"/>
    <s v="Aug"/>
    <s v=""/>
    <n v="113"/>
    <x v="0"/>
    <x v="8"/>
    <x v="1"/>
    <x v="0"/>
  </r>
  <r>
    <x v="1"/>
    <s v="NBA Playoffs Campaign 2025"/>
    <s v="Billing Request- 00104930"/>
    <x v="7"/>
    <d v="2025-04-20T00:00:00"/>
    <d v="2025-06-08T00:00:00"/>
    <x v="0"/>
    <s v="a6JHn6892384"/>
    <x v="4"/>
    <s v="May; Jun"/>
    <s v="Manual billing entry issue."/>
    <n v="49"/>
    <x v="1"/>
    <x v="3"/>
    <x v="2"/>
    <x v="0"/>
  </r>
  <r>
    <x v="0"/>
    <s v="NWSL Halftime Sponsorship 2025"/>
    <s v="Billing Request- 00104931"/>
    <x v="3"/>
    <d v="2025-09-05T00:00:00"/>
    <d v="2025-11-04T00:00:00"/>
    <x v="0"/>
    <s v="a6JHn6373422"/>
    <x v="3"/>
    <s v="Sep; Oct"/>
    <s v="Agency submitted updated invoice mapping."/>
    <n v="60"/>
    <x v="1"/>
    <x v="14"/>
    <x v="1"/>
    <x v="0"/>
  </r>
  <r>
    <x v="4"/>
    <s v="DirecTV NASCAR Campaign 2025"/>
    <s v="Billing Request- 00104932"/>
    <x v="6"/>
    <d v="2025-08-09T00:00:00"/>
    <d v="2025-09-24T00:00:00"/>
    <x v="0"/>
    <s v="a6JXt2138038"/>
    <x v="2"/>
    <s v="Nov; Dec"/>
    <s v="Finance validation process delay."/>
    <n v="46"/>
    <x v="1"/>
    <x v="8"/>
    <x v="0"/>
    <x v="0"/>
  </r>
  <r>
    <x v="0"/>
    <s v="Streaming Bundle Initiative 2026"/>
    <s v="Billing Request- 00104934"/>
    <x v="4"/>
    <d v="2026-02-21T00:00:00"/>
    <d v="2026-04-15T00:00:00"/>
    <x v="0"/>
    <s v="a6JHn6255352"/>
    <x v="3"/>
    <s v="Jan; Feb"/>
    <s v="Incorrect legal terms delayed PTS."/>
    <n v="53"/>
    <x v="1"/>
    <x v="1"/>
    <x v="3"/>
    <x v="1"/>
  </r>
  <r>
    <x v="0"/>
    <s v="Confluence Academy 2026"/>
    <s v="Billing Request- 00104936"/>
    <x v="5"/>
    <d v="2026-01-23T00:00:00"/>
    <d v="2026-03-12T00:00:00"/>
    <x v="2"/>
    <s v="a6JXt8354796"/>
    <x v="5"/>
    <s v="May; Jun"/>
    <s v="Client requested retroactive billing adjustments."/>
    <n v="48"/>
    <x v="1"/>
    <x v="7"/>
    <x v="3"/>
    <x v="1"/>
  </r>
  <r>
    <x v="0"/>
    <s v="Retail Media Expansion 2026"/>
    <s v="Billing Request- 00104937"/>
    <x v="2"/>
    <d v="2026-02-17T00:00:00"/>
    <d v="2026-05-06T00:00:00"/>
    <x v="2"/>
    <s v="a6JHn3829976"/>
    <x v="4"/>
    <s v="Feb"/>
    <s v="Missing supporting documentation from vendor."/>
    <n v="78"/>
    <x v="0"/>
    <x v="1"/>
    <x v="3"/>
    <x v="1"/>
  </r>
  <r>
    <x v="2"/>
    <s v="Amazon TNF 2024 2025"/>
    <s v="Billing Request- 00104940"/>
    <x v="6"/>
    <d v="2025-03-30T00:00:00"/>
    <d v="2025-06-02T00:00:00"/>
    <x v="0"/>
    <s v="a6Jat3114044"/>
    <x v="0"/>
    <s v="Dec"/>
    <s v="Agency submitted updated invoice mapping."/>
    <n v="64"/>
    <x v="0"/>
    <x v="13"/>
    <x v="4"/>
    <x v="0"/>
  </r>
  <r>
    <x v="0"/>
    <s v="WNBA Incremental Scatter 2026"/>
    <s v="Billing Request- 00104942"/>
    <x v="7"/>
    <d v="2026-01-21T00:00:00"/>
    <d v="2026-03-19T00:00:00"/>
    <x v="0"/>
    <s v="a6JHn7628708"/>
    <x v="1"/>
    <s v="Mar"/>
    <s v="Incorrect legal terms delayed PTS."/>
    <n v="57"/>
    <x v="1"/>
    <x v="7"/>
    <x v="2"/>
    <x v="1"/>
  </r>
  <r>
    <x v="0"/>
    <s v="NWSL Halftime Sponsorship 2025"/>
    <s v="Billing Request- 00104943"/>
    <x v="7"/>
    <d v="2025-07-17T00:00:00"/>
    <d v="2025-10-23T00:00:00"/>
    <x v="2"/>
    <s v="a6JHn9968056"/>
    <x v="3"/>
    <s v="Jan"/>
    <s v="Invoice details mismatch with approved campaign."/>
    <n v="98"/>
    <x v="0"/>
    <x v="12"/>
    <x v="1"/>
    <x v="0"/>
  </r>
  <r>
    <x v="0"/>
    <s v="Retail Media Expansion 2025"/>
    <s v="Billing Request- 00104944"/>
    <x v="6"/>
    <d v="2025-06-01T00:00:00"/>
    <d v="2025-07-18T00:00:00"/>
    <x v="2"/>
    <s v="a6Jat3493523"/>
    <x v="3"/>
    <s v="May; Jun"/>
    <s v="Client requested retroactive billing adjustments."/>
    <n v="47"/>
    <x v="1"/>
    <x v="9"/>
    <x v="3"/>
    <x v="0"/>
  </r>
  <r>
    <x v="0"/>
    <s v="NFL Prime Video 2026"/>
    <s v="Billing Request- 00104945"/>
    <x v="2"/>
    <d v="2026-05-08T00:00:00"/>
    <d v="2026-05-07T00:00:00"/>
    <x v="0"/>
    <s v="a6Jat6738161"/>
    <x v="2"/>
    <s v="Jan"/>
    <s v="Finance validation process delay."/>
    <n v="-1"/>
    <x v="2"/>
    <x v="16"/>
    <x v="3"/>
    <x v="1"/>
  </r>
  <r>
    <x v="0"/>
    <s v="Prime Sports NFL 2026"/>
    <s v="Billing Request- 00104946"/>
    <x v="9"/>
    <d v="2026-04-16T00:00:00"/>
    <d v="2026-05-06T00:00:00"/>
    <x v="0"/>
    <s v="a6JHn4219055"/>
    <x v="5"/>
    <s v="Apr"/>
    <s v="Manual billing entry issue."/>
    <n v="20"/>
    <x v="3"/>
    <x v="10"/>
    <x v="3"/>
    <x v="1"/>
  </r>
  <r>
    <x v="0"/>
    <s v="NASCAR Apex 2025 2026"/>
    <s v="Billing Request- 00104948"/>
    <x v="8"/>
    <d v="2026-03-30T00:00:00"/>
    <d v="2026-05-05T00:00:00"/>
    <x v="2"/>
    <s v="a6Jat3711462"/>
    <x v="2"/>
    <s v="Jul; Aug"/>
    <s v="Missing supporting documentation from vendor."/>
    <n v="36"/>
    <x v="1"/>
    <x v="2"/>
    <x v="0"/>
    <x v="1"/>
  </r>
  <r>
    <x v="0"/>
    <s v="Confluence Academy 2025"/>
    <s v="Billing Request- 00104949"/>
    <x v="6"/>
    <d v="2025-03-08T00:00:00"/>
    <d v="2025-03-21T00:00:00"/>
    <x v="2"/>
    <s v="a6JHn3122246"/>
    <x v="4"/>
    <s v="May; Jun"/>
    <s v="Manual billing entry issue."/>
    <n v="13"/>
    <x v="4"/>
    <x v="13"/>
    <x v="3"/>
    <x v="0"/>
  </r>
  <r>
    <x v="3"/>
    <s v="NASCAR Apex 2025 2026"/>
    <s v="Billing Request- 00104950"/>
    <x v="9"/>
    <d v="2026-03-14T00:00:00"/>
    <d v="2026-04-16T00:00:00"/>
    <x v="2"/>
    <s v="a6JXt1641541"/>
    <x v="0"/>
    <s v="Jul; Aug"/>
    <s v="Late media plan changes from client."/>
    <n v="33"/>
    <x v="1"/>
    <x v="2"/>
    <x v="0"/>
    <x v="1"/>
  </r>
  <r>
    <x v="0"/>
    <s v="NFL Prime Video 2025"/>
    <s v="Billing Request- 00104951"/>
    <x v="7"/>
    <d v="2025-02-03T00:00:00"/>
    <d v="2025-05-08T00:00:00"/>
    <x v="2"/>
    <s v="a6JHn5953507"/>
    <x v="1"/>
    <s v="Jul; Aug"/>
    <s v="Incorrect legal terms delayed PTS."/>
    <n v="94"/>
    <x v="0"/>
    <x v="6"/>
    <x v="3"/>
    <x v="0"/>
  </r>
  <r>
    <x v="4"/>
    <s v="DirecTV NASCAR Campaign 2026"/>
    <s v="Billing Request- 00104953"/>
    <x v="9"/>
    <d v="2026-03-28T00:00:00"/>
    <d v="2026-04-24T00:00:00"/>
    <x v="2"/>
    <s v="a6JHn9750567"/>
    <x v="5"/>
    <s v="Sep; Oct"/>
    <s v="Manual billing entry issue."/>
    <n v="27"/>
    <x v="3"/>
    <x v="2"/>
    <x v="0"/>
    <x v="1"/>
  </r>
  <r>
    <x v="0"/>
    <s v="NFL Prime Video 2025"/>
    <s v="Billing Request- 00104957"/>
    <x v="3"/>
    <d v="2025-05-24T00:00:00"/>
    <d v="2025-06-11T00:00:00"/>
    <x v="0"/>
    <s v="a6JHn4536863"/>
    <x v="3"/>
    <s v="Dec"/>
    <s v="Manual billing entry issue."/>
    <n v="18"/>
    <x v="3"/>
    <x v="4"/>
    <x v="3"/>
    <x v="0"/>
  </r>
  <r>
    <x v="0"/>
    <s v="NFL Prime Video 2025"/>
    <s v="Billing Request- 00104958"/>
    <x v="3"/>
    <d v="2025-01-17T00:00:00"/>
    <d v="2025-04-29T00:00:00"/>
    <x v="0"/>
    <s v="a6JHn5024576"/>
    <x v="4"/>
    <s v="Jan; Feb"/>
    <s v="Missing supporting documentation from vendor."/>
    <n v="102"/>
    <x v="0"/>
    <x v="0"/>
    <x v="3"/>
    <x v="0"/>
  </r>
  <r>
    <x v="3"/>
    <s v="Amazon NBA Live Sports 2025"/>
    <s v="Billing Request- 00104959"/>
    <x v="0"/>
    <d v="2025-05-24T00:00:00"/>
    <d v="2025-08-14T00:00:00"/>
    <x v="2"/>
    <s v="a6JXt6103567"/>
    <x v="6"/>
    <s v="Jul; Aug"/>
    <s v=""/>
    <n v="82"/>
    <x v="0"/>
    <x v="4"/>
    <x v="2"/>
    <x v="0"/>
  </r>
  <r>
    <x v="0"/>
    <s v="NFL Prime Video 2025"/>
    <s v="Billing Request- 00104960"/>
    <x v="6"/>
    <d v="2025-06-14T00:00:00"/>
    <d v="2025-10-02T00:00:00"/>
    <x v="0"/>
    <s v="a6JHn6288077"/>
    <x v="4"/>
    <s v="Jun"/>
    <s v="Missing supporting documentation from vendor."/>
    <n v="110"/>
    <x v="0"/>
    <x v="9"/>
    <x v="3"/>
    <x v="0"/>
  </r>
  <r>
    <x v="0"/>
    <s v="DirecTV NASCAR Campaign 2025"/>
    <s v="Billing Request- 00104961"/>
    <x v="1"/>
    <d v="2025-04-08T00:00:00"/>
    <d v="2025-06-10T00:00:00"/>
    <x v="0"/>
    <s v="a6JXt4506276"/>
    <x v="5"/>
    <s v="Nov; Dec"/>
    <s v=""/>
    <n v="63"/>
    <x v="0"/>
    <x v="3"/>
    <x v="0"/>
    <x v="0"/>
  </r>
  <r>
    <x v="0"/>
    <s v="NWSL Prime Video 2025"/>
    <s v="Billing Request- 00104962"/>
    <x v="4"/>
    <d v="2025-02-25T00:00:00"/>
    <d v="2025-04-17T00:00:00"/>
    <x v="0"/>
    <s v="a6Jat9592429"/>
    <x v="5"/>
    <s v="Mar"/>
    <s v="Incorrect legal terms delayed PTS."/>
    <n v="51"/>
    <x v="1"/>
    <x v="6"/>
    <x v="1"/>
    <x v="0"/>
  </r>
  <r>
    <x v="0"/>
    <s v="Retail Media Expansion 2025"/>
    <s v="Billing Request- 00104963"/>
    <x v="6"/>
    <d v="2025-02-27T00:00:00"/>
    <d v="2025-04-17T00:00:00"/>
    <x v="0"/>
    <s v="a6JHn1095489"/>
    <x v="2"/>
    <s v="Sep"/>
    <s v="Incorrect legal terms delayed PTS."/>
    <n v="49"/>
    <x v="1"/>
    <x v="6"/>
    <x v="3"/>
    <x v="0"/>
  </r>
  <r>
    <x v="3"/>
    <s v="DirecTV NASCAR Campaign 2026"/>
    <s v="Billing Request- 00104965"/>
    <x v="1"/>
    <d v="2026-04-19T00:00:00"/>
    <d v="2026-05-04T00:00:00"/>
    <x v="2"/>
    <s v="a6Jat6845639"/>
    <x v="4"/>
    <s v="Sep; Oct"/>
    <s v="Manual billing entry issue."/>
    <n v="15"/>
    <x v="3"/>
    <x v="10"/>
    <x v="0"/>
    <x v="1"/>
  </r>
  <r>
    <x v="0"/>
    <s v="NWSL Halftime Sponsorship 2025"/>
    <s v="Billing Request- 00104968"/>
    <x v="7"/>
    <d v="2025-07-06T00:00:00"/>
    <d v="2025-09-30T00:00:00"/>
    <x v="2"/>
    <s v="a6JXt4665598"/>
    <x v="1"/>
    <s v="Oct"/>
    <s v="Late media plan changes from client."/>
    <n v="86"/>
    <x v="0"/>
    <x v="12"/>
    <x v="1"/>
    <x v="0"/>
  </r>
  <r>
    <x v="2"/>
    <s v="Retail Media Expansion 2026"/>
    <s v="Billing Request- 00104970"/>
    <x v="0"/>
    <d v="2026-01-26T00:00:00"/>
    <d v="2026-05-07T00:00:00"/>
    <x v="1"/>
    <s v="a6JHn3676933"/>
    <x v="6"/>
    <s v="Sep; Oct"/>
    <s v="Manual billing entry issue."/>
    <n v="101"/>
    <x v="0"/>
    <x v="7"/>
    <x v="3"/>
    <x v="1"/>
  </r>
  <r>
    <x v="0"/>
    <s v="Prime Sports NFL 2025"/>
    <s v="Billing Request- 00104973"/>
    <x v="0"/>
    <d v="2025-11-05T00:00:00"/>
    <d v="2026-01-08T00:00:00"/>
    <x v="0"/>
    <s v="a6JHn4829965"/>
    <x v="5"/>
    <s v="May; Jun"/>
    <s v="Late media plan changes from client."/>
    <n v="64"/>
    <x v="0"/>
    <x v="15"/>
    <x v="3"/>
    <x v="0"/>
  </r>
  <r>
    <x v="0"/>
    <s v="NASCAR P&amp;Q 2026"/>
    <s v="Billing Request- 00104974"/>
    <x v="0"/>
    <d v="2026-01-06T00:00:00"/>
    <d v="2026-02-20T00:00:00"/>
    <x v="2"/>
    <s v="a6JXt6020258"/>
    <x v="5"/>
    <s v="Nov"/>
    <s v="Incorrect legal terms delayed PTS."/>
    <n v="45"/>
    <x v="1"/>
    <x v="7"/>
    <x v="0"/>
    <x v="1"/>
  </r>
  <r>
    <x v="0"/>
    <s v="NWSL Halftime Sponsorship 2026"/>
    <s v="Billing Request- 00104975"/>
    <x v="4"/>
    <d v="2026-05-04T00:00:00"/>
    <d v="2026-05-08T00:00:00"/>
    <x v="2"/>
    <s v="a6JHn6205899"/>
    <x v="3"/>
    <s v="Dec"/>
    <s v="Incorrect legal terms delayed PTS."/>
    <n v="4"/>
    <x v="2"/>
    <x v="16"/>
    <x v="1"/>
    <x v="1"/>
  </r>
  <r>
    <x v="0"/>
    <s v="DirecTV NASCAR Campaign 2026"/>
    <s v="Billing Request- 00104976"/>
    <x v="4"/>
    <d v="2026-02-12T00:00:00"/>
    <d v="2026-04-21T00:00:00"/>
    <x v="0"/>
    <s v="a6Jat8720795"/>
    <x v="5"/>
    <s v="Apr"/>
    <s v="Client requested retroactive billing adjustments."/>
    <n v="68"/>
    <x v="0"/>
    <x v="1"/>
    <x v="0"/>
    <x v="1"/>
  </r>
  <r>
    <x v="3"/>
    <s v="NASCAR P&amp;Q 2025"/>
    <s v="Billing Request- 00104977"/>
    <x v="4"/>
    <d v="2025-06-26T00:00:00"/>
    <d v="2025-08-23T00:00:00"/>
    <x v="2"/>
    <s v="a6Jat1621374"/>
    <x v="3"/>
    <s v="Jun"/>
    <s v="Late media plan changes from client."/>
    <n v="58"/>
    <x v="1"/>
    <x v="9"/>
    <x v="0"/>
    <x v="0"/>
  </r>
  <r>
    <x v="0"/>
    <s v="NBA League Pass 2025"/>
    <s v="Billing Request- 00104978"/>
    <x v="5"/>
    <d v="2025-03-03T00:00:00"/>
    <d v="2025-06-25T00:00:00"/>
    <x v="0"/>
    <s v="a6JXt8676730"/>
    <x v="0"/>
    <s v="Aug"/>
    <s v="Incorrect legal terms delayed PTS."/>
    <n v="114"/>
    <x v="0"/>
    <x v="13"/>
    <x v="2"/>
    <x v="0"/>
  </r>
  <r>
    <x v="0"/>
    <s v="Amazon TNF 2024 2025"/>
    <s v="Billing Request- 00104979"/>
    <x v="5"/>
    <d v="2025-01-27T00:00:00"/>
    <d v="2025-04-03T00:00:00"/>
    <x v="2"/>
    <s v="a6Jat5505598"/>
    <x v="2"/>
    <s v="Dec"/>
    <s v="Finance validation process delay."/>
    <n v="66"/>
    <x v="0"/>
    <x v="0"/>
    <x v="4"/>
    <x v="0"/>
  </r>
  <r>
    <x v="0"/>
    <s v="DirecTV NASCAR Campaign 2025"/>
    <s v="Billing Request- 00104980"/>
    <x v="3"/>
    <d v="2025-04-20T00:00:00"/>
    <d v="2025-06-01T00:00:00"/>
    <x v="0"/>
    <s v="a6JHn3511735"/>
    <x v="4"/>
    <s v="Aug"/>
    <s v="Invoice details mismatch with approved campaign."/>
    <n v="42"/>
    <x v="1"/>
    <x v="3"/>
    <x v="0"/>
    <x v="0"/>
  </r>
  <r>
    <x v="0"/>
    <s v="Streaming Bundle Initiative 2025"/>
    <s v="Billing Request- 00104981"/>
    <x v="2"/>
    <d v="2025-09-14T00:00:00"/>
    <d v="2025-10-20T00:00:00"/>
    <x v="0"/>
    <s v="a6Jat8024192"/>
    <x v="1"/>
    <s v="Sep; Oct"/>
    <s v="Late media plan changes from client."/>
    <n v="36"/>
    <x v="1"/>
    <x v="14"/>
    <x v="3"/>
    <x v="0"/>
  </r>
  <r>
    <x v="0"/>
    <s v="Amazon NBA Live Sports 2025"/>
    <s v="Billing Request- 00104983"/>
    <x v="1"/>
    <d v="2025-04-26T00:00:00"/>
    <d v="2025-06-08T00:00:00"/>
    <x v="1"/>
    <s v="a6Jat7401407"/>
    <x v="6"/>
    <s v="Aug"/>
    <s v=""/>
    <n v="43"/>
    <x v="1"/>
    <x v="3"/>
    <x v="2"/>
    <x v="0"/>
  </r>
  <r>
    <x v="0"/>
    <s v="NASCAR Apex 2025 2026"/>
    <s v="Billing Request- 00104984"/>
    <x v="2"/>
    <d v="2026-05-02T00:00:00"/>
    <d v="2026-05-04T00:00:00"/>
    <x v="0"/>
    <s v="a6Jat9504500"/>
    <x v="0"/>
    <s v="Dec"/>
    <s v="Late media plan changes from client."/>
    <n v="2"/>
    <x v="2"/>
    <x v="16"/>
    <x v="0"/>
    <x v="1"/>
  </r>
  <r>
    <x v="0"/>
    <s v="Prime Sports NFL 2025"/>
    <s v="Billing Request- 00104985"/>
    <x v="3"/>
    <d v="2025-01-23T00:00:00"/>
    <d v="2025-04-28T00:00:00"/>
    <x v="2"/>
    <s v="a6JHn5689965"/>
    <x v="4"/>
    <s v="Sep; Oct"/>
    <s v="Invoice details mismatch with approved campaign."/>
    <n v="95"/>
    <x v="0"/>
    <x v="0"/>
    <x v="3"/>
    <x v="0"/>
  </r>
  <r>
    <x v="0"/>
    <s v="NWSL Prime Video 2025"/>
    <s v="Billing Request- 00104986"/>
    <x v="8"/>
    <d v="2025-01-23T00:00:00"/>
    <d v="2025-02-08T00:00:00"/>
    <x v="2"/>
    <s v="a6JHn8625580"/>
    <x v="5"/>
    <s v="Nov"/>
    <s v="Manual billing entry issue."/>
    <n v="16"/>
    <x v="3"/>
    <x v="0"/>
    <x v="1"/>
    <x v="0"/>
  </r>
  <r>
    <x v="4"/>
    <s v="NWSL Prime Video 2025"/>
    <s v="Billing Request- 00104987"/>
    <x v="9"/>
    <d v="2025-06-07T00:00:00"/>
    <d v="2025-08-26T00:00:00"/>
    <x v="2"/>
    <s v="a6Jat4807676"/>
    <x v="6"/>
    <s v="Jul"/>
    <s v="Agency submitted updated invoice mapping."/>
    <n v="80"/>
    <x v="0"/>
    <x v="9"/>
    <x v="1"/>
    <x v="0"/>
  </r>
  <r>
    <x v="1"/>
    <s v="Streaming Bundle Initiative 2025"/>
    <s v="Billing Request- 00104988"/>
    <x v="2"/>
    <d v="2025-01-12T00:00:00"/>
    <d v="2025-02-13T00:00:00"/>
    <x v="0"/>
    <s v="a6JXt8354796"/>
    <x v="4"/>
    <s v="Jul"/>
    <s v="Missing supporting documentation from vendor."/>
    <n v="32"/>
    <x v="1"/>
    <x v="0"/>
    <x v="3"/>
    <x v="0"/>
  </r>
  <r>
    <x v="0"/>
    <s v="Confluence Academy 2025"/>
    <s v="Billing Request- 00104989"/>
    <x v="3"/>
    <d v="2025-08-19T00:00:00"/>
    <d v="2025-11-22T00:00:00"/>
    <x v="2"/>
    <s v="a6JHn2221018"/>
    <x v="0"/>
    <s v="Nov"/>
    <s v=""/>
    <n v="95"/>
    <x v="0"/>
    <x v="8"/>
    <x v="3"/>
    <x v="0"/>
  </r>
  <r>
    <x v="4"/>
    <s v="NASCAR Apex 2025 2026"/>
    <s v="Billing Request- 00104990"/>
    <x v="9"/>
    <d v="2026-01-06T00:00:00"/>
    <d v="2026-03-06T00:00:00"/>
    <x v="0"/>
    <s v="a6Jat5216748"/>
    <x v="3"/>
    <s v="Oct"/>
    <s v="Invoice details mismatch with approved campaign."/>
    <n v="59"/>
    <x v="1"/>
    <x v="7"/>
    <x v="0"/>
    <x v="1"/>
  </r>
  <r>
    <x v="0"/>
    <s v="Amazon NBA Live Sports 2025"/>
    <s v="Billing Request- 00104991"/>
    <x v="7"/>
    <d v="2025-08-11T00:00:00"/>
    <d v="2025-09-30T00:00:00"/>
    <x v="2"/>
    <s v="a6Jat2901813"/>
    <x v="5"/>
    <s v="May"/>
    <s v="Agency submitted updated invoice mapping."/>
    <n v="50"/>
    <x v="1"/>
    <x v="8"/>
    <x v="2"/>
    <x v="0"/>
  </r>
  <r>
    <x v="0"/>
    <s v="NASCAR P&amp;Q 2026"/>
    <s v="Billing Request- 00104992"/>
    <x v="4"/>
    <d v="2026-02-23T00:00:00"/>
    <d v="2026-05-09T00:00:00"/>
    <x v="2"/>
    <s v="a6JXt4120277"/>
    <x v="3"/>
    <s v="Nov; Dec"/>
    <s v="Finance validation process delay."/>
    <n v="75"/>
    <x v="0"/>
    <x v="1"/>
    <x v="0"/>
    <x v="1"/>
  </r>
  <r>
    <x v="0"/>
    <s v="Amazon TNF 2024 2025"/>
    <s v="Billing Request- 00104993"/>
    <x v="8"/>
    <d v="2025-04-21T00:00:00"/>
    <d v="2025-06-24T00:00:00"/>
    <x v="2"/>
    <s v="a6JHn4652860"/>
    <x v="2"/>
    <s v="Jul; Aug"/>
    <s v="Invoice details mismatch with approved campaign."/>
    <n v="64"/>
    <x v="0"/>
    <x v="3"/>
    <x v="4"/>
    <x v="0"/>
  </r>
  <r>
    <x v="0"/>
    <s v="Retail Media Expansion 2025"/>
    <s v="Billing Request- 00104994"/>
    <x v="4"/>
    <d v="2025-02-11T00:00:00"/>
    <d v="2025-03-06T00:00:00"/>
    <x v="0"/>
    <s v="a6Jat3596606"/>
    <x v="6"/>
    <s v="Aug"/>
    <s v="Manual billing entry issue."/>
    <n v="23"/>
    <x v="3"/>
    <x v="6"/>
    <x v="3"/>
    <x v="0"/>
  </r>
  <r>
    <x v="0"/>
    <s v="NWSL Prime Video 2025"/>
    <s v="Billing Request- 00104995"/>
    <x v="8"/>
    <d v="2025-05-27T00:00:00"/>
    <d v="2025-07-08T00:00:00"/>
    <x v="0"/>
    <s v="a6JHn1828113"/>
    <x v="2"/>
    <s v="Oct"/>
    <s v="Incorrect legal terms delayed PTS."/>
    <n v="42"/>
    <x v="1"/>
    <x v="4"/>
    <x v="1"/>
    <x v="0"/>
  </r>
  <r>
    <x v="0"/>
    <s v="Retail Media Expansion 2026"/>
    <s v="Billing Request- 00104996"/>
    <x v="2"/>
    <d v="2026-01-21T00:00:00"/>
    <d v="2026-02-19T00:00:00"/>
    <x v="2"/>
    <s v="a6JHn8088937"/>
    <x v="5"/>
    <s v="Aug"/>
    <s v=""/>
    <n v="29"/>
    <x v="3"/>
    <x v="7"/>
    <x v="3"/>
    <x v="1"/>
  </r>
  <r>
    <x v="0"/>
    <s v="NFL Prime Video 2026"/>
    <s v="Billing Request- 00104997"/>
    <x v="7"/>
    <d v="2026-04-21T00:00:00"/>
    <d v="2026-05-08T00:00:00"/>
    <x v="0"/>
    <s v="a6JXt4659188"/>
    <x v="5"/>
    <s v="Jul"/>
    <s v="Manual billing entry issue."/>
    <n v="17"/>
    <x v="3"/>
    <x v="10"/>
    <x v="3"/>
    <x v="1"/>
  </r>
  <r>
    <x v="0"/>
    <s v="NWSL Halftime Sponsorship 2026"/>
    <s v="Billing Request- 00104998"/>
    <x v="9"/>
    <d v="2026-04-27T00:00:00"/>
    <d v="2026-05-08T00:00:00"/>
    <x v="1"/>
    <s v="a6JHn9370928"/>
    <x v="6"/>
    <s v="Oct"/>
    <s v="Invoice details mismatch with approved campaign."/>
    <n v="11"/>
    <x v="4"/>
    <x v="10"/>
    <x v="1"/>
    <x v="1"/>
  </r>
  <r>
    <x v="0"/>
    <s v="DirecTV NASCAR Campaign 2026"/>
    <s v="Billing Request- 00104999"/>
    <x v="9"/>
    <d v="2026-04-18T00:00:00"/>
    <d v="2026-04-30T00:00:00"/>
    <x v="2"/>
    <s v="a6Jat1196070"/>
    <x v="2"/>
    <s v="Oct"/>
    <s v="Agency submitted updated invoice mapping."/>
    <n v="12"/>
    <x v="4"/>
    <x v="1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C6CBF-852D-4FFE-B693-F9991ABFA7F1}" name="TD5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U2:V13" firstHeaderRow="1" firstDataRow="1" firstDataCol="1"/>
  <pivotFields count="16">
    <pivotField showAll="0">
      <items count="6">
        <item x="2"/>
        <item x="0"/>
        <item x="3"/>
        <item x="1"/>
        <item x="4"/>
        <item t="default"/>
      </items>
    </pivotField>
    <pivotField showAll="0"/>
    <pivotField dataField="1" showAll="0"/>
    <pivotField axis="axisRow" showAll="0">
      <items count="33">
        <item m="1" x="10"/>
        <item m="1" x="15"/>
        <item x="1"/>
        <item m="1" x="17"/>
        <item x="4"/>
        <item m="1" x="12"/>
        <item m="1" x="14"/>
        <item m="1" x="11"/>
        <item x="5"/>
        <item m="1" x="13"/>
        <item x="2"/>
        <item m="1" x="16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0"/>
        <item x="3"/>
        <item x="8"/>
        <item x="7"/>
        <item x="6"/>
        <item x="9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3"/>
  </rowFields>
  <rowItems count="11">
    <i>
      <x v="2"/>
    </i>
    <i>
      <x v="4"/>
    </i>
    <i>
      <x v="8"/>
    </i>
    <i>
      <x v="10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Cuenta de Billing Request: Billing Request Identifier" fld="2" subtotal="count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6D4B5-BDCA-4748-AD40-8AA8EDA0F3A1}" name="TD4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Q2:R8" firstHeaderRow="1" firstDataRow="1" firstDataCol="1"/>
  <pivotFields count="16">
    <pivotField showAll="0">
      <items count="6">
        <item x="2"/>
        <item x="0"/>
        <item x="3"/>
        <item x="1"/>
        <item x="4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axis="axisRow" showAll="0">
      <items count="6">
        <item x="2"/>
        <item x="4"/>
        <item x="3"/>
        <item x="1"/>
        <item x="0"/>
        <item t="default"/>
      </items>
    </pivotField>
    <pivotField showAll="0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Billing Request: Billing Request Identifier"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C7AC4-A9A4-4D32-9D46-BBF4F035BE39}" name="TD7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D2:AE8" firstHeaderRow="1" firstDataRow="1" firstDataCol="1"/>
  <pivotFields count="16">
    <pivotField showAll="0">
      <items count="6">
        <item x="2"/>
        <item x="0"/>
        <item x="3"/>
        <item x="1"/>
        <item x="4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axis="axisRow"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Billing Request: Billing Request Identifier" fld="2" subtotal="count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51DD5F-28C8-4E01-8BF9-ACC401BC0BB1}" name="TD6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Z2:AA20" firstHeaderRow="1" firstDataRow="1" firstDataCol="1"/>
  <pivotFields count="16">
    <pivotField showAll="0">
      <items count="6">
        <item x="2"/>
        <item x="0"/>
        <item x="3"/>
        <item x="1"/>
        <item x="4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>
      <items count="3">
        <item x="0"/>
        <item x="1"/>
        <item t="default"/>
      </items>
    </pivotField>
  </pivotFields>
  <rowFields count="1">
    <field x="13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uenta de Billing Request: Billing Request Identifier" fld="2" subtotal="count" baseField="13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8A34C-7D53-49EB-9945-50E6D2436AE7}" name="TD3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M2:N10" firstHeaderRow="1" firstDataRow="1" firstDataCol="1"/>
  <pivotFields count="16">
    <pivotField showAll="0">
      <items count="6">
        <item x="2"/>
        <item x="0"/>
        <item x="3"/>
        <item x="1"/>
        <item x="4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axis="axisRow" showAll="0">
      <items count="24">
        <item m="1" x="7"/>
        <item m="1" x="9"/>
        <item m="1" x="8"/>
        <item m="1" x="11"/>
        <item x="6"/>
        <item m="1" x="10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x="0"/>
        <item x="3"/>
        <item x="2"/>
        <item x="4"/>
        <item x="5"/>
        <item x="1"/>
        <item t="default"/>
      </items>
    </pivotField>
    <pivotField showAll="0"/>
    <pivotField showAll="0"/>
    <pivotField showAll="0"/>
    <pivotField showAll="0"/>
    <pivotField showAll="0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8"/>
  </rowFields>
  <rowItems count="8">
    <i>
      <x v="4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Cuenta de Billing Request: Billing Request Identifier" fld="2" subtotal="count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013252-3354-4393-9BA5-67A255821D3F}" name="TD2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I2:J8" firstHeaderRow="1" firstDataRow="1" firstDataCol="1"/>
  <pivotFields count="16">
    <pivotField axis="axisRow" showAll="0">
      <items count="6">
        <item x="0"/>
        <item x="1"/>
        <item x="4"/>
        <item x="3"/>
        <item x="2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5">
        <item x="0"/>
        <item x="6"/>
        <item x="13"/>
        <item x="3"/>
        <item x="4"/>
        <item x="9"/>
        <item x="12"/>
        <item x="8"/>
        <item x="14"/>
        <item x="5"/>
        <item x="15"/>
        <item x="11"/>
        <item x="7"/>
        <item x="1"/>
        <item x="2"/>
        <item x="10"/>
        <item x="16"/>
        <item m="1" x="23"/>
        <item m="1" x="19"/>
        <item m="1" x="21"/>
        <item m="1" x="22"/>
        <item m="1" x="17"/>
        <item m="1" x="18"/>
        <item m="1" x="20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Billing Request: Billing Request Identifier" fld="2" subtotal="count" baseField="0" baseItem="0"/>
  </dataFields>
  <chartFormats count="1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4F6A52-1BFD-45BB-B1ED-12C9519FC134}" name="TD1" cacheId="3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2:G21" firstHeaderRow="1" firstDataRow="2" firstDataCol="1"/>
  <pivotFields count="16">
    <pivotField axis="axisCol" showAll="0">
      <items count="6">
        <item x="0"/>
        <item x="1"/>
        <item x="4"/>
        <item x="3"/>
        <item x="2"/>
        <item t="default"/>
      </items>
    </pivotField>
    <pivotField showAll="0"/>
    <pivotField dataField="1" showAll="0"/>
    <pivotField showAll="0">
      <items count="33">
        <item m="1" x="31"/>
        <item x="8"/>
        <item x="7"/>
        <item m="1" x="10"/>
        <item m="1" x="28"/>
        <item m="1" x="15"/>
        <item m="1" x="19"/>
        <item m="1" x="22"/>
        <item m="1" x="26"/>
        <item x="1"/>
        <item m="1" x="20"/>
        <item x="2"/>
        <item m="1" x="17"/>
        <item x="4"/>
        <item m="1" x="18"/>
        <item m="1" x="12"/>
        <item m="1" x="25"/>
        <item m="1" x="24"/>
        <item m="1" x="21"/>
        <item x="0"/>
        <item x="6"/>
        <item m="1" x="14"/>
        <item m="1" x="11"/>
        <item m="1" x="16"/>
        <item x="9"/>
        <item m="1" x="23"/>
        <item m="1" x="30"/>
        <item m="1" x="29"/>
        <item x="3"/>
        <item m="1" x="27"/>
        <item x="5"/>
        <item m="1" x="13"/>
        <item t="default"/>
      </items>
    </pivotField>
    <pivotField numFmtId="14" showAll="0"/>
    <pivotField numFmtId="14" showAll="0"/>
    <pivotField showAll="0">
      <items count="7">
        <item m="1" x="3"/>
        <item m="1" x="4"/>
        <item x="1"/>
        <item x="2"/>
        <item x="0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5">
        <item x="8"/>
        <item x="14"/>
        <item x="5"/>
        <item x="15"/>
        <item x="11"/>
        <item x="7"/>
        <item x="1"/>
        <item x="2"/>
        <item x="10"/>
        <item x="0"/>
        <item x="4"/>
        <item x="16"/>
        <item x="9"/>
        <item x="3"/>
        <item x="13"/>
        <item x="12"/>
        <item x="6"/>
        <item m="1" x="17"/>
        <item m="1" x="18"/>
        <item m="1" x="19"/>
        <item m="1" x="20"/>
        <item m="1" x="21"/>
        <item m="1" x="22"/>
        <item m="1" x="23"/>
        <item t="default"/>
      </items>
    </pivotField>
    <pivotField showAll="0">
      <items count="6">
        <item x="0"/>
        <item x="2"/>
        <item x="1"/>
        <item x="3"/>
        <item x="4"/>
        <item t="default"/>
      </items>
    </pivotField>
    <pivotField showAll="0"/>
  </pivotFields>
  <rowFields count="1">
    <field x="13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uenta de Billing Request: Billing Request Identifier" fld="2" subtotal="count" baseField="0" baseItem="0"/>
  </dataFields>
  <chartFormats count="12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2F17D71-40BA-4092-8EBF-EA82C0A064D6}" autoFormatId="16" applyNumberFormats="0" applyBorderFormats="0" applyFontFormats="0" applyPatternFormats="0" applyAlignmentFormats="0" applyWidthHeightFormats="0">
  <queryTableRefresh nextId="17">
    <queryTableFields count="16">
      <queryTableField id="1" name="Status" tableColumnId="1"/>
      <queryTableField id="2" name="Opportunity" tableColumnId="2"/>
      <queryTableField id="3" name="Billing Request: Billing Request Identifier" tableColumnId="3"/>
      <queryTableField id="4" name="Billing Request: Created By" tableColumnId="4"/>
      <queryTableField id="5" name="Billing Request: Created Date" tableColumnId="5"/>
      <queryTableField id="6" name="Billing Request: Last Modified Date" tableColumnId="6"/>
      <queryTableField id="7" name="Purpose of Request" tableColumnId="7"/>
      <queryTableField id="8" name="Billing Request: ID" tableColumnId="8"/>
      <queryTableField id="9" name="Defect Reason Codes" tableColumnId="9"/>
      <queryTableField id="10" name="Months of Service" tableColumnId="10"/>
      <queryTableField id="11" name="Defect Root Cause" tableColumnId="11"/>
      <queryTableField id="12" name="Days to Resolve" tableColumnId="12"/>
      <queryTableField id="13" name="SLA_Bucket" tableColumnId="13"/>
      <queryTableField id="14" name="Year-Month" tableColumnId="14"/>
      <queryTableField id="15" name="Opportunity Category" tableColumnId="15"/>
      <queryTableField id="16" name="Year" tableColumnId="1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" xr10:uid="{99319720-743C-4D04-AB88-186907CBFADA}" sourceName="Year">
  <pivotTables>
    <pivotTable tabId="10" name="TD6"/>
  </pivotTables>
  <data>
    <tabular pivotCacheId="1978331899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portunity_Category" xr10:uid="{18ECA4DB-C9C8-44D9-A6A1-3FB088DAC993}" sourceName="Opportunity Category">
  <pivotTables>
    <pivotTable tabId="10" name="TD7"/>
    <pivotTable tabId="10" name="TD1"/>
    <pivotTable tabId="10" name="TD2"/>
    <pivotTable tabId="10" name="TD3"/>
    <pivotTable tabId="10" name="TD4"/>
    <pivotTable tabId="10" name="TD5"/>
    <pivotTable tabId="10" name="TD6"/>
  </pivotTables>
  <data>
    <tabular pivotCacheId="1978331899">
      <items count="5">
        <i x="0" s="1"/>
        <i x="2" s="1"/>
        <i x="1" s="1"/>
        <i x="3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tatus" xr10:uid="{39EE1CE7-F4F5-42D6-AE39-B3CE2A1D4D66}" sourceName="Status">
  <pivotTables>
    <pivotTable tabId="10" name="TD1"/>
    <pivotTable tabId="10" name="TD2"/>
    <pivotTable tabId="10" name="TD3"/>
    <pivotTable tabId="10" name="TD4"/>
    <pivotTable tabId="10" name="TD5"/>
    <pivotTable tabId="10" name="TD6"/>
    <pivotTable tabId="10" name="TD7"/>
  </pivotTables>
  <data>
    <tabular pivotCacheId="1978331899">
      <items count="5">
        <i x="2" s="1"/>
        <i x="0" s="1"/>
        <i x="3" s="1"/>
        <i x="1" s="1"/>
        <i x="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urpose_of_Request" xr10:uid="{5B0606C4-4E47-434B-8553-F097E1D1EA26}" sourceName="Purpose of Request">
  <pivotTables>
    <pivotTable tabId="10" name="TD7"/>
    <pivotTable tabId="10" name="TD1"/>
    <pivotTable tabId="10" name="TD2"/>
    <pivotTable tabId="10" name="TD3"/>
    <pivotTable tabId="10" name="TD4"/>
    <pivotTable tabId="10" name="TD5"/>
    <pivotTable tabId="10" name="TD6"/>
  </pivotTables>
  <data>
    <tabular pivotCacheId="1978331899">
      <items count="6">
        <i x="1" s="1"/>
        <i x="2" s="1"/>
        <i x="0" s="1"/>
        <i x="3" s="1" nd="1"/>
        <i x="4" s="1" nd="1"/>
        <i x="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_Month" xr10:uid="{A6A5469A-4895-450B-8029-6B4790293232}" sourceName="Year-Month">
  <pivotTables>
    <pivotTable tabId="10" name="TD7"/>
    <pivotTable tabId="10" name="TD1"/>
    <pivotTable tabId="10" name="TD2"/>
    <pivotTable tabId="10" name="TD3"/>
    <pivotTable tabId="10" name="TD4"/>
    <pivotTable tabId="10" name="TD5"/>
    <pivotTable tabId="10" name="TD6"/>
  </pivotTables>
  <data>
    <tabular pivotCacheId="1978331899">
      <items count="24">
        <i x="0" s="1"/>
        <i x="6" s="1"/>
        <i x="13" s="1"/>
        <i x="3" s="1"/>
        <i x="4" s="1"/>
        <i x="9" s="1"/>
        <i x="12" s="1"/>
        <i x="8" s="1"/>
        <i x="14" s="1"/>
        <i x="5" s="1"/>
        <i x="15" s="1"/>
        <i x="11" s="1"/>
        <i x="7" s="1"/>
        <i x="1" s="1"/>
        <i x="2" s="1"/>
        <i x="10" s="1"/>
        <i x="16" s="1"/>
        <i x="23" s="1" nd="1"/>
        <i x="19" s="1" nd="1"/>
        <i x="21" s="1" nd="1"/>
        <i x="22" s="1" nd="1"/>
        <i x="17" s="1" nd="1"/>
        <i x="18" s="1" nd="1"/>
        <i x="2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illing_Request__Created_By" xr10:uid="{330F0617-5A61-42C1-B548-8A5489D5E9F0}" sourceName="Billing Request: Created By">
  <pivotTables>
    <pivotTable tabId="10" name="TD5"/>
    <pivotTable tabId="10" name="TD1"/>
    <pivotTable tabId="10" name="TD2"/>
    <pivotTable tabId="10" name="TD3"/>
    <pivotTable tabId="10" name="TD4"/>
    <pivotTable tabId="10" name="TD6"/>
    <pivotTable tabId="10" name="TD7"/>
  </pivotTables>
  <data>
    <tabular pivotCacheId="1978331899">
      <items count="32">
        <i x="8" s="1"/>
        <i x="7" s="1"/>
        <i x="1" s="1"/>
        <i x="2" s="1"/>
        <i x="4" s="1"/>
        <i x="0" s="1"/>
        <i x="6" s="1"/>
        <i x="9" s="1"/>
        <i x="3" s="1"/>
        <i x="5" s="1"/>
        <i x="31" s="1" nd="1"/>
        <i x="10" s="1" nd="1"/>
        <i x="28" s="1" nd="1"/>
        <i x="15" s="1" nd="1"/>
        <i x="19" s="1" nd="1"/>
        <i x="22" s="1" nd="1"/>
        <i x="26" s="1" nd="1"/>
        <i x="20" s="1" nd="1"/>
        <i x="17" s="1" nd="1"/>
        <i x="18" s="1" nd="1"/>
        <i x="12" s="1" nd="1"/>
        <i x="25" s="1" nd="1"/>
        <i x="24" s="1" nd="1"/>
        <i x="21" s="1" nd="1"/>
        <i x="14" s="1" nd="1"/>
        <i x="11" s="1" nd="1"/>
        <i x="16" s="1" nd="1"/>
        <i x="23" s="1" nd="1"/>
        <i x="30" s="1" nd="1"/>
        <i x="29" s="1" nd="1"/>
        <i x="27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ear" xr10:uid="{88F07C29-7831-47D7-AD77-3AB4EB1DD758}" cache="SegmentaciónDeDatos_Year" caption="Year" columnCount="2" showCaption="0" style="SlicerStyleDark1" rowHeight="241300"/>
  <slicer name="Opportunity Category" xr10:uid="{54B60EBE-6770-4C6E-9F70-AC033C0E152F}" cache="SegmentaciónDeDatos_Opportunity_Category" caption="Opportunity Category" style="SlicerStyleDark1" rowHeight="241300"/>
  <slicer name="Status" xr10:uid="{F9B7C762-EFC8-4242-AD92-CE935B683A99}" cache="SegmentaciónDeDatos_Status" caption="Status" style="SlicerStyleDark1" rowHeight="241300"/>
  <slicer name="Purpose of Request" xr10:uid="{28B5DE6D-C1E8-4BF3-A759-3564CCF6A16B}" cache="SegmentaciónDeDatos_Purpose_of_Request" caption="Purpose of Request" style="SlicerStyleDark1" rowHeight="241300"/>
  <slicer name="Year-Month" xr10:uid="{6692CCA3-FCEB-470E-9596-9E891EC19269}" cache="SegmentaciónDeDatos_Year_Month" caption="Year-Month" startItem="10" style="SlicerStyleDark1" rowHeight="241300"/>
  <slicer name="Billing Request: Created By" xr10:uid="{8D504E4B-E716-44A3-A633-0F30FD4D825C}" cache="SegmentaciónDeDatos_Billing_Request__Created_By" caption="Created By" startItem="7" style="SlicerStyleDark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06CF07-6A9C-4C76-9A3F-48BC1E20F8D1}" name="GAb" displayName="GAb" ref="A1:P3516" tableType="queryTable" totalsRowShown="0">
  <autoFilter ref="A1:P3516" xr:uid="{1206CF07-6A9C-4C76-9A3F-48BC1E20F8D1}">
    <filterColumn colId="4">
      <filters>
        <dateGroupItem year="2026" dateTimeGrouping="year"/>
      </filters>
    </filterColumn>
  </autoFilter>
  <tableColumns count="16">
    <tableColumn id="1" xr3:uid="{DACBE12A-702B-4EA0-AFE7-D8A7AAE837CD}" uniqueName="1" name="Status" queryTableFieldId="1" dataDxfId="10"/>
    <tableColumn id="2" xr3:uid="{EE0451F2-B592-4733-B885-ACE2127B4FC3}" uniqueName="2" name="Opportunity" queryTableFieldId="2" dataDxfId="9"/>
    <tableColumn id="3" xr3:uid="{DADCA2CE-AFFD-47DF-A0CE-706A22F5B024}" uniqueName="3" name="Billing Request: Billing Request Identifier" queryTableFieldId="3" dataDxfId="8"/>
    <tableColumn id="4" xr3:uid="{D2A3C7F2-8E5D-4CB5-8599-ECB18D9C1606}" uniqueName="4" name="Billing Request: Created By" queryTableFieldId="4" dataDxfId="7"/>
    <tableColumn id="5" xr3:uid="{0E8FE6A8-F43D-49F9-818F-677EC40CEFB7}" uniqueName="5" name="Billing Request: Created Date" queryTableFieldId="5" dataDxfId="6"/>
    <tableColumn id="6" xr3:uid="{937E8E71-68E7-4213-875C-37BA934BC287}" uniqueName="6" name="Billing Request: Last Modified Date" queryTableFieldId="6" dataDxfId="5"/>
    <tableColumn id="7" xr3:uid="{8FE2680A-0CDB-4F89-8BE2-9C1D7D270963}" uniqueName="7" name="Purpose of Request" queryTableFieldId="7" dataDxfId="4"/>
    <tableColumn id="8" xr3:uid="{7EAA1F5A-31B0-4098-A774-BA448B1AB770}" uniqueName="8" name="Billing Request: ID" queryTableFieldId="8" dataDxfId="3"/>
    <tableColumn id="9" xr3:uid="{20B7B111-7215-43BF-AFB3-3873F1D91399}" uniqueName="9" name="Defect Reason Codes" queryTableFieldId="9" dataDxfId="2"/>
    <tableColumn id="10" xr3:uid="{0228597E-6233-4AC1-A107-E6FFA3BE1FFA}" uniqueName="10" name="Months of Service" queryTableFieldId="10" dataDxfId="1"/>
    <tableColumn id="11" xr3:uid="{FABA0070-964B-4526-8021-DBD4952162E4}" uniqueName="11" name="Defect Root Cause" queryTableFieldId="11" dataDxfId="0"/>
    <tableColumn id="12" xr3:uid="{669EF077-32B8-4BB4-A54C-A9FDCB710985}" uniqueName="12" name="Days to Resolve" queryTableFieldId="12"/>
    <tableColumn id="13" xr3:uid="{BAC171FC-A323-44FC-A671-914269014E23}" uniqueName="13" name="SLA_Bucket" queryTableFieldId="13"/>
    <tableColumn id="14" xr3:uid="{A9225FC1-1B74-4AA2-BEC8-D8AAF00342C3}" uniqueName="14" name="Year-Month" queryTableFieldId="14"/>
    <tableColumn id="15" xr3:uid="{3A8BDF87-7906-474C-874A-2B27D47D43E1}" uniqueName="15" name="Opportunity Category" queryTableFieldId="15"/>
    <tableColumn id="16" xr3:uid="{D1606300-E7E1-493F-BE72-8D903BCB3AD3}" uniqueName="16" name="Year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1F3864"/>
  </sheetPr>
  <dimension ref="B1:Y62"/>
  <sheetViews>
    <sheetView showGridLines="0" tabSelected="1" topLeftCell="A7" zoomScale="80" zoomScaleNormal="80" workbookViewId="0">
      <selection activeCell="L23" sqref="L23"/>
    </sheetView>
  </sheetViews>
  <sheetFormatPr baseColWidth="10" defaultColWidth="8.7109375" defaultRowHeight="15" x14ac:dyDescent="0.25"/>
  <cols>
    <col min="1" max="1" width="2.5703125" customWidth="1"/>
    <col min="5" max="5" width="3.28515625" customWidth="1"/>
    <col min="6" max="21" width="11.42578125" customWidth="1"/>
    <col min="22" max="22" width="1.5703125" customWidth="1"/>
    <col min="23" max="23" width="11.42578125" customWidth="1"/>
    <col min="25" max="25" width="23.85546875" customWidth="1"/>
  </cols>
  <sheetData>
    <row r="1" spans="2:25" ht="42" customHeight="1" x14ac:dyDescent="0.25">
      <c r="B1" s="61" t="s">
        <v>44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</row>
    <row r="2" spans="2:25" ht="9.75" customHeight="1" x14ac:dyDescent="0.25"/>
    <row r="3" spans="2:25" ht="21.75" customHeight="1" x14ac:dyDescent="0.25">
      <c r="G3" s="55" t="s">
        <v>45</v>
      </c>
      <c r="H3" s="56"/>
      <c r="I3" s="56"/>
      <c r="J3" s="63"/>
      <c r="K3" s="55" t="s">
        <v>46</v>
      </c>
      <c r="L3" s="56"/>
      <c r="M3" s="56"/>
      <c r="N3" s="63"/>
      <c r="O3" s="55" t="s">
        <v>47</v>
      </c>
      <c r="P3" s="56"/>
      <c r="Q3" s="56"/>
      <c r="R3" s="63"/>
      <c r="S3" s="55" t="s">
        <v>48</v>
      </c>
      <c r="T3" s="56"/>
      <c r="U3" s="56"/>
      <c r="V3" s="56"/>
    </row>
    <row r="4" spans="2:25" ht="24.75" customHeight="1" x14ac:dyDescent="0.25">
      <c r="G4" s="64">
        <f>COUNTA(GAb[Billing Request: Billing Request Identifier])</f>
        <v>3515</v>
      </c>
      <c r="H4" s="65"/>
      <c r="I4" s="65"/>
      <c r="J4" s="66"/>
      <c r="K4" s="64">
        <f>COUNTIF(GAb[Status],"*Complete*")</f>
        <v>2769</v>
      </c>
      <c r="L4" s="65"/>
      <c r="M4" s="65"/>
      <c r="N4" s="66"/>
      <c r="O4" s="64">
        <f>COUNTIF(GAb[Status],"&lt;&gt;*Complete*")</f>
        <v>746</v>
      </c>
      <c r="P4" s="65"/>
      <c r="Q4" s="65"/>
      <c r="R4" s="66"/>
      <c r="S4" s="57">
        <f>IFERROR(
AVERAGEIF(
GAb[Status],"*Complete*",
GAb[Days to Resolve]
),
0
)</f>
        <v>54.239436619718312</v>
      </c>
      <c r="T4" s="58"/>
      <c r="U4" s="58"/>
      <c r="V4" s="58"/>
    </row>
    <row r="5" spans="2:25" ht="19.5" customHeight="1" x14ac:dyDescent="0.25">
      <c r="G5" s="59" t="s">
        <v>49</v>
      </c>
      <c r="H5" s="60"/>
      <c r="I5" s="60"/>
      <c r="J5" s="67"/>
      <c r="K5" s="68">
        <f>IFERROR(
COUNTIF(GAb[Status],"*Complete*") /
COUNTA(GAb[Billing Request: Billing Request Identifier]),
0
)</f>
        <v>0.78776671408250354</v>
      </c>
      <c r="L5" s="69"/>
      <c r="M5" s="69"/>
      <c r="N5" s="70"/>
      <c r="O5" s="68">
        <f>IFERROR(
COUNTIF(GAb[Status],"&lt;&gt;*Complete*") /
COUNTA(GAb[Billing Request: Billing Request Identifier]),
0
)</f>
        <v>0.21223328591749643</v>
      </c>
      <c r="P5" s="69"/>
      <c r="Q5" s="69"/>
      <c r="R5" s="70"/>
      <c r="S5" s="59" t="s">
        <v>50</v>
      </c>
      <c r="T5" s="60"/>
      <c r="U5" s="60"/>
      <c r="V5" s="60"/>
    </row>
    <row r="6" spans="2:25" ht="13.5" customHeight="1" x14ac:dyDescent="0.25"/>
    <row r="7" spans="2:25" ht="7.5" customHeight="1" x14ac:dyDescent="0.25"/>
    <row r="8" spans="2:25" ht="24" customHeight="1" x14ac:dyDescent="0.25">
      <c r="F8" s="71" t="s">
        <v>179</v>
      </c>
      <c r="G8" s="73"/>
      <c r="H8" s="73"/>
      <c r="I8" s="73"/>
      <c r="J8" s="73"/>
      <c r="K8" s="73"/>
      <c r="M8" s="71" t="s">
        <v>51</v>
      </c>
      <c r="N8" s="73"/>
      <c r="O8" s="73"/>
      <c r="P8" s="73"/>
      <c r="Q8" s="73"/>
      <c r="R8" s="73"/>
      <c r="T8" s="71" t="s">
        <v>154</v>
      </c>
      <c r="U8" s="73"/>
      <c r="V8" s="73"/>
      <c r="W8" s="73"/>
      <c r="X8" s="73"/>
      <c r="Y8" s="73"/>
    </row>
    <row r="9" spans="2:25" ht="18" customHeight="1" x14ac:dyDescent="0.25"/>
    <row r="10" spans="2:25" ht="18" customHeight="1" x14ac:dyDescent="0.25"/>
    <row r="11" spans="2:25" ht="18" customHeight="1" x14ac:dyDescent="0.25"/>
    <row r="12" spans="2:25" ht="18" customHeight="1" x14ac:dyDescent="0.25"/>
    <row r="13" spans="2:25" ht="18" customHeight="1" x14ac:dyDescent="0.25"/>
    <row r="14" spans="2:25" ht="18" customHeight="1" x14ac:dyDescent="0.25"/>
    <row r="15" spans="2:25" ht="18" customHeight="1" x14ac:dyDescent="0.25"/>
    <row r="16" spans="2:25" ht="18" customHeight="1" x14ac:dyDescent="0.25"/>
    <row r="17" spans="6:25" ht="18" customHeight="1" x14ac:dyDescent="0.25"/>
    <row r="18" spans="6:25" ht="18" customHeight="1" x14ac:dyDescent="0.25"/>
    <row r="19" spans="6:25" ht="18" customHeight="1" x14ac:dyDescent="0.25"/>
    <row r="20" spans="6:25" ht="18" customHeight="1" x14ac:dyDescent="0.25"/>
    <row r="21" spans="6:25" ht="18" customHeight="1" x14ac:dyDescent="0.25">
      <c r="S21" t="s">
        <v>166</v>
      </c>
    </row>
    <row r="22" spans="6:25" ht="9.75" customHeight="1" x14ac:dyDescent="0.25"/>
    <row r="23" spans="6:25" ht="24" customHeight="1" x14ac:dyDescent="0.25">
      <c r="F23" s="71" t="s">
        <v>180</v>
      </c>
      <c r="G23" s="73"/>
      <c r="H23" s="73"/>
      <c r="I23" s="73"/>
      <c r="J23" s="73"/>
      <c r="K23" s="73"/>
      <c r="M23" s="71" t="s">
        <v>52</v>
      </c>
      <c r="N23" s="73"/>
      <c r="O23" s="73"/>
      <c r="P23" s="73"/>
      <c r="Q23" s="73"/>
      <c r="R23" s="73"/>
      <c r="T23" s="71" t="s">
        <v>155</v>
      </c>
      <c r="U23" s="73"/>
      <c r="V23" s="73"/>
      <c r="W23" s="73"/>
      <c r="X23" s="73"/>
      <c r="Y23" s="73"/>
    </row>
    <row r="24" spans="6:25" ht="18" customHeight="1" x14ac:dyDescent="0.25"/>
    <row r="25" spans="6:25" ht="18" customHeight="1" x14ac:dyDescent="0.25"/>
    <row r="26" spans="6:25" ht="18" customHeight="1" x14ac:dyDescent="0.25"/>
    <row r="27" spans="6:25" ht="18" customHeight="1" x14ac:dyDescent="0.25"/>
    <row r="28" spans="6:25" ht="18" customHeight="1" x14ac:dyDescent="0.25"/>
    <row r="29" spans="6:25" ht="18" customHeight="1" x14ac:dyDescent="0.25"/>
    <row r="30" spans="6:25" ht="18" customHeight="1" x14ac:dyDescent="0.25"/>
    <row r="31" spans="6:25" ht="18" customHeight="1" x14ac:dyDescent="0.25"/>
    <row r="32" spans="6:25" ht="18" customHeight="1" x14ac:dyDescent="0.25"/>
    <row r="33" spans="6:25" ht="18" customHeight="1" x14ac:dyDescent="0.25"/>
    <row r="34" spans="6:25" ht="18" customHeight="1" x14ac:dyDescent="0.25"/>
    <row r="35" spans="6:25" ht="18" customHeight="1" x14ac:dyDescent="0.25"/>
    <row r="36" spans="6:25" ht="18" customHeight="1" x14ac:dyDescent="0.25"/>
    <row r="37" spans="6:25" ht="9.75" customHeight="1" x14ac:dyDescent="0.25"/>
    <row r="38" spans="6:25" ht="24" customHeight="1" x14ac:dyDescent="0.25">
      <c r="F38" s="71" t="s">
        <v>53</v>
      </c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</row>
    <row r="39" spans="6:25" ht="18" customHeight="1" x14ac:dyDescent="0.25"/>
    <row r="40" spans="6:25" ht="18" customHeight="1" x14ac:dyDescent="0.25"/>
    <row r="41" spans="6:25" ht="18" customHeight="1" x14ac:dyDescent="0.25"/>
    <row r="42" spans="6:25" ht="18" customHeight="1" x14ac:dyDescent="0.25"/>
    <row r="43" spans="6:25" ht="18" customHeight="1" x14ac:dyDescent="0.25"/>
    <row r="44" spans="6:25" ht="18" customHeight="1" x14ac:dyDescent="0.25"/>
    <row r="45" spans="6:25" ht="18" customHeight="1" x14ac:dyDescent="0.25"/>
    <row r="46" spans="6:25" ht="18" customHeight="1" x14ac:dyDescent="0.25"/>
    <row r="47" spans="6:25" ht="18" customHeight="1" x14ac:dyDescent="0.25"/>
    <row r="48" spans="6:25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</sheetData>
  <sheetProtection algorithmName="SHA-512" hashValue="hvSr+KuAu7Gk7JEj4hKy3UWqmPjLLOWpXKZv/Zn0Uw48JCxPmd7nyNuzJKCDfDSOLDdJiQ5rq21nOR+ci0KFMA==" saltValue="04q5yS6EoT1+4IkfK8EAww==" spinCount="100000" sheet="1" selectLockedCells="1" autoFilter="0" pivotTables="0"/>
  <mergeCells count="20">
    <mergeCell ref="F38:Y38"/>
    <mergeCell ref="F8:K8"/>
    <mergeCell ref="F23:K23"/>
    <mergeCell ref="M8:R8"/>
    <mergeCell ref="M23:R23"/>
    <mergeCell ref="T8:Y8"/>
    <mergeCell ref="T23:Y23"/>
    <mergeCell ref="S3:V3"/>
    <mergeCell ref="S4:V4"/>
    <mergeCell ref="S5:V5"/>
    <mergeCell ref="B1:Y1"/>
    <mergeCell ref="G3:J3"/>
    <mergeCell ref="K3:N3"/>
    <mergeCell ref="O3:R3"/>
    <mergeCell ref="G4:J4"/>
    <mergeCell ref="K4:N4"/>
    <mergeCell ref="O4:R4"/>
    <mergeCell ref="G5:J5"/>
    <mergeCell ref="K5:N5"/>
    <mergeCell ref="O5:R5"/>
  </mergeCells>
  <pageMargins left="0.75" right="0.75" top="1" bottom="1" header="0.511811023622047" footer="0.511811023622047"/>
  <pageSetup paperSize="9" orientation="portrait" horizontalDpi="300" verticalDpi="30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808080"/>
  </sheetPr>
  <dimension ref="C1:H37"/>
  <sheetViews>
    <sheetView showGridLines="0" topLeftCell="A18" zoomScaleNormal="100" workbookViewId="0">
      <selection activeCell="H23" sqref="H23"/>
    </sheetView>
  </sheetViews>
  <sheetFormatPr baseColWidth="10" defaultColWidth="8.7109375" defaultRowHeight="15" x14ac:dyDescent="0.25"/>
  <cols>
    <col min="1" max="1" width="2" customWidth="1"/>
    <col min="2" max="2" width="4" customWidth="1"/>
    <col min="3" max="3" width="52" customWidth="1"/>
    <col min="4" max="4" width="4" customWidth="1"/>
    <col min="5" max="5" width="22" customWidth="1"/>
    <col min="6" max="6" width="4" customWidth="1"/>
    <col min="7" max="7" width="2" customWidth="1"/>
    <col min="8" max="8" width="12.5703125" customWidth="1"/>
  </cols>
  <sheetData>
    <row r="1" spans="3:5" ht="37.5" customHeight="1" x14ac:dyDescent="0.25">
      <c r="C1" s="80" t="s">
        <v>54</v>
      </c>
      <c r="D1" s="80"/>
      <c r="E1" s="80"/>
    </row>
    <row r="2" spans="3:5" ht="21.75" customHeight="1" x14ac:dyDescent="0.25">
      <c r="C2" s="55" t="s">
        <v>55</v>
      </c>
      <c r="D2" s="55"/>
      <c r="E2" s="55"/>
    </row>
    <row r="3" spans="3:5" ht="13.5" customHeight="1" x14ac:dyDescent="0.25"/>
    <row r="4" spans="3:5" ht="30" customHeight="1" x14ac:dyDescent="0.25">
      <c r="C4" s="81" t="s">
        <v>56</v>
      </c>
      <c r="D4" s="81"/>
      <c r="E4" s="81"/>
    </row>
    <row r="5" spans="3:5" ht="21.75" customHeight="1" x14ac:dyDescent="0.25">
      <c r="C5" s="77" t="s">
        <v>57</v>
      </c>
      <c r="D5" s="77"/>
      <c r="E5" s="77"/>
    </row>
    <row r="6" spans="3:5" ht="21.75" customHeight="1" x14ac:dyDescent="0.25">
      <c r="C6" s="77"/>
      <c r="D6" s="77"/>
      <c r="E6" s="77"/>
    </row>
    <row r="7" spans="3:5" ht="21.75" customHeight="1" x14ac:dyDescent="0.25">
      <c r="C7" s="77"/>
      <c r="D7" s="77"/>
      <c r="E7" s="77"/>
    </row>
    <row r="8" spans="3:5" ht="21.75" customHeight="1" x14ac:dyDescent="0.25">
      <c r="C8" s="77"/>
      <c r="D8" s="77"/>
      <c r="E8" s="77"/>
    </row>
    <row r="10" spans="3:5" ht="30" customHeight="1" x14ac:dyDescent="0.25">
      <c r="C10" s="82" t="s">
        <v>58</v>
      </c>
      <c r="D10" s="82"/>
      <c r="E10" s="82"/>
    </row>
    <row r="11" spans="3:5" ht="21.75" customHeight="1" x14ac:dyDescent="0.25">
      <c r="C11" s="77" t="s">
        <v>59</v>
      </c>
      <c r="D11" s="77"/>
      <c r="E11" s="77"/>
    </row>
    <row r="12" spans="3:5" ht="21.75" customHeight="1" x14ac:dyDescent="0.25">
      <c r="C12" s="77"/>
      <c r="D12" s="77"/>
      <c r="E12" s="77"/>
    </row>
    <row r="13" spans="3:5" ht="21.75" customHeight="1" x14ac:dyDescent="0.25">
      <c r="C13" s="77"/>
      <c r="D13" s="77"/>
      <c r="E13" s="77"/>
    </row>
    <row r="14" spans="3:5" ht="21.75" customHeight="1" x14ac:dyDescent="0.25">
      <c r="C14" s="77"/>
      <c r="D14" s="77"/>
      <c r="E14" s="77"/>
    </row>
    <row r="16" spans="3:5" ht="30" customHeight="1" x14ac:dyDescent="0.25">
      <c r="C16" s="78" t="s">
        <v>60</v>
      </c>
      <c r="D16" s="78"/>
      <c r="E16" s="78"/>
    </row>
    <row r="17" spans="3:8" ht="21.75" customHeight="1" x14ac:dyDescent="0.25">
      <c r="C17" s="77" t="s">
        <v>61</v>
      </c>
      <c r="D17" s="77"/>
      <c r="E17" s="77"/>
    </row>
    <row r="18" spans="3:8" ht="21.75" customHeight="1" x14ac:dyDescent="0.25">
      <c r="C18" s="77"/>
      <c r="D18" s="77"/>
      <c r="E18" s="77"/>
    </row>
    <row r="19" spans="3:8" ht="21.75" customHeight="1" x14ac:dyDescent="0.25">
      <c r="C19" s="77"/>
      <c r="D19" s="77"/>
      <c r="E19" s="77"/>
    </row>
    <row r="20" spans="3:8" ht="21.75" customHeight="1" x14ac:dyDescent="0.25">
      <c r="C20" s="77"/>
      <c r="D20" s="77"/>
      <c r="E20" s="77"/>
    </row>
    <row r="22" spans="3:8" ht="9.75" customHeight="1" x14ac:dyDescent="0.25"/>
    <row r="23" spans="3:8" ht="27.75" customHeight="1" x14ac:dyDescent="0.25">
      <c r="C23" s="79" t="s">
        <v>62</v>
      </c>
      <c r="D23" s="79"/>
      <c r="E23" s="79"/>
      <c r="H23" t="s">
        <v>178</v>
      </c>
    </row>
    <row r="24" spans="3:8" ht="19.5" customHeight="1" x14ac:dyDescent="0.25">
      <c r="C24" s="74" t="s">
        <v>63</v>
      </c>
      <c r="D24" s="74"/>
      <c r="E24" s="74"/>
    </row>
    <row r="25" spans="3:8" ht="19.5" customHeight="1" x14ac:dyDescent="0.25">
      <c r="C25" s="74" t="s">
        <v>64</v>
      </c>
      <c r="D25" s="74"/>
      <c r="E25" s="74"/>
    </row>
    <row r="26" spans="3:8" ht="19.5" customHeight="1" x14ac:dyDescent="0.25">
      <c r="C26" s="74" t="s">
        <v>65</v>
      </c>
      <c r="D26" s="74"/>
      <c r="E26" s="74"/>
    </row>
    <row r="27" spans="3:8" ht="19.5" customHeight="1" x14ac:dyDescent="0.25">
      <c r="C27" s="74" t="s">
        <v>66</v>
      </c>
      <c r="D27" s="74"/>
      <c r="E27" s="74"/>
    </row>
    <row r="28" spans="3:8" ht="19.5" customHeight="1" x14ac:dyDescent="0.25">
      <c r="C28" s="74" t="s">
        <v>67</v>
      </c>
      <c r="D28" s="74"/>
      <c r="E28" s="74"/>
    </row>
    <row r="30" spans="3:8" ht="25.5" customHeight="1" x14ac:dyDescent="0.25">
      <c r="C30" s="75" t="s">
        <v>68</v>
      </c>
      <c r="D30" s="76"/>
      <c r="E30" s="76"/>
      <c r="F30" s="76"/>
      <c r="G30" s="76"/>
      <c r="H30" s="76"/>
    </row>
    <row r="31" spans="3:8" ht="19.5" customHeight="1" x14ac:dyDescent="0.25">
      <c r="C31" s="1" t="s">
        <v>69</v>
      </c>
      <c r="E31" s="2" t="s">
        <v>70</v>
      </c>
      <c r="F31" s="2"/>
      <c r="G31" s="2"/>
      <c r="H31" s="2"/>
    </row>
    <row r="32" spans="3:8" ht="19.5" customHeight="1" x14ac:dyDescent="0.25">
      <c r="C32" s="3" t="s">
        <v>71</v>
      </c>
      <c r="E32" s="2" t="s">
        <v>72</v>
      </c>
      <c r="F32" s="2"/>
      <c r="G32" s="2"/>
      <c r="H32" s="2"/>
    </row>
    <row r="33" spans="3:8" ht="19.5" customHeight="1" x14ac:dyDescent="0.25">
      <c r="C33" s="4" t="s">
        <v>73</v>
      </c>
      <c r="E33" s="2" t="s">
        <v>74</v>
      </c>
      <c r="F33" s="2"/>
      <c r="G33" s="2"/>
      <c r="H33" s="2"/>
    </row>
    <row r="34" spans="3:8" ht="19.5" customHeight="1" x14ac:dyDescent="0.25">
      <c r="C34" s="4" t="s">
        <v>75</v>
      </c>
      <c r="E34" s="2" t="s">
        <v>76</v>
      </c>
      <c r="F34" s="2"/>
      <c r="G34" s="2"/>
      <c r="H34" s="2"/>
    </row>
    <row r="35" spans="3:8" ht="19.5" customHeight="1" x14ac:dyDescent="0.25">
      <c r="C35" s="5" t="s">
        <v>77</v>
      </c>
      <c r="E35" s="2" t="s">
        <v>78</v>
      </c>
      <c r="F35" s="2"/>
      <c r="G35" s="2"/>
      <c r="H35" s="2"/>
    </row>
    <row r="36" spans="3:8" ht="19.5" customHeight="1" x14ac:dyDescent="0.25">
      <c r="C36" s="6" t="s">
        <v>79</v>
      </c>
      <c r="E36" s="2" t="s">
        <v>80</v>
      </c>
      <c r="F36" s="2"/>
      <c r="G36" s="2"/>
      <c r="H36" s="2"/>
    </row>
    <row r="37" spans="3:8" ht="19.5" customHeight="1" x14ac:dyDescent="0.25">
      <c r="C37" s="7" t="s">
        <v>81</v>
      </c>
      <c r="E37" s="2" t="s">
        <v>82</v>
      </c>
      <c r="F37" s="2"/>
      <c r="G37" s="2"/>
      <c r="H37" s="2"/>
    </row>
  </sheetData>
  <mergeCells count="15">
    <mergeCell ref="C1:E1"/>
    <mergeCell ref="C2:E2"/>
    <mergeCell ref="C4:E4"/>
    <mergeCell ref="C5:E8"/>
    <mergeCell ref="C10:E10"/>
    <mergeCell ref="C11:E14"/>
    <mergeCell ref="C16:E16"/>
    <mergeCell ref="C17:E20"/>
    <mergeCell ref="C23:E23"/>
    <mergeCell ref="C24:E24"/>
    <mergeCell ref="C25:E25"/>
    <mergeCell ref="C26:E26"/>
    <mergeCell ref="C27:E27"/>
    <mergeCell ref="C28:E28"/>
    <mergeCell ref="C30:H30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2E75B6"/>
  </sheetPr>
  <dimension ref="A1:R3516"/>
  <sheetViews>
    <sheetView zoomScale="80" zoomScaleNormal="80" workbookViewId="0">
      <pane ySplit="1" topLeftCell="A401" activePane="bottomLeft" state="frozen"/>
      <selection pane="bottomLeft" activeCell="O1" sqref="O1"/>
    </sheetView>
  </sheetViews>
  <sheetFormatPr baseColWidth="10" defaultColWidth="8.7109375" defaultRowHeight="15" x14ac:dyDescent="0.25"/>
  <cols>
    <col min="1" max="1" width="26.5703125" bestFit="1" customWidth="1"/>
    <col min="2" max="2" width="33.7109375" bestFit="1" customWidth="1"/>
    <col min="3" max="3" width="40.85546875" bestFit="1" customWidth="1"/>
    <col min="4" max="4" width="28.42578125" bestFit="1" customWidth="1"/>
    <col min="5" max="5" width="30.28515625" bestFit="1" customWidth="1"/>
    <col min="6" max="6" width="35.7109375" bestFit="1" customWidth="1"/>
    <col min="7" max="7" width="32.85546875" bestFit="1" customWidth="1"/>
    <col min="8" max="8" width="20.5703125" bestFit="1" customWidth="1"/>
    <col min="9" max="9" width="32.42578125" bestFit="1" customWidth="1"/>
    <col min="10" max="10" width="20" bestFit="1" customWidth="1"/>
    <col min="11" max="11" width="52" bestFit="1" customWidth="1"/>
    <col min="12" max="12" width="18.42578125" bestFit="1" customWidth="1"/>
    <col min="13" max="14" width="14.42578125" bestFit="1" customWidth="1"/>
    <col min="15" max="15" width="23.140625" bestFit="1" customWidth="1"/>
    <col min="16" max="16" width="8" bestFit="1" customWidth="1"/>
  </cols>
  <sheetData>
    <row r="1" spans="1:18" x14ac:dyDescent="0.25">
      <c r="A1" t="s">
        <v>5</v>
      </c>
      <c r="B1" t="s">
        <v>83</v>
      </c>
      <c r="C1" t="s">
        <v>159</v>
      </c>
      <c r="D1" t="s">
        <v>160</v>
      </c>
      <c r="E1" t="s">
        <v>161</v>
      </c>
      <c r="F1" t="s">
        <v>162</v>
      </c>
      <c r="G1" t="s">
        <v>84</v>
      </c>
      <c r="H1" t="s">
        <v>156</v>
      </c>
      <c r="I1" t="s">
        <v>163</v>
      </c>
      <c r="J1" t="s">
        <v>86</v>
      </c>
      <c r="K1" t="s">
        <v>87</v>
      </c>
      <c r="L1" t="s">
        <v>88</v>
      </c>
      <c r="M1" t="s">
        <v>158</v>
      </c>
      <c r="N1" t="s">
        <v>89</v>
      </c>
      <c r="O1" t="s">
        <v>153</v>
      </c>
      <c r="P1" t="s">
        <v>167</v>
      </c>
    </row>
    <row r="2" spans="1:18" hidden="1" x14ac:dyDescent="0.25">
      <c r="A2" s="96" t="s">
        <v>2</v>
      </c>
      <c r="B2" s="96" t="s">
        <v>206</v>
      </c>
      <c r="C2" s="96" t="s">
        <v>191</v>
      </c>
      <c r="D2" s="96" t="s">
        <v>192</v>
      </c>
      <c r="E2" s="43">
        <v>45670</v>
      </c>
      <c r="F2" s="43">
        <v>45765</v>
      </c>
      <c r="G2" s="96" t="s">
        <v>90</v>
      </c>
      <c r="H2" s="96" t="s">
        <v>193</v>
      </c>
      <c r="I2" s="96" t="s">
        <v>194</v>
      </c>
      <c r="J2" s="96" t="s">
        <v>177</v>
      </c>
      <c r="K2" s="96" t="s">
        <v>195</v>
      </c>
      <c r="L2">
        <v>95</v>
      </c>
      <c r="M2" t="s">
        <v>28</v>
      </c>
      <c r="N2" t="s">
        <v>181</v>
      </c>
      <c r="O2" t="s">
        <v>152</v>
      </c>
      <c r="P2">
        <v>2025</v>
      </c>
    </row>
    <row r="3" spans="1:18" x14ac:dyDescent="0.25">
      <c r="A3" s="96" t="s">
        <v>2</v>
      </c>
      <c r="B3" s="96" t="s">
        <v>196</v>
      </c>
      <c r="C3" s="96" t="s">
        <v>197</v>
      </c>
      <c r="D3" s="96" t="s">
        <v>14</v>
      </c>
      <c r="E3" s="43">
        <v>46063</v>
      </c>
      <c r="F3" s="43">
        <v>46148</v>
      </c>
      <c r="G3" s="96" t="s">
        <v>95</v>
      </c>
      <c r="H3" s="96" t="s">
        <v>198</v>
      </c>
      <c r="I3" s="96" t="s">
        <v>194</v>
      </c>
      <c r="J3" s="96" t="s">
        <v>199</v>
      </c>
      <c r="K3" s="96" t="s">
        <v>200</v>
      </c>
      <c r="L3">
        <v>85</v>
      </c>
      <c r="M3" t="s">
        <v>28</v>
      </c>
      <c r="N3" t="s">
        <v>32</v>
      </c>
      <c r="O3" t="s">
        <v>152</v>
      </c>
      <c r="P3">
        <v>2026</v>
      </c>
    </row>
    <row r="4" spans="1:18" x14ac:dyDescent="0.25">
      <c r="A4" s="96" t="s">
        <v>171</v>
      </c>
      <c r="B4" s="96" t="s">
        <v>226</v>
      </c>
      <c r="C4" s="96" t="s">
        <v>202</v>
      </c>
      <c r="D4" s="96" t="s">
        <v>192</v>
      </c>
      <c r="E4" s="43">
        <v>46090</v>
      </c>
      <c r="F4" s="43">
        <v>46151</v>
      </c>
      <c r="G4" s="96" t="s">
        <v>92</v>
      </c>
      <c r="H4" s="96" t="s">
        <v>3317</v>
      </c>
      <c r="I4" s="96" t="s">
        <v>157</v>
      </c>
      <c r="J4" s="96" t="s">
        <v>97</v>
      </c>
      <c r="K4" s="96" t="s">
        <v>205</v>
      </c>
      <c r="L4">
        <v>61</v>
      </c>
      <c r="M4" t="s">
        <v>28</v>
      </c>
      <c r="N4" t="s">
        <v>35</v>
      </c>
      <c r="O4" t="s">
        <v>151</v>
      </c>
      <c r="P4">
        <v>2026</v>
      </c>
    </row>
    <row r="5" spans="1:18" hidden="1" x14ac:dyDescent="0.25">
      <c r="A5" s="96" t="s">
        <v>171</v>
      </c>
      <c r="B5" s="96" t="s">
        <v>255</v>
      </c>
      <c r="C5" s="96" t="s">
        <v>207</v>
      </c>
      <c r="D5" s="96" t="s">
        <v>40</v>
      </c>
      <c r="E5" s="43">
        <v>45681</v>
      </c>
      <c r="F5" s="43">
        <v>45766</v>
      </c>
      <c r="G5" s="96" t="s">
        <v>90</v>
      </c>
      <c r="H5" s="96" t="s">
        <v>3318</v>
      </c>
      <c r="I5" s="96" t="s">
        <v>194</v>
      </c>
      <c r="J5" s="96" t="s">
        <v>97</v>
      </c>
      <c r="K5" s="96" t="s">
        <v>210</v>
      </c>
      <c r="L5">
        <v>85</v>
      </c>
      <c r="M5" t="s">
        <v>28</v>
      </c>
      <c r="N5" t="s">
        <v>181</v>
      </c>
      <c r="O5" t="s">
        <v>150</v>
      </c>
      <c r="P5">
        <v>2025</v>
      </c>
      <c r="R5" t="s">
        <v>178</v>
      </c>
    </row>
    <row r="6" spans="1:18" hidden="1" x14ac:dyDescent="0.25">
      <c r="A6" s="96" t="s">
        <v>189</v>
      </c>
      <c r="B6" s="96" t="s">
        <v>253</v>
      </c>
      <c r="C6" s="96" t="s">
        <v>212</v>
      </c>
      <c r="D6" s="96" t="s">
        <v>203</v>
      </c>
      <c r="E6" s="43">
        <v>45765</v>
      </c>
      <c r="F6" s="43">
        <v>45851</v>
      </c>
      <c r="G6" s="96" t="s">
        <v>90</v>
      </c>
      <c r="H6" s="96" t="s">
        <v>3319</v>
      </c>
      <c r="I6" s="96" t="s">
        <v>209</v>
      </c>
      <c r="J6" s="96" t="s">
        <v>94</v>
      </c>
      <c r="K6" s="96" t="s">
        <v>210</v>
      </c>
      <c r="L6">
        <v>86</v>
      </c>
      <c r="M6" t="s">
        <v>28</v>
      </c>
      <c r="N6" t="s">
        <v>185</v>
      </c>
      <c r="O6" t="s">
        <v>152</v>
      </c>
      <c r="P6">
        <v>2025</v>
      </c>
    </row>
    <row r="7" spans="1:18" hidden="1" x14ac:dyDescent="0.25">
      <c r="A7" s="96" t="s">
        <v>2</v>
      </c>
      <c r="B7" s="96" t="s">
        <v>231</v>
      </c>
      <c r="C7" s="96" t="s">
        <v>214</v>
      </c>
      <c r="D7" s="96" t="s">
        <v>10</v>
      </c>
      <c r="E7" s="43">
        <v>45796</v>
      </c>
      <c r="F7" s="43">
        <v>45915</v>
      </c>
      <c r="G7" s="96" t="s">
        <v>90</v>
      </c>
      <c r="H7" s="96" t="s">
        <v>3320</v>
      </c>
      <c r="I7" s="96" t="s">
        <v>157</v>
      </c>
      <c r="J7" s="96" t="s">
        <v>174</v>
      </c>
      <c r="K7" s="96" t="s">
        <v>217</v>
      </c>
      <c r="L7">
        <v>119</v>
      </c>
      <c r="M7" t="s">
        <v>28</v>
      </c>
      <c r="N7" t="s">
        <v>182</v>
      </c>
      <c r="O7" t="s">
        <v>170</v>
      </c>
      <c r="P7">
        <v>2025</v>
      </c>
    </row>
    <row r="8" spans="1:18" hidden="1" x14ac:dyDescent="0.25">
      <c r="A8" s="96" t="s">
        <v>21</v>
      </c>
      <c r="B8" s="96" t="s">
        <v>280</v>
      </c>
      <c r="C8" s="96" t="s">
        <v>220</v>
      </c>
      <c r="D8" s="96" t="s">
        <v>203</v>
      </c>
      <c r="E8" s="43">
        <v>45933</v>
      </c>
      <c r="F8" s="43">
        <v>45967</v>
      </c>
      <c r="G8" s="96" t="s">
        <v>92</v>
      </c>
      <c r="H8" s="96" t="s">
        <v>3321</v>
      </c>
      <c r="I8" s="96" t="s">
        <v>194</v>
      </c>
      <c r="J8" s="96" t="s">
        <v>165</v>
      </c>
      <c r="K8" s="96" t="s">
        <v>195</v>
      </c>
      <c r="L8">
        <v>34</v>
      </c>
      <c r="M8" t="s">
        <v>24</v>
      </c>
      <c r="N8" t="s">
        <v>16</v>
      </c>
      <c r="O8" t="s">
        <v>170</v>
      </c>
      <c r="P8">
        <v>2025</v>
      </c>
    </row>
    <row r="9" spans="1:18" x14ac:dyDescent="0.25">
      <c r="A9" s="96" t="s">
        <v>2</v>
      </c>
      <c r="B9" s="96" t="s">
        <v>302</v>
      </c>
      <c r="C9" s="96" t="s">
        <v>222</v>
      </c>
      <c r="D9" s="96" t="s">
        <v>203</v>
      </c>
      <c r="E9" s="43">
        <v>46062</v>
      </c>
      <c r="F9" s="43">
        <v>46143</v>
      </c>
      <c r="G9" s="96" t="s">
        <v>92</v>
      </c>
      <c r="H9" s="96" t="s">
        <v>3322</v>
      </c>
      <c r="I9" s="96" t="s">
        <v>204</v>
      </c>
      <c r="J9" s="96" t="s">
        <v>98</v>
      </c>
      <c r="K9" s="96" t="s">
        <v>195</v>
      </c>
      <c r="L9">
        <v>81</v>
      </c>
      <c r="M9" t="s">
        <v>28</v>
      </c>
      <c r="N9" t="s">
        <v>32</v>
      </c>
      <c r="O9" t="s">
        <v>150</v>
      </c>
      <c r="P9">
        <v>2026</v>
      </c>
    </row>
    <row r="10" spans="1:18" hidden="1" x14ac:dyDescent="0.25">
      <c r="A10" s="96" t="s">
        <v>2</v>
      </c>
      <c r="B10" s="96" t="s">
        <v>238</v>
      </c>
      <c r="C10" s="96" t="s">
        <v>3323</v>
      </c>
      <c r="D10" s="96" t="s">
        <v>34</v>
      </c>
      <c r="E10" s="43">
        <v>45716</v>
      </c>
      <c r="F10" s="43">
        <v>45804</v>
      </c>
      <c r="G10" s="96" t="s">
        <v>92</v>
      </c>
      <c r="H10" s="96" t="s">
        <v>3324</v>
      </c>
      <c r="I10" s="96" t="s">
        <v>194</v>
      </c>
      <c r="J10" s="96" t="s">
        <v>172</v>
      </c>
      <c r="K10" s="96" t="s">
        <v>230</v>
      </c>
      <c r="L10">
        <v>88</v>
      </c>
      <c r="M10" t="s">
        <v>28</v>
      </c>
      <c r="N10" t="s">
        <v>188</v>
      </c>
      <c r="O10" t="s">
        <v>170</v>
      </c>
      <c r="P10">
        <v>2025</v>
      </c>
    </row>
    <row r="11" spans="1:18" x14ac:dyDescent="0.25">
      <c r="A11" s="96" t="s">
        <v>175</v>
      </c>
      <c r="B11" s="96" t="s">
        <v>290</v>
      </c>
      <c r="C11" s="96" t="s">
        <v>224</v>
      </c>
      <c r="D11" s="96" t="s">
        <v>223</v>
      </c>
      <c r="E11" s="43">
        <v>46068</v>
      </c>
      <c r="F11" s="43">
        <v>46133</v>
      </c>
      <c r="G11" s="96" t="s">
        <v>92</v>
      </c>
      <c r="H11" s="96" t="s">
        <v>3325</v>
      </c>
      <c r="I11" s="96" t="s">
        <v>157</v>
      </c>
      <c r="J11" s="96" t="s">
        <v>229</v>
      </c>
      <c r="K11" s="96" t="s">
        <v>157</v>
      </c>
      <c r="L11">
        <v>65</v>
      </c>
      <c r="M11" t="s">
        <v>28</v>
      </c>
      <c r="N11" t="s">
        <v>32</v>
      </c>
      <c r="O11" t="s">
        <v>149</v>
      </c>
      <c r="P11">
        <v>2026</v>
      </c>
    </row>
    <row r="12" spans="1:18" x14ac:dyDescent="0.25">
      <c r="A12" s="96" t="s">
        <v>2</v>
      </c>
      <c r="B12" s="96" t="s">
        <v>196</v>
      </c>
      <c r="C12" s="96" t="s">
        <v>227</v>
      </c>
      <c r="D12" s="96" t="s">
        <v>10</v>
      </c>
      <c r="E12" s="43">
        <v>46023</v>
      </c>
      <c r="F12" s="43">
        <v>46100</v>
      </c>
      <c r="G12" s="96" t="s">
        <v>95</v>
      </c>
      <c r="H12" s="96" t="s">
        <v>3326</v>
      </c>
      <c r="I12" s="96" t="s">
        <v>225</v>
      </c>
      <c r="J12" s="96" t="s">
        <v>165</v>
      </c>
      <c r="K12" s="96" t="s">
        <v>233</v>
      </c>
      <c r="L12">
        <v>77</v>
      </c>
      <c r="M12" t="s">
        <v>28</v>
      </c>
      <c r="N12" t="s">
        <v>29</v>
      </c>
      <c r="O12" t="s">
        <v>152</v>
      </c>
      <c r="P12">
        <v>2026</v>
      </c>
    </row>
    <row r="13" spans="1:18" hidden="1" x14ac:dyDescent="0.25">
      <c r="A13" s="96" t="s">
        <v>2</v>
      </c>
      <c r="B13" s="96" t="s">
        <v>231</v>
      </c>
      <c r="C13" s="96" t="s">
        <v>232</v>
      </c>
      <c r="D13" s="96" t="s">
        <v>40</v>
      </c>
      <c r="E13" s="43">
        <v>45693</v>
      </c>
      <c r="F13" s="43">
        <v>45791</v>
      </c>
      <c r="G13" s="96" t="s">
        <v>92</v>
      </c>
      <c r="H13" s="96" t="s">
        <v>3327</v>
      </c>
      <c r="I13" s="96" t="s">
        <v>228</v>
      </c>
      <c r="J13" s="96" t="s">
        <v>283</v>
      </c>
      <c r="K13" s="96" t="s">
        <v>205</v>
      </c>
      <c r="L13">
        <v>98</v>
      </c>
      <c r="M13" t="s">
        <v>28</v>
      </c>
      <c r="N13" t="s">
        <v>188</v>
      </c>
      <c r="O13" t="s">
        <v>170</v>
      </c>
      <c r="P13">
        <v>2025</v>
      </c>
    </row>
    <row r="14" spans="1:18" x14ac:dyDescent="0.25">
      <c r="A14" s="96" t="s">
        <v>2</v>
      </c>
      <c r="B14" s="96" t="s">
        <v>261</v>
      </c>
      <c r="C14" s="96" t="s">
        <v>3328</v>
      </c>
      <c r="D14" s="96" t="s">
        <v>215</v>
      </c>
      <c r="E14" s="43">
        <v>46074</v>
      </c>
      <c r="F14" s="43">
        <v>46149</v>
      </c>
      <c r="G14" s="96" t="s">
        <v>92</v>
      </c>
      <c r="H14" s="96" t="s">
        <v>3329</v>
      </c>
      <c r="I14" s="96" t="s">
        <v>9</v>
      </c>
      <c r="J14" s="96" t="s">
        <v>174</v>
      </c>
      <c r="K14" s="96" t="s">
        <v>195</v>
      </c>
      <c r="L14">
        <v>75</v>
      </c>
      <c r="M14" t="s">
        <v>28</v>
      </c>
      <c r="N14" t="s">
        <v>32</v>
      </c>
      <c r="O14" t="s">
        <v>151</v>
      </c>
      <c r="P14">
        <v>2026</v>
      </c>
    </row>
    <row r="15" spans="1:18" hidden="1" x14ac:dyDescent="0.25">
      <c r="A15" s="96" t="s">
        <v>2</v>
      </c>
      <c r="B15" s="96" t="s">
        <v>322</v>
      </c>
      <c r="C15" s="96" t="s">
        <v>3330</v>
      </c>
      <c r="D15" s="96" t="s">
        <v>10</v>
      </c>
      <c r="E15" s="43">
        <v>45775</v>
      </c>
      <c r="F15" s="43">
        <v>45851</v>
      </c>
      <c r="G15" s="96" t="s">
        <v>90</v>
      </c>
      <c r="H15" s="96" t="s">
        <v>3331</v>
      </c>
      <c r="I15" s="96" t="s">
        <v>157</v>
      </c>
      <c r="J15" s="96" t="s">
        <v>174</v>
      </c>
      <c r="K15" s="96" t="s">
        <v>233</v>
      </c>
      <c r="L15">
        <v>76</v>
      </c>
      <c r="M15" t="s">
        <v>28</v>
      </c>
      <c r="N15" t="s">
        <v>185</v>
      </c>
      <c r="O15" t="s">
        <v>150</v>
      </c>
      <c r="P15">
        <v>2025</v>
      </c>
    </row>
    <row r="16" spans="1:18" hidden="1" x14ac:dyDescent="0.25">
      <c r="A16" s="96" t="s">
        <v>2</v>
      </c>
      <c r="B16" s="96" t="s">
        <v>257</v>
      </c>
      <c r="C16" s="96" t="s">
        <v>3332</v>
      </c>
      <c r="D16" s="96" t="s">
        <v>215</v>
      </c>
      <c r="E16" s="43">
        <v>45800</v>
      </c>
      <c r="F16" s="43">
        <v>45886</v>
      </c>
      <c r="G16" s="96" t="s">
        <v>90</v>
      </c>
      <c r="H16" s="96" t="s">
        <v>3333</v>
      </c>
      <c r="I16" s="96" t="s">
        <v>157</v>
      </c>
      <c r="J16" s="96" t="s">
        <v>216</v>
      </c>
      <c r="K16" s="96" t="s">
        <v>217</v>
      </c>
      <c r="L16">
        <v>86</v>
      </c>
      <c r="M16" t="s">
        <v>28</v>
      </c>
      <c r="N16" t="s">
        <v>182</v>
      </c>
      <c r="O16" t="s">
        <v>151</v>
      </c>
      <c r="P16">
        <v>2025</v>
      </c>
    </row>
    <row r="17" spans="1:16" x14ac:dyDescent="0.25">
      <c r="A17" s="96" t="s">
        <v>2</v>
      </c>
      <c r="B17" s="96" t="s">
        <v>234</v>
      </c>
      <c r="C17" s="96" t="s">
        <v>235</v>
      </c>
      <c r="D17" s="96" t="s">
        <v>208</v>
      </c>
      <c r="E17" s="43">
        <v>46050</v>
      </c>
      <c r="F17" s="43">
        <v>46082</v>
      </c>
      <c r="G17" s="96" t="s">
        <v>92</v>
      </c>
      <c r="H17" s="96" t="s">
        <v>3334</v>
      </c>
      <c r="I17" s="96" t="s">
        <v>225</v>
      </c>
      <c r="J17" s="96" t="s">
        <v>165</v>
      </c>
      <c r="K17" s="96" t="s">
        <v>246</v>
      </c>
      <c r="L17">
        <v>32</v>
      </c>
      <c r="M17" t="s">
        <v>24</v>
      </c>
      <c r="N17" t="s">
        <v>29</v>
      </c>
      <c r="O17" t="s">
        <v>150</v>
      </c>
      <c r="P17">
        <v>2026</v>
      </c>
    </row>
    <row r="18" spans="1:16" x14ac:dyDescent="0.25">
      <c r="A18" s="96" t="s">
        <v>171</v>
      </c>
      <c r="B18" s="96" t="s">
        <v>317</v>
      </c>
      <c r="C18" s="96" t="s">
        <v>3335</v>
      </c>
      <c r="D18" s="96" t="s">
        <v>237</v>
      </c>
      <c r="E18" s="43">
        <v>46048</v>
      </c>
      <c r="F18" s="43">
        <v>46055</v>
      </c>
      <c r="G18" s="96" t="s">
        <v>95</v>
      </c>
      <c r="H18" s="96" t="s">
        <v>3336</v>
      </c>
      <c r="I18" s="96" t="s">
        <v>194</v>
      </c>
      <c r="J18" s="96" t="s">
        <v>216</v>
      </c>
      <c r="K18" s="96" t="s">
        <v>205</v>
      </c>
      <c r="L18">
        <v>7</v>
      </c>
      <c r="M18" t="s">
        <v>11</v>
      </c>
      <c r="N18" t="s">
        <v>29</v>
      </c>
      <c r="O18" t="s">
        <v>170</v>
      </c>
      <c r="P18">
        <v>2026</v>
      </c>
    </row>
    <row r="19" spans="1:16" x14ac:dyDescent="0.25">
      <c r="A19" s="96" t="s">
        <v>171</v>
      </c>
      <c r="B19" s="96" t="s">
        <v>226</v>
      </c>
      <c r="C19" s="96" t="s">
        <v>236</v>
      </c>
      <c r="D19" s="96" t="s">
        <v>237</v>
      </c>
      <c r="E19" s="43">
        <v>46038</v>
      </c>
      <c r="F19" s="43">
        <v>46060</v>
      </c>
      <c r="G19" s="96" t="s">
        <v>92</v>
      </c>
      <c r="H19" s="96" t="s">
        <v>3337</v>
      </c>
      <c r="I19" s="96" t="s">
        <v>209</v>
      </c>
      <c r="J19" s="96" t="s">
        <v>98</v>
      </c>
      <c r="K19" s="96" t="s">
        <v>246</v>
      </c>
      <c r="L19">
        <v>22</v>
      </c>
      <c r="M19" t="s">
        <v>19</v>
      </c>
      <c r="N19" t="s">
        <v>29</v>
      </c>
      <c r="O19" t="s">
        <v>151</v>
      </c>
      <c r="P19">
        <v>2026</v>
      </c>
    </row>
    <row r="20" spans="1:16" hidden="1" x14ac:dyDescent="0.25">
      <c r="A20" s="96" t="s">
        <v>189</v>
      </c>
      <c r="B20" s="96" t="s">
        <v>238</v>
      </c>
      <c r="C20" s="96" t="s">
        <v>3338</v>
      </c>
      <c r="D20" s="96" t="s">
        <v>215</v>
      </c>
      <c r="E20" s="43">
        <v>45872</v>
      </c>
      <c r="F20" s="43">
        <v>45957</v>
      </c>
      <c r="G20" s="96" t="s">
        <v>92</v>
      </c>
      <c r="H20" s="96" t="s">
        <v>239</v>
      </c>
      <c r="I20" s="96" t="s">
        <v>204</v>
      </c>
      <c r="J20" s="96" t="s">
        <v>176</v>
      </c>
      <c r="K20" s="96" t="s">
        <v>210</v>
      </c>
      <c r="L20">
        <v>85</v>
      </c>
      <c r="M20" t="s">
        <v>28</v>
      </c>
      <c r="N20" t="s">
        <v>8</v>
      </c>
      <c r="O20" t="s">
        <v>170</v>
      </c>
      <c r="P20">
        <v>2025</v>
      </c>
    </row>
    <row r="21" spans="1:16" hidden="1" x14ac:dyDescent="0.25">
      <c r="A21" s="96" t="s">
        <v>2</v>
      </c>
      <c r="B21" s="96" t="s">
        <v>206</v>
      </c>
      <c r="C21" s="96" t="s">
        <v>241</v>
      </c>
      <c r="D21" s="96" t="s">
        <v>14</v>
      </c>
      <c r="E21" s="43">
        <v>45811</v>
      </c>
      <c r="F21" s="43">
        <v>45870</v>
      </c>
      <c r="G21" s="96" t="s">
        <v>90</v>
      </c>
      <c r="H21" s="96" t="s">
        <v>3339</v>
      </c>
      <c r="I21" s="96" t="s">
        <v>228</v>
      </c>
      <c r="J21" s="96" t="s">
        <v>91</v>
      </c>
      <c r="K21" s="96" t="s">
        <v>157</v>
      </c>
      <c r="L21">
        <v>59</v>
      </c>
      <c r="M21" t="s">
        <v>24</v>
      </c>
      <c r="N21" t="s">
        <v>184</v>
      </c>
      <c r="O21" t="s">
        <v>152</v>
      </c>
      <c r="P21">
        <v>2025</v>
      </c>
    </row>
    <row r="22" spans="1:16" hidden="1" x14ac:dyDescent="0.25">
      <c r="A22" s="96" t="s">
        <v>2</v>
      </c>
      <c r="B22" s="96" t="s">
        <v>211</v>
      </c>
      <c r="C22" s="96" t="s">
        <v>3340</v>
      </c>
      <c r="D22" s="96" t="s">
        <v>40</v>
      </c>
      <c r="E22" s="43">
        <v>45941</v>
      </c>
      <c r="F22" s="43">
        <v>45980</v>
      </c>
      <c r="G22" s="96" t="s">
        <v>90</v>
      </c>
      <c r="H22" s="96" t="s">
        <v>242</v>
      </c>
      <c r="I22" s="96" t="s">
        <v>204</v>
      </c>
      <c r="J22" s="96" t="s">
        <v>91</v>
      </c>
      <c r="K22" s="96" t="s">
        <v>200</v>
      </c>
      <c r="L22">
        <v>39</v>
      </c>
      <c r="M22" t="s">
        <v>24</v>
      </c>
      <c r="N22" t="s">
        <v>16</v>
      </c>
      <c r="O22" t="s">
        <v>170</v>
      </c>
      <c r="P22">
        <v>2025</v>
      </c>
    </row>
    <row r="23" spans="1:16" hidden="1" x14ac:dyDescent="0.25">
      <c r="A23" s="96" t="s">
        <v>189</v>
      </c>
      <c r="B23" s="96" t="s">
        <v>257</v>
      </c>
      <c r="C23" s="96" t="s">
        <v>248</v>
      </c>
      <c r="D23" s="96" t="s">
        <v>237</v>
      </c>
      <c r="E23" s="43">
        <v>45944</v>
      </c>
      <c r="F23" s="43">
        <v>46058</v>
      </c>
      <c r="G23" s="96" t="s">
        <v>92</v>
      </c>
      <c r="H23" s="96" t="s">
        <v>243</v>
      </c>
      <c r="I23" s="96" t="s">
        <v>9</v>
      </c>
      <c r="J23" s="96" t="s">
        <v>229</v>
      </c>
      <c r="K23" s="96" t="s">
        <v>200</v>
      </c>
      <c r="L23">
        <v>114</v>
      </c>
      <c r="M23" t="s">
        <v>28</v>
      </c>
      <c r="N23" t="s">
        <v>16</v>
      </c>
      <c r="O23" t="s">
        <v>151</v>
      </c>
      <c r="P23">
        <v>2025</v>
      </c>
    </row>
    <row r="24" spans="1:16" x14ac:dyDescent="0.25">
      <c r="A24" s="96" t="s">
        <v>2</v>
      </c>
      <c r="B24" s="96" t="s">
        <v>244</v>
      </c>
      <c r="C24" s="96" t="s">
        <v>250</v>
      </c>
      <c r="D24" s="96" t="s">
        <v>208</v>
      </c>
      <c r="E24" s="43">
        <v>46128</v>
      </c>
      <c r="F24" s="43">
        <v>46146</v>
      </c>
      <c r="G24" s="96" t="s">
        <v>90</v>
      </c>
      <c r="H24" s="96" t="s">
        <v>245</v>
      </c>
      <c r="I24" s="96" t="s">
        <v>225</v>
      </c>
      <c r="J24" s="96" t="s">
        <v>91</v>
      </c>
      <c r="K24" s="96" t="s">
        <v>246</v>
      </c>
      <c r="L24">
        <v>18</v>
      </c>
      <c r="M24" t="s">
        <v>19</v>
      </c>
      <c r="N24" t="s">
        <v>37</v>
      </c>
      <c r="O24" t="s">
        <v>150</v>
      </c>
      <c r="P24">
        <v>2026</v>
      </c>
    </row>
    <row r="25" spans="1:16" hidden="1" x14ac:dyDescent="0.25">
      <c r="A25" s="96" t="s">
        <v>2</v>
      </c>
      <c r="B25" s="96" t="s">
        <v>211</v>
      </c>
      <c r="C25" s="96" t="s">
        <v>252</v>
      </c>
      <c r="D25" s="96" t="s">
        <v>223</v>
      </c>
      <c r="E25" s="43">
        <v>45774</v>
      </c>
      <c r="F25" s="43">
        <v>45803</v>
      </c>
      <c r="G25" s="96" t="s">
        <v>92</v>
      </c>
      <c r="H25" s="96" t="s">
        <v>3341</v>
      </c>
      <c r="I25" s="96" t="s">
        <v>209</v>
      </c>
      <c r="J25" s="96" t="s">
        <v>169</v>
      </c>
      <c r="K25" s="96" t="s">
        <v>217</v>
      </c>
      <c r="L25">
        <v>29</v>
      </c>
      <c r="M25" t="s">
        <v>19</v>
      </c>
      <c r="N25" t="s">
        <v>185</v>
      </c>
      <c r="O25" t="s">
        <v>170</v>
      </c>
      <c r="P25">
        <v>2025</v>
      </c>
    </row>
    <row r="26" spans="1:16" hidden="1" x14ac:dyDescent="0.25">
      <c r="A26" s="96" t="s">
        <v>21</v>
      </c>
      <c r="B26" s="96" t="s">
        <v>240</v>
      </c>
      <c r="C26" s="96" t="s">
        <v>254</v>
      </c>
      <c r="D26" s="96" t="s">
        <v>10</v>
      </c>
      <c r="E26" s="43">
        <v>45932</v>
      </c>
      <c r="F26" s="43">
        <v>45975</v>
      </c>
      <c r="G26" s="96" t="s">
        <v>92</v>
      </c>
      <c r="H26" s="96" t="s">
        <v>3342</v>
      </c>
      <c r="I26" s="96" t="s">
        <v>9</v>
      </c>
      <c r="J26" s="96" t="s">
        <v>283</v>
      </c>
      <c r="K26" s="96" t="s">
        <v>200</v>
      </c>
      <c r="L26">
        <v>43</v>
      </c>
      <c r="M26" t="s">
        <v>24</v>
      </c>
      <c r="N26" t="s">
        <v>16</v>
      </c>
      <c r="O26" t="s">
        <v>149</v>
      </c>
      <c r="P26">
        <v>2025</v>
      </c>
    </row>
    <row r="27" spans="1:16" hidden="1" x14ac:dyDescent="0.25">
      <c r="A27" s="96" t="s">
        <v>2</v>
      </c>
      <c r="B27" s="96" t="s">
        <v>221</v>
      </c>
      <c r="C27" s="96" t="s">
        <v>256</v>
      </c>
      <c r="D27" s="96" t="s">
        <v>237</v>
      </c>
      <c r="E27" s="43">
        <v>45818</v>
      </c>
      <c r="F27" s="43">
        <v>45874</v>
      </c>
      <c r="G27" s="96" t="s">
        <v>92</v>
      </c>
      <c r="H27" s="96" t="s">
        <v>3343</v>
      </c>
      <c r="I27" s="96" t="s">
        <v>9</v>
      </c>
      <c r="J27" s="96" t="s">
        <v>169</v>
      </c>
      <c r="K27" s="96" t="s">
        <v>157</v>
      </c>
      <c r="L27">
        <v>56</v>
      </c>
      <c r="M27" t="s">
        <v>24</v>
      </c>
      <c r="N27" t="s">
        <v>184</v>
      </c>
      <c r="O27" t="s">
        <v>170</v>
      </c>
      <c r="P27">
        <v>2025</v>
      </c>
    </row>
    <row r="28" spans="1:16" hidden="1" x14ac:dyDescent="0.25">
      <c r="A28" s="96" t="s">
        <v>2</v>
      </c>
      <c r="B28" s="96" t="s">
        <v>264</v>
      </c>
      <c r="C28" s="96" t="s">
        <v>258</v>
      </c>
      <c r="D28" s="96" t="s">
        <v>14</v>
      </c>
      <c r="E28" s="43">
        <v>46001</v>
      </c>
      <c r="F28" s="43">
        <v>46027</v>
      </c>
      <c r="G28" s="96" t="s">
        <v>90</v>
      </c>
      <c r="H28" s="96" t="s">
        <v>3344</v>
      </c>
      <c r="I28" s="96" t="s">
        <v>209</v>
      </c>
      <c r="J28" s="96" t="s">
        <v>96</v>
      </c>
      <c r="K28" s="96" t="s">
        <v>157</v>
      </c>
      <c r="L28">
        <v>26</v>
      </c>
      <c r="M28" t="s">
        <v>19</v>
      </c>
      <c r="N28" t="s">
        <v>25</v>
      </c>
      <c r="O28" t="s">
        <v>152</v>
      </c>
      <c r="P28">
        <v>2025</v>
      </c>
    </row>
    <row r="29" spans="1:16" hidden="1" x14ac:dyDescent="0.25">
      <c r="A29" s="96" t="s">
        <v>2</v>
      </c>
      <c r="B29" s="96" t="s">
        <v>272</v>
      </c>
      <c r="C29" s="96" t="s">
        <v>3345</v>
      </c>
      <c r="D29" s="96" t="s">
        <v>34</v>
      </c>
      <c r="E29" s="43">
        <v>45867</v>
      </c>
      <c r="F29" s="43">
        <v>45909</v>
      </c>
      <c r="G29" s="96" t="s">
        <v>92</v>
      </c>
      <c r="H29" s="96" t="s">
        <v>3346</v>
      </c>
      <c r="I29" s="96" t="s">
        <v>228</v>
      </c>
      <c r="J29" s="96" t="s">
        <v>96</v>
      </c>
      <c r="K29" s="96" t="s">
        <v>217</v>
      </c>
      <c r="L29">
        <v>42</v>
      </c>
      <c r="M29" t="s">
        <v>24</v>
      </c>
      <c r="N29" t="s">
        <v>187</v>
      </c>
      <c r="O29" t="s">
        <v>151</v>
      </c>
      <c r="P29">
        <v>2025</v>
      </c>
    </row>
    <row r="30" spans="1:16" hidden="1" x14ac:dyDescent="0.25">
      <c r="A30" s="96" t="s">
        <v>2</v>
      </c>
      <c r="B30" s="96" t="s">
        <v>206</v>
      </c>
      <c r="C30" s="96" t="s">
        <v>259</v>
      </c>
      <c r="D30" s="96" t="s">
        <v>208</v>
      </c>
      <c r="E30" s="43">
        <v>45658</v>
      </c>
      <c r="F30" s="43">
        <v>45697</v>
      </c>
      <c r="G30" s="96" t="s">
        <v>92</v>
      </c>
      <c r="H30" s="96" t="s">
        <v>3347</v>
      </c>
      <c r="I30" s="96" t="s">
        <v>194</v>
      </c>
      <c r="J30" s="96" t="s">
        <v>93</v>
      </c>
      <c r="K30" s="96" t="s">
        <v>205</v>
      </c>
      <c r="L30">
        <v>39</v>
      </c>
      <c r="M30" t="s">
        <v>24</v>
      </c>
      <c r="N30" t="s">
        <v>181</v>
      </c>
      <c r="O30" t="s">
        <v>152</v>
      </c>
      <c r="P30">
        <v>2025</v>
      </c>
    </row>
    <row r="31" spans="1:16" hidden="1" x14ac:dyDescent="0.25">
      <c r="A31" s="96" t="s">
        <v>2</v>
      </c>
      <c r="B31" s="96" t="s">
        <v>213</v>
      </c>
      <c r="C31" s="96" t="s">
        <v>262</v>
      </c>
      <c r="D31" s="96" t="s">
        <v>215</v>
      </c>
      <c r="E31" s="43">
        <v>45744</v>
      </c>
      <c r="F31" s="43">
        <v>45829</v>
      </c>
      <c r="G31" s="96" t="s">
        <v>90</v>
      </c>
      <c r="H31" s="96" t="s">
        <v>3348</v>
      </c>
      <c r="I31" s="96" t="s">
        <v>209</v>
      </c>
      <c r="J31" s="96" t="s">
        <v>96</v>
      </c>
      <c r="K31" s="96" t="s">
        <v>205</v>
      </c>
      <c r="L31">
        <v>85</v>
      </c>
      <c r="M31" t="s">
        <v>28</v>
      </c>
      <c r="N31" t="s">
        <v>186</v>
      </c>
      <c r="O31" t="s">
        <v>149</v>
      </c>
      <c r="P31">
        <v>2025</v>
      </c>
    </row>
    <row r="32" spans="1:16" x14ac:dyDescent="0.25">
      <c r="A32" s="96" t="s">
        <v>171</v>
      </c>
      <c r="B32" s="96" t="s">
        <v>305</v>
      </c>
      <c r="C32" s="96" t="s">
        <v>263</v>
      </c>
      <c r="D32" s="96" t="s">
        <v>237</v>
      </c>
      <c r="E32" s="43">
        <v>46060</v>
      </c>
      <c r="F32" s="43">
        <v>46064</v>
      </c>
      <c r="G32" s="96" t="s">
        <v>92</v>
      </c>
      <c r="H32" s="96" t="s">
        <v>3349</v>
      </c>
      <c r="I32" s="96" t="s">
        <v>209</v>
      </c>
      <c r="J32" s="96" t="s">
        <v>91</v>
      </c>
      <c r="K32" s="96" t="s">
        <v>217</v>
      </c>
      <c r="L32">
        <v>4</v>
      </c>
      <c r="M32" t="s">
        <v>11</v>
      </c>
      <c r="N32" t="s">
        <v>32</v>
      </c>
      <c r="O32" t="s">
        <v>170</v>
      </c>
      <c r="P32">
        <v>2026</v>
      </c>
    </row>
    <row r="33" spans="1:16" hidden="1" x14ac:dyDescent="0.25">
      <c r="A33" s="96" t="s">
        <v>2</v>
      </c>
      <c r="B33" s="96" t="s">
        <v>240</v>
      </c>
      <c r="C33" s="96" t="s">
        <v>265</v>
      </c>
      <c r="D33" s="96" t="s">
        <v>208</v>
      </c>
      <c r="E33" s="43">
        <v>45782</v>
      </c>
      <c r="F33" s="43">
        <v>45801</v>
      </c>
      <c r="G33" s="96" t="s">
        <v>92</v>
      </c>
      <c r="H33" s="96" t="s">
        <v>260</v>
      </c>
      <c r="I33" s="96" t="s">
        <v>9</v>
      </c>
      <c r="J33" s="96" t="s">
        <v>98</v>
      </c>
      <c r="K33" s="96" t="s">
        <v>205</v>
      </c>
      <c r="L33">
        <v>19</v>
      </c>
      <c r="M33" t="s">
        <v>19</v>
      </c>
      <c r="N33" t="s">
        <v>182</v>
      </c>
      <c r="O33" t="s">
        <v>149</v>
      </c>
      <c r="P33">
        <v>2025</v>
      </c>
    </row>
    <row r="34" spans="1:16" x14ac:dyDescent="0.25">
      <c r="A34" s="96" t="s">
        <v>2</v>
      </c>
      <c r="B34" s="96" t="s">
        <v>302</v>
      </c>
      <c r="C34" s="96" t="s">
        <v>3350</v>
      </c>
      <c r="D34" s="96" t="s">
        <v>208</v>
      </c>
      <c r="E34" s="43">
        <v>46054</v>
      </c>
      <c r="F34" s="43">
        <v>46113</v>
      </c>
      <c r="G34" s="96" t="s">
        <v>95</v>
      </c>
      <c r="H34" s="96" t="s">
        <v>3351</v>
      </c>
      <c r="I34" s="96" t="s">
        <v>228</v>
      </c>
      <c r="J34" s="96" t="s">
        <v>169</v>
      </c>
      <c r="K34" s="96" t="s">
        <v>217</v>
      </c>
      <c r="L34">
        <v>59</v>
      </c>
      <c r="M34" t="s">
        <v>24</v>
      </c>
      <c r="N34" t="s">
        <v>32</v>
      </c>
      <c r="O34" t="s">
        <v>150</v>
      </c>
      <c r="P34">
        <v>2026</v>
      </c>
    </row>
    <row r="35" spans="1:16" x14ac:dyDescent="0.25">
      <c r="A35" s="96" t="s">
        <v>2</v>
      </c>
      <c r="B35" s="96" t="s">
        <v>261</v>
      </c>
      <c r="C35" s="96" t="s">
        <v>267</v>
      </c>
      <c r="D35" s="96" t="s">
        <v>203</v>
      </c>
      <c r="E35" s="43">
        <v>46137</v>
      </c>
      <c r="F35" s="43">
        <v>46150</v>
      </c>
      <c r="G35" s="96" t="s">
        <v>92</v>
      </c>
      <c r="H35" s="96" t="s">
        <v>3352</v>
      </c>
      <c r="I35" s="96" t="s">
        <v>194</v>
      </c>
      <c r="J35" s="96" t="s">
        <v>94</v>
      </c>
      <c r="K35" s="96" t="s">
        <v>230</v>
      </c>
      <c r="L35">
        <v>13</v>
      </c>
      <c r="M35" t="s">
        <v>15</v>
      </c>
      <c r="N35" t="s">
        <v>37</v>
      </c>
      <c r="O35" t="s">
        <v>151</v>
      </c>
      <c r="P35">
        <v>2026</v>
      </c>
    </row>
    <row r="36" spans="1:16" hidden="1" x14ac:dyDescent="0.25">
      <c r="A36" s="96" t="s">
        <v>2</v>
      </c>
      <c r="B36" s="96" t="s">
        <v>264</v>
      </c>
      <c r="C36" s="96" t="s">
        <v>268</v>
      </c>
      <c r="D36" s="96" t="s">
        <v>215</v>
      </c>
      <c r="E36" s="43">
        <v>45804</v>
      </c>
      <c r="F36" s="43">
        <v>45835</v>
      </c>
      <c r="G36" s="96" t="s">
        <v>92</v>
      </c>
      <c r="H36" s="96" t="s">
        <v>266</v>
      </c>
      <c r="I36" s="96" t="s">
        <v>194</v>
      </c>
      <c r="J36" s="96" t="s">
        <v>173</v>
      </c>
      <c r="K36" s="96" t="s">
        <v>205</v>
      </c>
      <c r="L36">
        <v>31</v>
      </c>
      <c r="M36" t="s">
        <v>24</v>
      </c>
      <c r="N36" t="s">
        <v>182</v>
      </c>
      <c r="O36" t="s">
        <v>152</v>
      </c>
      <c r="P36">
        <v>2025</v>
      </c>
    </row>
    <row r="37" spans="1:16" hidden="1" x14ac:dyDescent="0.25">
      <c r="A37" s="96" t="s">
        <v>2</v>
      </c>
      <c r="B37" s="96" t="s">
        <v>272</v>
      </c>
      <c r="C37" s="96" t="s">
        <v>3353</v>
      </c>
      <c r="D37" s="96" t="s">
        <v>208</v>
      </c>
      <c r="E37" s="43">
        <v>45838</v>
      </c>
      <c r="F37" s="43">
        <v>45877</v>
      </c>
      <c r="G37" s="96" t="s">
        <v>90</v>
      </c>
      <c r="H37" s="96" t="s">
        <v>3354</v>
      </c>
      <c r="I37" s="96" t="s">
        <v>225</v>
      </c>
      <c r="J37" s="96" t="s">
        <v>168</v>
      </c>
      <c r="K37" s="96" t="s">
        <v>217</v>
      </c>
      <c r="L37">
        <v>39</v>
      </c>
      <c r="M37" t="s">
        <v>24</v>
      </c>
      <c r="N37" t="s">
        <v>184</v>
      </c>
      <c r="O37" t="s">
        <v>151</v>
      </c>
      <c r="P37">
        <v>2025</v>
      </c>
    </row>
    <row r="38" spans="1:16" hidden="1" x14ac:dyDescent="0.25">
      <c r="A38" s="96" t="s">
        <v>175</v>
      </c>
      <c r="B38" s="96" t="s">
        <v>257</v>
      </c>
      <c r="C38" s="96" t="s">
        <v>3355</v>
      </c>
      <c r="D38" s="96" t="s">
        <v>10</v>
      </c>
      <c r="E38" s="43">
        <v>45857</v>
      </c>
      <c r="F38" s="43">
        <v>45901</v>
      </c>
      <c r="G38" s="96" t="s">
        <v>90</v>
      </c>
      <c r="H38" s="96" t="s">
        <v>3356</v>
      </c>
      <c r="I38" s="96" t="s">
        <v>194</v>
      </c>
      <c r="J38" s="96" t="s">
        <v>172</v>
      </c>
      <c r="K38" s="96" t="s">
        <v>233</v>
      </c>
      <c r="L38">
        <v>44</v>
      </c>
      <c r="M38" t="s">
        <v>24</v>
      </c>
      <c r="N38" t="s">
        <v>187</v>
      </c>
      <c r="O38" t="s">
        <v>151</v>
      </c>
      <c r="P38">
        <v>2025</v>
      </c>
    </row>
    <row r="39" spans="1:16" hidden="1" x14ac:dyDescent="0.25">
      <c r="A39" s="96" t="s">
        <v>2</v>
      </c>
      <c r="B39" s="96" t="s">
        <v>257</v>
      </c>
      <c r="C39" s="96" t="s">
        <v>270</v>
      </c>
      <c r="D39" s="96" t="s">
        <v>223</v>
      </c>
      <c r="E39" s="43">
        <v>45727</v>
      </c>
      <c r="F39" s="43">
        <v>45838</v>
      </c>
      <c r="G39" s="96" t="s">
        <v>92</v>
      </c>
      <c r="H39" s="96" t="s">
        <v>3357</v>
      </c>
      <c r="I39" s="96" t="s">
        <v>204</v>
      </c>
      <c r="J39" s="96" t="s">
        <v>176</v>
      </c>
      <c r="K39" s="96" t="s">
        <v>230</v>
      </c>
      <c r="L39">
        <v>111</v>
      </c>
      <c r="M39" t="s">
        <v>28</v>
      </c>
      <c r="N39" t="s">
        <v>186</v>
      </c>
      <c r="O39" t="s">
        <v>151</v>
      </c>
      <c r="P39">
        <v>2025</v>
      </c>
    </row>
    <row r="40" spans="1:16" x14ac:dyDescent="0.25">
      <c r="A40" s="96" t="s">
        <v>2</v>
      </c>
      <c r="B40" s="96" t="s">
        <v>226</v>
      </c>
      <c r="C40" s="96" t="s">
        <v>271</v>
      </c>
      <c r="D40" s="96" t="s">
        <v>14</v>
      </c>
      <c r="E40" s="43">
        <v>46130</v>
      </c>
      <c r="F40" s="43">
        <v>46151</v>
      </c>
      <c r="G40" s="96" t="s">
        <v>92</v>
      </c>
      <c r="H40" s="96" t="s">
        <v>3358</v>
      </c>
      <c r="I40" s="96" t="s">
        <v>157</v>
      </c>
      <c r="J40" s="96" t="s">
        <v>177</v>
      </c>
      <c r="K40" s="96" t="s">
        <v>195</v>
      </c>
      <c r="L40">
        <v>21</v>
      </c>
      <c r="M40" t="s">
        <v>19</v>
      </c>
      <c r="N40" t="s">
        <v>37</v>
      </c>
      <c r="O40" t="s">
        <v>151</v>
      </c>
      <c r="P40">
        <v>2026</v>
      </c>
    </row>
    <row r="41" spans="1:16" x14ac:dyDescent="0.25">
      <c r="A41" s="96" t="s">
        <v>2</v>
      </c>
      <c r="B41" s="96" t="s">
        <v>288</v>
      </c>
      <c r="C41" s="96" t="s">
        <v>273</v>
      </c>
      <c r="D41" s="96" t="s">
        <v>208</v>
      </c>
      <c r="E41" s="43">
        <v>46074</v>
      </c>
      <c r="F41" s="43">
        <v>46151</v>
      </c>
      <c r="G41" s="96" t="s">
        <v>92</v>
      </c>
      <c r="H41" s="96" t="s">
        <v>3359</v>
      </c>
      <c r="I41" s="96" t="s">
        <v>209</v>
      </c>
      <c r="J41" s="96" t="s">
        <v>168</v>
      </c>
      <c r="K41" s="96" t="s">
        <v>200</v>
      </c>
      <c r="L41">
        <v>77</v>
      </c>
      <c r="M41" t="s">
        <v>28</v>
      </c>
      <c r="N41" t="s">
        <v>32</v>
      </c>
      <c r="O41" t="s">
        <v>170</v>
      </c>
      <c r="P41">
        <v>2026</v>
      </c>
    </row>
    <row r="42" spans="1:16" x14ac:dyDescent="0.25">
      <c r="A42" s="96" t="s">
        <v>2</v>
      </c>
      <c r="B42" s="96" t="s">
        <v>288</v>
      </c>
      <c r="C42" s="96" t="s">
        <v>3360</v>
      </c>
      <c r="D42" s="96" t="s">
        <v>192</v>
      </c>
      <c r="E42" s="43">
        <v>46073</v>
      </c>
      <c r="F42" s="43">
        <v>46083</v>
      </c>
      <c r="G42" s="96" t="s">
        <v>90</v>
      </c>
      <c r="H42" s="96" t="s">
        <v>3361</v>
      </c>
      <c r="I42" s="96" t="s">
        <v>157</v>
      </c>
      <c r="J42" s="96" t="s">
        <v>177</v>
      </c>
      <c r="K42" s="96" t="s">
        <v>200</v>
      </c>
      <c r="L42">
        <v>10</v>
      </c>
      <c r="M42" t="s">
        <v>15</v>
      </c>
      <c r="N42" t="s">
        <v>32</v>
      </c>
      <c r="O42" t="s">
        <v>170</v>
      </c>
      <c r="P42">
        <v>2026</v>
      </c>
    </row>
    <row r="43" spans="1:16" hidden="1" x14ac:dyDescent="0.25">
      <c r="A43" s="96" t="s">
        <v>2</v>
      </c>
      <c r="B43" s="96" t="s">
        <v>213</v>
      </c>
      <c r="C43" s="96" t="s">
        <v>275</v>
      </c>
      <c r="D43" s="96" t="s">
        <v>237</v>
      </c>
      <c r="E43" s="43">
        <v>45996</v>
      </c>
      <c r="F43" s="43">
        <v>46044</v>
      </c>
      <c r="G43" s="96" t="s">
        <v>92</v>
      </c>
      <c r="H43" s="96" t="s">
        <v>3362</v>
      </c>
      <c r="I43" s="96" t="s">
        <v>204</v>
      </c>
      <c r="J43" s="96" t="s">
        <v>93</v>
      </c>
      <c r="K43" s="96" t="s">
        <v>210</v>
      </c>
      <c r="L43">
        <v>48</v>
      </c>
      <c r="M43" t="s">
        <v>24</v>
      </c>
      <c r="N43" t="s">
        <v>25</v>
      </c>
      <c r="O43" t="s">
        <v>149</v>
      </c>
      <c r="P43">
        <v>2025</v>
      </c>
    </row>
    <row r="44" spans="1:16" hidden="1" x14ac:dyDescent="0.25">
      <c r="A44" s="96" t="s">
        <v>175</v>
      </c>
      <c r="B44" s="96" t="s">
        <v>253</v>
      </c>
      <c r="C44" s="96" t="s">
        <v>276</v>
      </c>
      <c r="D44" s="96" t="s">
        <v>237</v>
      </c>
      <c r="E44" s="43">
        <v>45925</v>
      </c>
      <c r="F44" s="43">
        <v>46009</v>
      </c>
      <c r="G44" s="96" t="s">
        <v>92</v>
      </c>
      <c r="H44" s="96" t="s">
        <v>3363</v>
      </c>
      <c r="I44" s="96" t="s">
        <v>157</v>
      </c>
      <c r="J44" s="96" t="s">
        <v>168</v>
      </c>
      <c r="K44" s="96" t="s">
        <v>200</v>
      </c>
      <c r="L44">
        <v>84</v>
      </c>
      <c r="M44" t="s">
        <v>28</v>
      </c>
      <c r="N44" t="s">
        <v>12</v>
      </c>
      <c r="O44" t="s">
        <v>152</v>
      </c>
      <c r="P44">
        <v>2025</v>
      </c>
    </row>
    <row r="45" spans="1:16" x14ac:dyDescent="0.25">
      <c r="A45" s="96" t="s">
        <v>2</v>
      </c>
      <c r="B45" s="96" t="s">
        <v>226</v>
      </c>
      <c r="C45" s="96" t="s">
        <v>277</v>
      </c>
      <c r="D45" s="96" t="s">
        <v>223</v>
      </c>
      <c r="E45" s="43">
        <v>46045</v>
      </c>
      <c r="F45" s="43">
        <v>46081</v>
      </c>
      <c r="G45" s="96" t="s">
        <v>92</v>
      </c>
      <c r="H45" s="96" t="s">
        <v>3364</v>
      </c>
      <c r="I45" s="96" t="s">
        <v>9</v>
      </c>
      <c r="J45" s="96" t="s">
        <v>216</v>
      </c>
      <c r="K45" s="96" t="s">
        <v>200</v>
      </c>
      <c r="L45">
        <v>36</v>
      </c>
      <c r="M45" t="s">
        <v>24</v>
      </c>
      <c r="N45" t="s">
        <v>29</v>
      </c>
      <c r="O45" t="s">
        <v>151</v>
      </c>
      <c r="P45">
        <v>2026</v>
      </c>
    </row>
    <row r="46" spans="1:16" hidden="1" x14ac:dyDescent="0.25">
      <c r="A46" s="96" t="s">
        <v>2</v>
      </c>
      <c r="B46" s="96" t="s">
        <v>247</v>
      </c>
      <c r="C46" s="96" t="s">
        <v>3365</v>
      </c>
      <c r="D46" s="96" t="s">
        <v>40</v>
      </c>
      <c r="E46" s="43">
        <v>45908</v>
      </c>
      <c r="F46" s="43">
        <v>45980</v>
      </c>
      <c r="G46" s="96" t="s">
        <v>92</v>
      </c>
      <c r="H46" s="96" t="s">
        <v>3366</v>
      </c>
      <c r="I46" s="96" t="s">
        <v>225</v>
      </c>
      <c r="J46" s="96" t="s">
        <v>176</v>
      </c>
      <c r="K46" s="96" t="s">
        <v>205</v>
      </c>
      <c r="L46">
        <v>72</v>
      </c>
      <c r="M46" t="s">
        <v>28</v>
      </c>
      <c r="N46" t="s">
        <v>12</v>
      </c>
      <c r="O46" t="s">
        <v>150</v>
      </c>
      <c r="P46">
        <v>2025</v>
      </c>
    </row>
    <row r="47" spans="1:16" hidden="1" x14ac:dyDescent="0.25">
      <c r="A47" s="96" t="s">
        <v>2</v>
      </c>
      <c r="B47" s="96" t="s">
        <v>272</v>
      </c>
      <c r="C47" s="96" t="s">
        <v>278</v>
      </c>
      <c r="D47" s="96" t="s">
        <v>208</v>
      </c>
      <c r="E47" s="43">
        <v>45955</v>
      </c>
      <c r="F47" s="43">
        <v>46003</v>
      </c>
      <c r="G47" s="96" t="s">
        <v>90</v>
      </c>
      <c r="H47" s="96" t="s">
        <v>3367</v>
      </c>
      <c r="I47" s="96" t="s">
        <v>204</v>
      </c>
      <c r="J47" s="96" t="s">
        <v>96</v>
      </c>
      <c r="K47" s="96" t="s">
        <v>230</v>
      </c>
      <c r="L47">
        <v>48</v>
      </c>
      <c r="M47" t="s">
        <v>24</v>
      </c>
      <c r="N47" t="s">
        <v>16</v>
      </c>
      <c r="O47" t="s">
        <v>151</v>
      </c>
      <c r="P47">
        <v>2025</v>
      </c>
    </row>
    <row r="48" spans="1:16" hidden="1" x14ac:dyDescent="0.25">
      <c r="A48" s="96" t="s">
        <v>2</v>
      </c>
      <c r="B48" s="96" t="s">
        <v>211</v>
      </c>
      <c r="C48" s="96" t="s">
        <v>284</v>
      </c>
      <c r="D48" s="96" t="s">
        <v>215</v>
      </c>
      <c r="E48" s="43">
        <v>45953</v>
      </c>
      <c r="F48" s="43">
        <v>46034</v>
      </c>
      <c r="G48" s="96" t="s">
        <v>92</v>
      </c>
      <c r="H48" s="96" t="s">
        <v>279</v>
      </c>
      <c r="I48" s="96" t="s">
        <v>9</v>
      </c>
      <c r="J48" s="96" t="s">
        <v>98</v>
      </c>
      <c r="K48" s="96" t="s">
        <v>217</v>
      </c>
      <c r="L48">
        <v>81</v>
      </c>
      <c r="M48" t="s">
        <v>28</v>
      </c>
      <c r="N48" t="s">
        <v>16</v>
      </c>
      <c r="O48" t="s">
        <v>170</v>
      </c>
      <c r="P48">
        <v>2025</v>
      </c>
    </row>
    <row r="49" spans="1:16" hidden="1" x14ac:dyDescent="0.25">
      <c r="A49" s="96" t="s">
        <v>2</v>
      </c>
      <c r="B49" s="96" t="s">
        <v>280</v>
      </c>
      <c r="C49" s="96" t="s">
        <v>3368</v>
      </c>
      <c r="D49" s="96" t="s">
        <v>40</v>
      </c>
      <c r="E49" s="43">
        <v>45974</v>
      </c>
      <c r="F49" s="43">
        <v>46003</v>
      </c>
      <c r="G49" s="96" t="s">
        <v>92</v>
      </c>
      <c r="H49" s="96" t="s">
        <v>281</v>
      </c>
      <c r="I49" s="96" t="s">
        <v>228</v>
      </c>
      <c r="J49" s="96" t="s">
        <v>177</v>
      </c>
      <c r="K49" s="96" t="s">
        <v>233</v>
      </c>
      <c r="L49">
        <v>29</v>
      </c>
      <c r="M49" t="s">
        <v>19</v>
      </c>
      <c r="N49" t="s">
        <v>20</v>
      </c>
      <c r="O49" t="s">
        <v>170</v>
      </c>
      <c r="P49">
        <v>2025</v>
      </c>
    </row>
    <row r="50" spans="1:16" x14ac:dyDescent="0.25">
      <c r="A50" s="96" t="s">
        <v>2</v>
      </c>
      <c r="B50" s="96" t="s">
        <v>269</v>
      </c>
      <c r="C50" s="96" t="s">
        <v>286</v>
      </c>
      <c r="D50" s="96" t="s">
        <v>34</v>
      </c>
      <c r="E50" s="43">
        <v>46076</v>
      </c>
      <c r="F50" s="43">
        <v>46150</v>
      </c>
      <c r="G50" s="96" t="s">
        <v>92</v>
      </c>
      <c r="H50" s="96" t="s">
        <v>282</v>
      </c>
      <c r="I50" s="96" t="s">
        <v>9</v>
      </c>
      <c r="J50" s="96" t="s">
        <v>283</v>
      </c>
      <c r="K50" s="96" t="s">
        <v>246</v>
      </c>
      <c r="L50">
        <v>74</v>
      </c>
      <c r="M50" t="s">
        <v>28</v>
      </c>
      <c r="N50" t="s">
        <v>32</v>
      </c>
      <c r="O50" t="s">
        <v>152</v>
      </c>
      <c r="P50">
        <v>2026</v>
      </c>
    </row>
    <row r="51" spans="1:16" hidden="1" x14ac:dyDescent="0.25">
      <c r="A51" s="96" t="s">
        <v>2</v>
      </c>
      <c r="B51" s="96" t="s">
        <v>211</v>
      </c>
      <c r="C51" s="96" t="s">
        <v>3369</v>
      </c>
      <c r="D51" s="96" t="s">
        <v>215</v>
      </c>
      <c r="E51" s="43">
        <v>45898</v>
      </c>
      <c r="F51" s="43">
        <v>45936</v>
      </c>
      <c r="G51" s="96" t="s">
        <v>92</v>
      </c>
      <c r="H51" s="96" t="s">
        <v>285</v>
      </c>
      <c r="I51" s="96" t="s">
        <v>204</v>
      </c>
      <c r="J51" s="96" t="s">
        <v>91</v>
      </c>
      <c r="K51" s="96" t="s">
        <v>217</v>
      </c>
      <c r="L51">
        <v>38</v>
      </c>
      <c r="M51" t="s">
        <v>24</v>
      </c>
      <c r="N51" t="s">
        <v>8</v>
      </c>
      <c r="O51" t="s">
        <v>170</v>
      </c>
      <c r="P51">
        <v>2025</v>
      </c>
    </row>
    <row r="52" spans="1:16" x14ac:dyDescent="0.25">
      <c r="A52" s="96" t="s">
        <v>171</v>
      </c>
      <c r="B52" s="96" t="s">
        <v>261</v>
      </c>
      <c r="C52" s="96" t="s">
        <v>3370</v>
      </c>
      <c r="D52" s="96" t="s">
        <v>223</v>
      </c>
      <c r="E52" s="43">
        <v>46069</v>
      </c>
      <c r="F52" s="43">
        <v>46144</v>
      </c>
      <c r="G52" s="96" t="s">
        <v>92</v>
      </c>
      <c r="H52" s="96" t="s">
        <v>3371</v>
      </c>
      <c r="I52" s="96" t="s">
        <v>209</v>
      </c>
      <c r="J52" s="96" t="s">
        <v>199</v>
      </c>
      <c r="K52" s="96" t="s">
        <v>210</v>
      </c>
      <c r="L52">
        <v>75</v>
      </c>
      <c r="M52" t="s">
        <v>28</v>
      </c>
      <c r="N52" t="s">
        <v>32</v>
      </c>
      <c r="O52" t="s">
        <v>151</v>
      </c>
      <c r="P52">
        <v>2026</v>
      </c>
    </row>
    <row r="53" spans="1:16" hidden="1" x14ac:dyDescent="0.25">
      <c r="A53" s="96" t="s">
        <v>189</v>
      </c>
      <c r="B53" s="96" t="s">
        <v>253</v>
      </c>
      <c r="C53" s="96" t="s">
        <v>287</v>
      </c>
      <c r="D53" s="96" t="s">
        <v>208</v>
      </c>
      <c r="E53" s="43">
        <v>46013</v>
      </c>
      <c r="F53" s="43">
        <v>46077</v>
      </c>
      <c r="G53" s="96" t="s">
        <v>90</v>
      </c>
      <c r="H53" s="96" t="s">
        <v>3372</v>
      </c>
      <c r="I53" s="96" t="s">
        <v>9</v>
      </c>
      <c r="J53" s="96" t="s">
        <v>174</v>
      </c>
      <c r="K53" s="96" t="s">
        <v>230</v>
      </c>
      <c r="L53">
        <v>64</v>
      </c>
      <c r="M53" t="s">
        <v>28</v>
      </c>
      <c r="N53" t="s">
        <v>25</v>
      </c>
      <c r="O53" t="s">
        <v>152</v>
      </c>
      <c r="P53">
        <v>2025</v>
      </c>
    </row>
    <row r="54" spans="1:16" hidden="1" x14ac:dyDescent="0.25">
      <c r="A54" s="96" t="s">
        <v>2</v>
      </c>
      <c r="B54" s="96" t="s">
        <v>221</v>
      </c>
      <c r="C54" s="96" t="s">
        <v>289</v>
      </c>
      <c r="D54" s="96" t="s">
        <v>215</v>
      </c>
      <c r="E54" s="43">
        <v>45864</v>
      </c>
      <c r="F54" s="43">
        <v>45975</v>
      </c>
      <c r="G54" s="96" t="s">
        <v>92</v>
      </c>
      <c r="H54" s="96" t="s">
        <v>3373</v>
      </c>
      <c r="I54" s="96" t="s">
        <v>228</v>
      </c>
      <c r="J54" s="96" t="s">
        <v>97</v>
      </c>
      <c r="K54" s="96" t="s">
        <v>246</v>
      </c>
      <c r="L54">
        <v>111</v>
      </c>
      <c r="M54" t="s">
        <v>28</v>
      </c>
      <c r="N54" t="s">
        <v>187</v>
      </c>
      <c r="O54" t="s">
        <v>170</v>
      </c>
      <c r="P54">
        <v>2025</v>
      </c>
    </row>
    <row r="55" spans="1:16" hidden="1" x14ac:dyDescent="0.25">
      <c r="A55" s="96" t="s">
        <v>2</v>
      </c>
      <c r="B55" s="96" t="s">
        <v>253</v>
      </c>
      <c r="C55" s="96" t="s">
        <v>291</v>
      </c>
      <c r="D55" s="96" t="s">
        <v>14</v>
      </c>
      <c r="E55" s="43">
        <v>45684</v>
      </c>
      <c r="F55" s="43">
        <v>45711</v>
      </c>
      <c r="G55" s="96" t="s">
        <v>92</v>
      </c>
      <c r="H55" s="96" t="s">
        <v>3374</v>
      </c>
      <c r="I55" s="96" t="s">
        <v>9</v>
      </c>
      <c r="J55" s="96" t="s">
        <v>94</v>
      </c>
      <c r="K55" s="96" t="s">
        <v>210</v>
      </c>
      <c r="L55">
        <v>27</v>
      </c>
      <c r="M55" t="s">
        <v>19</v>
      </c>
      <c r="N55" t="s">
        <v>181</v>
      </c>
      <c r="O55" t="s">
        <v>152</v>
      </c>
      <c r="P55">
        <v>2025</v>
      </c>
    </row>
    <row r="56" spans="1:16" hidden="1" x14ac:dyDescent="0.25">
      <c r="A56" s="96" t="s">
        <v>2</v>
      </c>
      <c r="B56" s="96" t="s">
        <v>257</v>
      </c>
      <c r="C56" s="96" t="s">
        <v>292</v>
      </c>
      <c r="D56" s="96" t="s">
        <v>14</v>
      </c>
      <c r="E56" s="43">
        <v>45665</v>
      </c>
      <c r="F56" s="43">
        <v>45736</v>
      </c>
      <c r="G56" s="96" t="s">
        <v>90</v>
      </c>
      <c r="H56" s="96" t="s">
        <v>3375</v>
      </c>
      <c r="I56" s="96" t="s">
        <v>209</v>
      </c>
      <c r="J56" s="96" t="s">
        <v>173</v>
      </c>
      <c r="K56" s="96" t="s">
        <v>246</v>
      </c>
      <c r="L56">
        <v>71</v>
      </c>
      <c r="M56" t="s">
        <v>28</v>
      </c>
      <c r="N56" t="s">
        <v>181</v>
      </c>
      <c r="O56" t="s">
        <v>151</v>
      </c>
      <c r="P56">
        <v>2025</v>
      </c>
    </row>
    <row r="57" spans="1:16" x14ac:dyDescent="0.25">
      <c r="A57" s="96" t="s">
        <v>175</v>
      </c>
      <c r="B57" s="96" t="s">
        <v>196</v>
      </c>
      <c r="C57" s="96" t="s">
        <v>3376</v>
      </c>
      <c r="D57" s="96" t="s">
        <v>203</v>
      </c>
      <c r="E57" s="43">
        <v>46097</v>
      </c>
      <c r="F57" s="43">
        <v>46146</v>
      </c>
      <c r="G57" s="96" t="s">
        <v>95</v>
      </c>
      <c r="H57" s="96" t="s">
        <v>3377</v>
      </c>
      <c r="I57" s="96" t="s">
        <v>225</v>
      </c>
      <c r="J57" s="96" t="s">
        <v>176</v>
      </c>
      <c r="K57" s="96" t="s">
        <v>205</v>
      </c>
      <c r="L57">
        <v>49</v>
      </c>
      <c r="M57" t="s">
        <v>24</v>
      </c>
      <c r="N57" t="s">
        <v>35</v>
      </c>
      <c r="O57" t="s">
        <v>152</v>
      </c>
      <c r="P57">
        <v>2026</v>
      </c>
    </row>
    <row r="58" spans="1:16" x14ac:dyDescent="0.25">
      <c r="A58" s="96" t="s">
        <v>2</v>
      </c>
      <c r="B58" s="96" t="s">
        <v>196</v>
      </c>
      <c r="C58" s="96" t="s">
        <v>293</v>
      </c>
      <c r="D58" s="96" t="s">
        <v>40</v>
      </c>
      <c r="E58" s="43">
        <v>46057</v>
      </c>
      <c r="F58" s="43">
        <v>46151</v>
      </c>
      <c r="G58" s="96" t="s">
        <v>90</v>
      </c>
      <c r="H58" s="96" t="s">
        <v>3378</v>
      </c>
      <c r="I58" s="96" t="s">
        <v>209</v>
      </c>
      <c r="J58" s="96" t="s">
        <v>96</v>
      </c>
      <c r="K58" s="96" t="s">
        <v>246</v>
      </c>
      <c r="L58">
        <v>94</v>
      </c>
      <c r="M58" t="s">
        <v>28</v>
      </c>
      <c r="N58" t="s">
        <v>32</v>
      </c>
      <c r="O58" t="s">
        <v>152</v>
      </c>
      <c r="P58">
        <v>2026</v>
      </c>
    </row>
    <row r="59" spans="1:16" x14ac:dyDescent="0.25">
      <c r="A59" s="96" t="s">
        <v>2</v>
      </c>
      <c r="B59" s="96" t="s">
        <v>196</v>
      </c>
      <c r="C59" s="96" t="s">
        <v>294</v>
      </c>
      <c r="D59" s="96" t="s">
        <v>215</v>
      </c>
      <c r="E59" s="43">
        <v>46137</v>
      </c>
      <c r="F59" s="43">
        <v>46148</v>
      </c>
      <c r="G59" s="96" t="s">
        <v>92</v>
      </c>
      <c r="H59" s="96" t="s">
        <v>3379</v>
      </c>
      <c r="I59" s="96" t="s">
        <v>209</v>
      </c>
      <c r="J59" s="96" t="s">
        <v>94</v>
      </c>
      <c r="K59" s="96" t="s">
        <v>217</v>
      </c>
      <c r="L59">
        <v>11</v>
      </c>
      <c r="M59" t="s">
        <v>15</v>
      </c>
      <c r="N59" t="s">
        <v>37</v>
      </c>
      <c r="O59" t="s">
        <v>152</v>
      </c>
      <c r="P59">
        <v>2026</v>
      </c>
    </row>
    <row r="60" spans="1:16" hidden="1" x14ac:dyDescent="0.25">
      <c r="A60" s="96" t="s">
        <v>2</v>
      </c>
      <c r="B60" s="96" t="s">
        <v>251</v>
      </c>
      <c r="C60" s="96" t="s">
        <v>3380</v>
      </c>
      <c r="D60" s="96" t="s">
        <v>237</v>
      </c>
      <c r="E60" s="43">
        <v>45960</v>
      </c>
      <c r="F60" s="43">
        <v>46003</v>
      </c>
      <c r="G60" s="96" t="s">
        <v>90</v>
      </c>
      <c r="H60" s="96" t="s">
        <v>3381</v>
      </c>
      <c r="I60" s="96" t="s">
        <v>157</v>
      </c>
      <c r="J60" s="96" t="s">
        <v>173</v>
      </c>
      <c r="K60" s="96" t="s">
        <v>233</v>
      </c>
      <c r="L60">
        <v>43</v>
      </c>
      <c r="M60" t="s">
        <v>24</v>
      </c>
      <c r="N60" t="s">
        <v>16</v>
      </c>
      <c r="O60" t="s">
        <v>170</v>
      </c>
      <c r="P60">
        <v>2025</v>
      </c>
    </row>
    <row r="61" spans="1:16" hidden="1" x14ac:dyDescent="0.25">
      <c r="A61" s="96" t="s">
        <v>2</v>
      </c>
      <c r="B61" s="96" t="s">
        <v>280</v>
      </c>
      <c r="C61" s="96" t="s">
        <v>295</v>
      </c>
      <c r="D61" s="96" t="s">
        <v>237</v>
      </c>
      <c r="E61" s="43">
        <v>45793</v>
      </c>
      <c r="F61" s="43">
        <v>45837</v>
      </c>
      <c r="G61" s="96" t="s">
        <v>90</v>
      </c>
      <c r="H61" s="96" t="s">
        <v>3382</v>
      </c>
      <c r="I61" s="96" t="s">
        <v>204</v>
      </c>
      <c r="J61" s="96" t="s">
        <v>216</v>
      </c>
      <c r="K61" s="96" t="s">
        <v>157</v>
      </c>
      <c r="L61">
        <v>44</v>
      </c>
      <c r="M61" t="s">
        <v>24</v>
      </c>
      <c r="N61" t="s">
        <v>182</v>
      </c>
      <c r="O61" t="s">
        <v>170</v>
      </c>
      <c r="P61">
        <v>2025</v>
      </c>
    </row>
    <row r="62" spans="1:16" hidden="1" x14ac:dyDescent="0.25">
      <c r="A62" s="96" t="s">
        <v>2</v>
      </c>
      <c r="B62" s="96" t="s">
        <v>231</v>
      </c>
      <c r="C62" s="96" t="s">
        <v>298</v>
      </c>
      <c r="D62" s="96" t="s">
        <v>10</v>
      </c>
      <c r="E62" s="43">
        <v>45781</v>
      </c>
      <c r="F62" s="43">
        <v>45845</v>
      </c>
      <c r="G62" s="96" t="s">
        <v>90</v>
      </c>
      <c r="H62" s="96" t="s">
        <v>296</v>
      </c>
      <c r="I62" s="96" t="s">
        <v>157</v>
      </c>
      <c r="J62" s="96" t="s">
        <v>93</v>
      </c>
      <c r="K62" s="96" t="s">
        <v>230</v>
      </c>
      <c r="L62">
        <v>64</v>
      </c>
      <c r="M62" t="s">
        <v>28</v>
      </c>
      <c r="N62" t="s">
        <v>182</v>
      </c>
      <c r="O62" t="s">
        <v>170</v>
      </c>
      <c r="P62">
        <v>2025</v>
      </c>
    </row>
    <row r="63" spans="1:16" hidden="1" x14ac:dyDescent="0.25">
      <c r="A63" s="96" t="s">
        <v>171</v>
      </c>
      <c r="B63" s="96" t="s">
        <v>272</v>
      </c>
      <c r="C63" s="96" t="s">
        <v>299</v>
      </c>
      <c r="D63" s="96" t="s">
        <v>208</v>
      </c>
      <c r="E63" s="43">
        <v>45738</v>
      </c>
      <c r="F63" s="43">
        <v>45748</v>
      </c>
      <c r="G63" s="96" t="s">
        <v>92</v>
      </c>
      <c r="H63" s="96" t="s">
        <v>3383</v>
      </c>
      <c r="I63" s="96" t="s">
        <v>157</v>
      </c>
      <c r="J63" s="96" t="s">
        <v>96</v>
      </c>
      <c r="K63" s="96" t="s">
        <v>205</v>
      </c>
      <c r="L63">
        <v>10</v>
      </c>
      <c r="M63" t="s">
        <v>15</v>
      </c>
      <c r="N63" t="s">
        <v>186</v>
      </c>
      <c r="O63" t="s">
        <v>151</v>
      </c>
      <c r="P63">
        <v>2025</v>
      </c>
    </row>
    <row r="64" spans="1:16" x14ac:dyDescent="0.25">
      <c r="A64" s="96" t="s">
        <v>2</v>
      </c>
      <c r="B64" s="96" t="s">
        <v>261</v>
      </c>
      <c r="C64" s="96" t="s">
        <v>3384</v>
      </c>
      <c r="D64" s="96" t="s">
        <v>237</v>
      </c>
      <c r="E64" s="43">
        <v>46146</v>
      </c>
      <c r="F64" s="43">
        <v>46150</v>
      </c>
      <c r="G64" s="96" t="s">
        <v>95</v>
      </c>
      <c r="H64" s="96" t="s">
        <v>297</v>
      </c>
      <c r="I64" s="96" t="s">
        <v>204</v>
      </c>
      <c r="J64" s="96" t="s">
        <v>172</v>
      </c>
      <c r="K64" s="96" t="s">
        <v>195</v>
      </c>
      <c r="L64">
        <v>4</v>
      </c>
      <c r="M64" t="s">
        <v>11</v>
      </c>
      <c r="N64" t="s">
        <v>183</v>
      </c>
      <c r="O64" t="s">
        <v>151</v>
      </c>
      <c r="P64">
        <v>2026</v>
      </c>
    </row>
    <row r="65" spans="1:16" x14ac:dyDescent="0.25">
      <c r="A65" s="96" t="s">
        <v>2</v>
      </c>
      <c r="B65" s="96" t="s">
        <v>244</v>
      </c>
      <c r="C65" s="96" t="s">
        <v>300</v>
      </c>
      <c r="D65" s="96" t="s">
        <v>14</v>
      </c>
      <c r="E65" s="43">
        <v>46150</v>
      </c>
      <c r="F65" s="43">
        <v>46149</v>
      </c>
      <c r="G65" s="96" t="s">
        <v>92</v>
      </c>
      <c r="H65" s="96" t="s">
        <v>3385</v>
      </c>
      <c r="I65" s="96" t="s">
        <v>209</v>
      </c>
      <c r="J65" s="96" t="s">
        <v>177</v>
      </c>
      <c r="K65" s="96" t="s">
        <v>230</v>
      </c>
      <c r="L65">
        <v>-1</v>
      </c>
      <c r="M65" t="s">
        <v>11</v>
      </c>
      <c r="N65" t="s">
        <v>183</v>
      </c>
      <c r="O65" t="s">
        <v>150</v>
      </c>
      <c r="P65">
        <v>2026</v>
      </c>
    </row>
    <row r="66" spans="1:16" x14ac:dyDescent="0.25">
      <c r="A66" s="96" t="s">
        <v>2</v>
      </c>
      <c r="B66" s="96" t="s">
        <v>269</v>
      </c>
      <c r="C66" s="96" t="s">
        <v>303</v>
      </c>
      <c r="D66" s="96" t="s">
        <v>34</v>
      </c>
      <c r="E66" s="43">
        <v>46031</v>
      </c>
      <c r="F66" s="43">
        <v>46106</v>
      </c>
      <c r="G66" s="96" t="s">
        <v>90</v>
      </c>
      <c r="H66" s="96" t="s">
        <v>3386</v>
      </c>
      <c r="I66" s="96" t="s">
        <v>225</v>
      </c>
      <c r="J66" s="96" t="s">
        <v>173</v>
      </c>
      <c r="K66" s="96" t="s">
        <v>157</v>
      </c>
      <c r="L66">
        <v>75</v>
      </c>
      <c r="M66" t="s">
        <v>28</v>
      </c>
      <c r="N66" t="s">
        <v>29</v>
      </c>
      <c r="O66" t="s">
        <v>152</v>
      </c>
      <c r="P66">
        <v>2026</v>
      </c>
    </row>
    <row r="67" spans="1:16" x14ac:dyDescent="0.25">
      <c r="A67" s="96" t="s">
        <v>2</v>
      </c>
      <c r="B67" s="96" t="s">
        <v>218</v>
      </c>
      <c r="C67" s="96" t="s">
        <v>306</v>
      </c>
      <c r="D67" s="96" t="s">
        <v>223</v>
      </c>
      <c r="E67" s="43">
        <v>46116</v>
      </c>
      <c r="F67" s="43">
        <v>46147</v>
      </c>
      <c r="G67" s="96" t="s">
        <v>90</v>
      </c>
      <c r="H67" s="96" t="s">
        <v>3387</v>
      </c>
      <c r="I67" s="96" t="s">
        <v>157</v>
      </c>
      <c r="J67" s="96" t="s">
        <v>199</v>
      </c>
      <c r="K67" s="96" t="s">
        <v>246</v>
      </c>
      <c r="L67">
        <v>31</v>
      </c>
      <c r="M67" t="s">
        <v>24</v>
      </c>
      <c r="N67" t="s">
        <v>37</v>
      </c>
      <c r="O67" t="s">
        <v>152</v>
      </c>
      <c r="P67">
        <v>2026</v>
      </c>
    </row>
    <row r="68" spans="1:16" x14ac:dyDescent="0.25">
      <c r="A68" s="96" t="s">
        <v>2</v>
      </c>
      <c r="B68" s="96" t="s">
        <v>261</v>
      </c>
      <c r="C68" s="96" t="s">
        <v>308</v>
      </c>
      <c r="D68" s="96" t="s">
        <v>208</v>
      </c>
      <c r="E68" s="43">
        <v>46059</v>
      </c>
      <c r="F68" s="43">
        <v>46150</v>
      </c>
      <c r="G68" s="96" t="s">
        <v>92</v>
      </c>
      <c r="H68" s="96" t="s">
        <v>301</v>
      </c>
      <c r="I68" s="96" t="s">
        <v>204</v>
      </c>
      <c r="J68" s="96" t="s">
        <v>168</v>
      </c>
      <c r="K68" s="96" t="s">
        <v>217</v>
      </c>
      <c r="L68">
        <v>91</v>
      </c>
      <c r="M68" t="s">
        <v>28</v>
      </c>
      <c r="N68" t="s">
        <v>32</v>
      </c>
      <c r="O68" t="s">
        <v>151</v>
      </c>
      <c r="P68">
        <v>2026</v>
      </c>
    </row>
    <row r="69" spans="1:16" x14ac:dyDescent="0.25">
      <c r="A69" s="96" t="s">
        <v>2</v>
      </c>
      <c r="B69" s="96" t="s">
        <v>302</v>
      </c>
      <c r="C69" s="96" t="s">
        <v>3388</v>
      </c>
      <c r="D69" s="96" t="s">
        <v>192</v>
      </c>
      <c r="E69" s="43">
        <v>46118</v>
      </c>
      <c r="F69" s="43">
        <v>46132</v>
      </c>
      <c r="G69" s="96" t="s">
        <v>90</v>
      </c>
      <c r="H69" s="96" t="s">
        <v>304</v>
      </c>
      <c r="I69" s="96" t="s">
        <v>225</v>
      </c>
      <c r="J69" s="96" t="s">
        <v>165</v>
      </c>
      <c r="K69" s="96" t="s">
        <v>246</v>
      </c>
      <c r="L69">
        <v>14</v>
      </c>
      <c r="M69" t="s">
        <v>15</v>
      </c>
      <c r="N69" t="s">
        <v>37</v>
      </c>
      <c r="O69" t="s">
        <v>150</v>
      </c>
      <c r="P69">
        <v>2026</v>
      </c>
    </row>
    <row r="70" spans="1:16" x14ac:dyDescent="0.25">
      <c r="A70" s="96" t="s">
        <v>2</v>
      </c>
      <c r="B70" s="96" t="s">
        <v>305</v>
      </c>
      <c r="C70" s="96" t="s">
        <v>310</v>
      </c>
      <c r="D70" s="96" t="s">
        <v>14</v>
      </c>
      <c r="E70" s="43">
        <v>46100</v>
      </c>
      <c r="F70" s="43">
        <v>46148</v>
      </c>
      <c r="G70" s="96" t="s">
        <v>92</v>
      </c>
      <c r="H70" s="96" t="s">
        <v>307</v>
      </c>
      <c r="I70" s="96" t="s">
        <v>225</v>
      </c>
      <c r="J70" s="96" t="s">
        <v>98</v>
      </c>
      <c r="K70" s="96" t="s">
        <v>210</v>
      </c>
      <c r="L70">
        <v>48</v>
      </c>
      <c r="M70" t="s">
        <v>24</v>
      </c>
      <c r="N70" t="s">
        <v>35</v>
      </c>
      <c r="O70" t="s">
        <v>170</v>
      </c>
      <c r="P70">
        <v>2026</v>
      </c>
    </row>
    <row r="71" spans="1:16" hidden="1" x14ac:dyDescent="0.25">
      <c r="A71" s="96" t="s">
        <v>2</v>
      </c>
      <c r="B71" s="96" t="s">
        <v>280</v>
      </c>
      <c r="C71" s="96" t="s">
        <v>312</v>
      </c>
      <c r="D71" s="96" t="s">
        <v>208</v>
      </c>
      <c r="E71" s="43">
        <v>45847</v>
      </c>
      <c r="F71" s="43">
        <v>45933</v>
      </c>
      <c r="G71" s="96" t="s">
        <v>90</v>
      </c>
      <c r="H71" s="96" t="s">
        <v>309</v>
      </c>
      <c r="I71" s="96" t="s">
        <v>228</v>
      </c>
      <c r="J71" s="96" t="s">
        <v>283</v>
      </c>
      <c r="K71" s="96" t="s">
        <v>230</v>
      </c>
      <c r="L71">
        <v>86</v>
      </c>
      <c r="M71" t="s">
        <v>28</v>
      </c>
      <c r="N71" t="s">
        <v>187</v>
      </c>
      <c r="O71" t="s">
        <v>170</v>
      </c>
      <c r="P71">
        <v>2025</v>
      </c>
    </row>
    <row r="72" spans="1:16" hidden="1" x14ac:dyDescent="0.25">
      <c r="A72" s="96" t="s">
        <v>2</v>
      </c>
      <c r="B72" s="96" t="s">
        <v>257</v>
      </c>
      <c r="C72" s="96" t="s">
        <v>3389</v>
      </c>
      <c r="D72" s="96" t="s">
        <v>10</v>
      </c>
      <c r="E72" s="43">
        <v>45755</v>
      </c>
      <c r="F72" s="43">
        <v>45771</v>
      </c>
      <c r="G72" s="96" t="s">
        <v>90</v>
      </c>
      <c r="H72" s="96" t="s">
        <v>311</v>
      </c>
      <c r="I72" s="96" t="s">
        <v>157</v>
      </c>
      <c r="J72" s="96" t="s">
        <v>174</v>
      </c>
      <c r="K72" s="96" t="s">
        <v>205</v>
      </c>
      <c r="L72">
        <v>16</v>
      </c>
      <c r="M72" t="s">
        <v>19</v>
      </c>
      <c r="N72" t="s">
        <v>185</v>
      </c>
      <c r="O72" t="s">
        <v>151</v>
      </c>
      <c r="P72">
        <v>2025</v>
      </c>
    </row>
    <row r="73" spans="1:16" x14ac:dyDescent="0.25">
      <c r="A73" s="96" t="s">
        <v>2</v>
      </c>
      <c r="B73" s="96" t="s">
        <v>288</v>
      </c>
      <c r="C73" s="96" t="s">
        <v>3390</v>
      </c>
      <c r="D73" s="96" t="s">
        <v>34</v>
      </c>
      <c r="E73" s="43">
        <v>46075</v>
      </c>
      <c r="F73" s="43">
        <v>46084</v>
      </c>
      <c r="G73" s="96" t="s">
        <v>90</v>
      </c>
      <c r="H73" s="96" t="s">
        <v>313</v>
      </c>
      <c r="I73" s="96" t="s">
        <v>157</v>
      </c>
      <c r="J73" s="96" t="s">
        <v>172</v>
      </c>
      <c r="K73" s="96" t="s">
        <v>230</v>
      </c>
      <c r="L73">
        <v>9</v>
      </c>
      <c r="M73" t="s">
        <v>15</v>
      </c>
      <c r="N73" t="s">
        <v>32</v>
      </c>
      <c r="O73" t="s">
        <v>170</v>
      </c>
      <c r="P73">
        <v>2026</v>
      </c>
    </row>
    <row r="74" spans="1:16" x14ac:dyDescent="0.25">
      <c r="A74" s="96" t="s">
        <v>175</v>
      </c>
      <c r="B74" s="96" t="s">
        <v>249</v>
      </c>
      <c r="C74" s="96" t="s">
        <v>314</v>
      </c>
      <c r="D74" s="96" t="s">
        <v>10</v>
      </c>
      <c r="E74" s="43">
        <v>46060</v>
      </c>
      <c r="F74" s="43">
        <v>46077</v>
      </c>
      <c r="G74" s="96" t="s">
        <v>92</v>
      </c>
      <c r="H74" s="96" t="s">
        <v>3391</v>
      </c>
      <c r="I74" s="96" t="s">
        <v>204</v>
      </c>
      <c r="J74" s="96" t="s">
        <v>94</v>
      </c>
      <c r="K74" s="96" t="s">
        <v>200</v>
      </c>
      <c r="L74">
        <v>17</v>
      </c>
      <c r="M74" t="s">
        <v>19</v>
      </c>
      <c r="N74" t="s">
        <v>32</v>
      </c>
      <c r="O74" t="s">
        <v>170</v>
      </c>
      <c r="P74">
        <v>2026</v>
      </c>
    </row>
    <row r="75" spans="1:16" hidden="1" x14ac:dyDescent="0.25">
      <c r="A75" s="96" t="s">
        <v>2</v>
      </c>
      <c r="B75" s="96" t="s">
        <v>238</v>
      </c>
      <c r="C75" s="96" t="s">
        <v>3392</v>
      </c>
      <c r="D75" s="96" t="s">
        <v>237</v>
      </c>
      <c r="E75" s="43">
        <v>45972</v>
      </c>
      <c r="F75" s="43">
        <v>45978</v>
      </c>
      <c r="G75" s="96" t="s">
        <v>95</v>
      </c>
      <c r="H75" s="96" t="s">
        <v>3393</v>
      </c>
      <c r="I75" s="96" t="s">
        <v>194</v>
      </c>
      <c r="J75" s="96" t="s">
        <v>199</v>
      </c>
      <c r="K75" s="96" t="s">
        <v>246</v>
      </c>
      <c r="L75">
        <v>6</v>
      </c>
      <c r="M75" t="s">
        <v>11</v>
      </c>
      <c r="N75" t="s">
        <v>20</v>
      </c>
      <c r="O75" t="s">
        <v>170</v>
      </c>
      <c r="P75">
        <v>2025</v>
      </c>
    </row>
    <row r="76" spans="1:16" hidden="1" x14ac:dyDescent="0.25">
      <c r="A76" s="96" t="s">
        <v>2</v>
      </c>
      <c r="B76" s="96" t="s">
        <v>213</v>
      </c>
      <c r="C76" s="96" t="s">
        <v>316</v>
      </c>
      <c r="D76" s="96" t="s">
        <v>237</v>
      </c>
      <c r="E76" s="43">
        <v>45885</v>
      </c>
      <c r="F76" s="43">
        <v>45895</v>
      </c>
      <c r="G76" s="96" t="s">
        <v>92</v>
      </c>
      <c r="H76" s="96" t="s">
        <v>315</v>
      </c>
      <c r="I76" s="96" t="s">
        <v>228</v>
      </c>
      <c r="J76" s="96" t="s">
        <v>169</v>
      </c>
      <c r="K76" s="96" t="s">
        <v>230</v>
      </c>
      <c r="L76">
        <v>10</v>
      </c>
      <c r="M76" t="s">
        <v>15</v>
      </c>
      <c r="N76" t="s">
        <v>8</v>
      </c>
      <c r="O76" t="s">
        <v>149</v>
      </c>
      <c r="P76">
        <v>2025</v>
      </c>
    </row>
    <row r="77" spans="1:16" hidden="1" x14ac:dyDescent="0.25">
      <c r="A77" s="96" t="s">
        <v>175</v>
      </c>
      <c r="B77" s="96" t="s">
        <v>240</v>
      </c>
      <c r="C77" s="96" t="s">
        <v>3394</v>
      </c>
      <c r="D77" s="96" t="s">
        <v>237</v>
      </c>
      <c r="E77" s="43">
        <v>45967</v>
      </c>
      <c r="F77" s="43">
        <v>46023</v>
      </c>
      <c r="G77" s="96" t="s">
        <v>90</v>
      </c>
      <c r="H77" s="96" t="s">
        <v>3395</v>
      </c>
      <c r="I77" s="96" t="s">
        <v>194</v>
      </c>
      <c r="J77" s="96" t="s">
        <v>94</v>
      </c>
      <c r="K77" s="96" t="s">
        <v>217</v>
      </c>
      <c r="L77">
        <v>56</v>
      </c>
      <c r="M77" t="s">
        <v>24</v>
      </c>
      <c r="N77" t="s">
        <v>20</v>
      </c>
      <c r="O77" t="s">
        <v>149</v>
      </c>
      <c r="P77">
        <v>2025</v>
      </c>
    </row>
    <row r="78" spans="1:16" hidden="1" x14ac:dyDescent="0.25">
      <c r="A78" s="96" t="s">
        <v>2</v>
      </c>
      <c r="B78" s="96" t="s">
        <v>257</v>
      </c>
      <c r="C78" s="96" t="s">
        <v>318</v>
      </c>
      <c r="D78" s="96" t="s">
        <v>34</v>
      </c>
      <c r="E78" s="43">
        <v>45890</v>
      </c>
      <c r="F78" s="43">
        <v>45942</v>
      </c>
      <c r="G78" s="96" t="s">
        <v>92</v>
      </c>
      <c r="H78" s="96" t="s">
        <v>3396</v>
      </c>
      <c r="I78" s="96" t="s">
        <v>209</v>
      </c>
      <c r="J78" s="96" t="s">
        <v>216</v>
      </c>
      <c r="K78" s="96" t="s">
        <v>233</v>
      </c>
      <c r="L78">
        <v>52</v>
      </c>
      <c r="M78" t="s">
        <v>24</v>
      </c>
      <c r="N78" t="s">
        <v>8</v>
      </c>
      <c r="O78" t="s">
        <v>151</v>
      </c>
      <c r="P78">
        <v>2025</v>
      </c>
    </row>
    <row r="79" spans="1:16" hidden="1" x14ac:dyDescent="0.25">
      <c r="A79" s="96" t="s">
        <v>171</v>
      </c>
      <c r="B79" s="96" t="s">
        <v>257</v>
      </c>
      <c r="C79" s="96" t="s">
        <v>319</v>
      </c>
      <c r="D79" s="96" t="s">
        <v>192</v>
      </c>
      <c r="E79" s="43">
        <v>45868</v>
      </c>
      <c r="F79" s="43">
        <v>45914</v>
      </c>
      <c r="G79" s="96" t="s">
        <v>92</v>
      </c>
      <c r="H79" s="96" t="s">
        <v>3397</v>
      </c>
      <c r="I79" s="96" t="s">
        <v>228</v>
      </c>
      <c r="J79" s="96" t="s">
        <v>91</v>
      </c>
      <c r="K79" s="96" t="s">
        <v>210</v>
      </c>
      <c r="L79">
        <v>46</v>
      </c>
      <c r="M79" t="s">
        <v>24</v>
      </c>
      <c r="N79" t="s">
        <v>187</v>
      </c>
      <c r="O79" t="s">
        <v>151</v>
      </c>
      <c r="P79">
        <v>2025</v>
      </c>
    </row>
    <row r="80" spans="1:16" hidden="1" x14ac:dyDescent="0.25">
      <c r="A80" s="96" t="s">
        <v>175</v>
      </c>
      <c r="B80" s="96" t="s">
        <v>213</v>
      </c>
      <c r="C80" s="96" t="s">
        <v>320</v>
      </c>
      <c r="D80" s="96" t="s">
        <v>237</v>
      </c>
      <c r="E80" s="43">
        <v>45772</v>
      </c>
      <c r="F80" s="43">
        <v>45881</v>
      </c>
      <c r="G80" s="96" t="s">
        <v>92</v>
      </c>
      <c r="H80" s="96" t="s">
        <v>3398</v>
      </c>
      <c r="I80" s="96" t="s">
        <v>157</v>
      </c>
      <c r="J80" s="96" t="s">
        <v>98</v>
      </c>
      <c r="K80" s="96" t="s">
        <v>157</v>
      </c>
      <c r="L80">
        <v>109</v>
      </c>
      <c r="M80" t="s">
        <v>28</v>
      </c>
      <c r="N80" t="s">
        <v>185</v>
      </c>
      <c r="O80" t="s">
        <v>149</v>
      </c>
      <c r="P80">
        <v>2025</v>
      </c>
    </row>
    <row r="81" spans="1:16" hidden="1" x14ac:dyDescent="0.25">
      <c r="A81" s="96" t="s">
        <v>2</v>
      </c>
      <c r="B81" s="96" t="s">
        <v>322</v>
      </c>
      <c r="C81" s="96" t="s">
        <v>3399</v>
      </c>
      <c r="D81" s="96" t="s">
        <v>208</v>
      </c>
      <c r="E81" s="43">
        <v>45863</v>
      </c>
      <c r="F81" s="43">
        <v>45872</v>
      </c>
      <c r="G81" s="96" t="s">
        <v>92</v>
      </c>
      <c r="H81" s="96" t="s">
        <v>3400</v>
      </c>
      <c r="I81" s="96" t="s">
        <v>204</v>
      </c>
      <c r="J81" s="96" t="s">
        <v>229</v>
      </c>
      <c r="K81" s="96" t="s">
        <v>200</v>
      </c>
      <c r="L81">
        <v>9</v>
      </c>
      <c r="M81" t="s">
        <v>15</v>
      </c>
      <c r="N81" t="s">
        <v>187</v>
      </c>
      <c r="O81" t="s">
        <v>150</v>
      </c>
      <c r="P81">
        <v>2025</v>
      </c>
    </row>
    <row r="82" spans="1:16" hidden="1" x14ac:dyDescent="0.25">
      <c r="A82" s="96" t="s">
        <v>21</v>
      </c>
      <c r="B82" s="96" t="s">
        <v>221</v>
      </c>
      <c r="C82" s="96" t="s">
        <v>3401</v>
      </c>
      <c r="D82" s="96" t="s">
        <v>14</v>
      </c>
      <c r="E82" s="43">
        <v>45824</v>
      </c>
      <c r="F82" s="43">
        <v>45924</v>
      </c>
      <c r="G82" s="96" t="s">
        <v>92</v>
      </c>
      <c r="H82" s="96" t="s">
        <v>3402</v>
      </c>
      <c r="I82" s="96" t="s">
        <v>204</v>
      </c>
      <c r="J82" s="96" t="s">
        <v>93</v>
      </c>
      <c r="K82" s="96" t="s">
        <v>217</v>
      </c>
      <c r="L82">
        <v>100</v>
      </c>
      <c r="M82" t="s">
        <v>28</v>
      </c>
      <c r="N82" t="s">
        <v>184</v>
      </c>
      <c r="O82" t="s">
        <v>170</v>
      </c>
      <c r="P82">
        <v>2025</v>
      </c>
    </row>
    <row r="83" spans="1:16" hidden="1" x14ac:dyDescent="0.25">
      <c r="A83" s="96" t="s">
        <v>2</v>
      </c>
      <c r="B83" s="96" t="s">
        <v>206</v>
      </c>
      <c r="C83" s="96" t="s">
        <v>3403</v>
      </c>
      <c r="D83" s="96" t="s">
        <v>40</v>
      </c>
      <c r="E83" s="43">
        <v>45884</v>
      </c>
      <c r="F83" s="43">
        <v>45938</v>
      </c>
      <c r="G83" s="96" t="s">
        <v>92</v>
      </c>
      <c r="H83" s="96" t="s">
        <v>3404</v>
      </c>
      <c r="I83" s="96" t="s">
        <v>209</v>
      </c>
      <c r="J83" s="96" t="s">
        <v>216</v>
      </c>
      <c r="K83" s="96" t="s">
        <v>157</v>
      </c>
      <c r="L83">
        <v>54</v>
      </c>
      <c r="M83" t="s">
        <v>24</v>
      </c>
      <c r="N83" t="s">
        <v>8</v>
      </c>
      <c r="O83" t="s">
        <v>152</v>
      </c>
      <c r="P83">
        <v>2025</v>
      </c>
    </row>
    <row r="84" spans="1:16" hidden="1" x14ac:dyDescent="0.25">
      <c r="A84" s="96" t="s">
        <v>2</v>
      </c>
      <c r="B84" s="96" t="s">
        <v>257</v>
      </c>
      <c r="C84" s="96" t="s">
        <v>323</v>
      </c>
      <c r="D84" s="96" t="s">
        <v>40</v>
      </c>
      <c r="E84" s="43">
        <v>45681</v>
      </c>
      <c r="F84" s="43">
        <v>45710</v>
      </c>
      <c r="G84" s="96" t="s">
        <v>92</v>
      </c>
      <c r="H84" s="96" t="s">
        <v>321</v>
      </c>
      <c r="I84" s="96" t="s">
        <v>204</v>
      </c>
      <c r="J84" s="96" t="s">
        <v>174</v>
      </c>
      <c r="K84" s="96" t="s">
        <v>233</v>
      </c>
      <c r="L84">
        <v>29</v>
      </c>
      <c r="M84" t="s">
        <v>19</v>
      </c>
      <c r="N84" t="s">
        <v>181</v>
      </c>
      <c r="O84" t="s">
        <v>151</v>
      </c>
      <c r="P84">
        <v>2025</v>
      </c>
    </row>
    <row r="85" spans="1:16" x14ac:dyDescent="0.25">
      <c r="A85" s="96" t="s">
        <v>2</v>
      </c>
      <c r="B85" s="96" t="s">
        <v>261</v>
      </c>
      <c r="C85" s="96" t="s">
        <v>324</v>
      </c>
      <c r="D85" s="96" t="s">
        <v>192</v>
      </c>
      <c r="E85" s="43">
        <v>46066</v>
      </c>
      <c r="F85" s="43">
        <v>46147</v>
      </c>
      <c r="G85" s="96" t="s">
        <v>90</v>
      </c>
      <c r="H85" s="96" t="s">
        <v>3405</v>
      </c>
      <c r="I85" s="96" t="s">
        <v>194</v>
      </c>
      <c r="J85" s="96" t="s">
        <v>169</v>
      </c>
      <c r="K85" s="96" t="s">
        <v>233</v>
      </c>
      <c r="L85">
        <v>81</v>
      </c>
      <c r="M85" t="s">
        <v>28</v>
      </c>
      <c r="N85" t="s">
        <v>32</v>
      </c>
      <c r="O85" t="s">
        <v>151</v>
      </c>
      <c r="P85">
        <v>2026</v>
      </c>
    </row>
    <row r="86" spans="1:16" hidden="1" x14ac:dyDescent="0.25">
      <c r="A86" s="96" t="s">
        <v>2</v>
      </c>
      <c r="B86" s="96" t="s">
        <v>206</v>
      </c>
      <c r="C86" s="96" t="s">
        <v>325</v>
      </c>
      <c r="D86" s="96" t="s">
        <v>203</v>
      </c>
      <c r="E86" s="43">
        <v>45816</v>
      </c>
      <c r="F86" s="43">
        <v>45912</v>
      </c>
      <c r="G86" s="96" t="s">
        <v>92</v>
      </c>
      <c r="H86" s="96" t="s">
        <v>3406</v>
      </c>
      <c r="I86" s="96" t="s">
        <v>228</v>
      </c>
      <c r="J86" s="96" t="s">
        <v>91</v>
      </c>
      <c r="K86" s="96" t="s">
        <v>200</v>
      </c>
      <c r="L86">
        <v>96</v>
      </c>
      <c r="M86" t="s">
        <v>28</v>
      </c>
      <c r="N86" t="s">
        <v>184</v>
      </c>
      <c r="O86" t="s">
        <v>152</v>
      </c>
      <c r="P86">
        <v>2025</v>
      </c>
    </row>
    <row r="87" spans="1:16" hidden="1" x14ac:dyDescent="0.25">
      <c r="A87" s="96" t="s">
        <v>2</v>
      </c>
      <c r="B87" s="96" t="s">
        <v>190</v>
      </c>
      <c r="C87" s="96" t="s">
        <v>326</v>
      </c>
      <c r="D87" s="96" t="s">
        <v>14</v>
      </c>
      <c r="E87" s="43">
        <v>45988</v>
      </c>
      <c r="F87" s="43">
        <v>46093</v>
      </c>
      <c r="G87" s="96" t="s">
        <v>92</v>
      </c>
      <c r="H87" s="96" t="s">
        <v>3407</v>
      </c>
      <c r="I87" s="96" t="s">
        <v>225</v>
      </c>
      <c r="J87" s="96" t="s">
        <v>216</v>
      </c>
      <c r="K87" s="96" t="s">
        <v>246</v>
      </c>
      <c r="L87">
        <v>105</v>
      </c>
      <c r="M87" t="s">
        <v>28</v>
      </c>
      <c r="N87" t="s">
        <v>20</v>
      </c>
      <c r="O87" t="s">
        <v>150</v>
      </c>
      <c r="P87">
        <v>2025</v>
      </c>
    </row>
    <row r="88" spans="1:16" x14ac:dyDescent="0.25">
      <c r="A88" s="96" t="s">
        <v>21</v>
      </c>
      <c r="B88" s="96" t="s">
        <v>249</v>
      </c>
      <c r="C88" s="96" t="s">
        <v>327</v>
      </c>
      <c r="D88" s="96" t="s">
        <v>14</v>
      </c>
      <c r="E88" s="43">
        <v>46137</v>
      </c>
      <c r="F88" s="43">
        <v>46147</v>
      </c>
      <c r="G88" s="96" t="s">
        <v>90</v>
      </c>
      <c r="H88" s="96" t="s">
        <v>3408</v>
      </c>
      <c r="I88" s="96" t="s">
        <v>194</v>
      </c>
      <c r="J88" s="96" t="s">
        <v>93</v>
      </c>
      <c r="K88" s="96" t="s">
        <v>230</v>
      </c>
      <c r="L88">
        <v>10</v>
      </c>
      <c r="M88" t="s">
        <v>15</v>
      </c>
      <c r="N88" t="s">
        <v>37</v>
      </c>
      <c r="O88" t="s">
        <v>170</v>
      </c>
      <c r="P88">
        <v>2026</v>
      </c>
    </row>
    <row r="89" spans="1:16" x14ac:dyDescent="0.25">
      <c r="A89" s="96" t="s">
        <v>2</v>
      </c>
      <c r="B89" s="96" t="s">
        <v>317</v>
      </c>
      <c r="C89" s="96" t="s">
        <v>3409</v>
      </c>
      <c r="D89" s="96" t="s">
        <v>40</v>
      </c>
      <c r="E89" s="43">
        <v>46037</v>
      </c>
      <c r="F89" s="43">
        <v>46083</v>
      </c>
      <c r="G89" s="96" t="s">
        <v>92</v>
      </c>
      <c r="H89" s="96" t="s">
        <v>3410</v>
      </c>
      <c r="I89" s="96" t="s">
        <v>9</v>
      </c>
      <c r="J89" s="96" t="s">
        <v>165</v>
      </c>
      <c r="K89" s="96" t="s">
        <v>157</v>
      </c>
      <c r="L89">
        <v>46</v>
      </c>
      <c r="M89" t="s">
        <v>24</v>
      </c>
      <c r="N89" t="s">
        <v>29</v>
      </c>
      <c r="O89" t="s">
        <v>170</v>
      </c>
      <c r="P89">
        <v>2026</v>
      </c>
    </row>
    <row r="90" spans="1:16" hidden="1" x14ac:dyDescent="0.25">
      <c r="A90" s="96" t="s">
        <v>21</v>
      </c>
      <c r="B90" s="96" t="s">
        <v>251</v>
      </c>
      <c r="C90" s="96" t="s">
        <v>328</v>
      </c>
      <c r="D90" s="96" t="s">
        <v>192</v>
      </c>
      <c r="E90" s="43">
        <v>45955</v>
      </c>
      <c r="F90" s="43">
        <v>46026</v>
      </c>
      <c r="G90" s="96" t="s">
        <v>92</v>
      </c>
      <c r="H90" s="96" t="s">
        <v>3411</v>
      </c>
      <c r="I90" s="96" t="s">
        <v>194</v>
      </c>
      <c r="J90" s="96" t="s">
        <v>169</v>
      </c>
      <c r="K90" s="96" t="s">
        <v>210</v>
      </c>
      <c r="L90">
        <v>71</v>
      </c>
      <c r="M90" t="s">
        <v>28</v>
      </c>
      <c r="N90" t="s">
        <v>16</v>
      </c>
      <c r="O90" t="s">
        <v>170</v>
      </c>
      <c r="P90">
        <v>2025</v>
      </c>
    </row>
    <row r="91" spans="1:16" x14ac:dyDescent="0.25">
      <c r="A91" s="96" t="s">
        <v>2</v>
      </c>
      <c r="B91" s="96" t="s">
        <v>305</v>
      </c>
      <c r="C91" s="96" t="s">
        <v>329</v>
      </c>
      <c r="D91" s="96" t="s">
        <v>203</v>
      </c>
      <c r="E91" s="43">
        <v>46138</v>
      </c>
      <c r="F91" s="43">
        <v>46149</v>
      </c>
      <c r="G91" s="96" t="s">
        <v>90</v>
      </c>
      <c r="H91" s="96" t="s">
        <v>3412</v>
      </c>
      <c r="I91" s="96" t="s">
        <v>228</v>
      </c>
      <c r="J91" s="96" t="s">
        <v>229</v>
      </c>
      <c r="K91" s="96" t="s">
        <v>200</v>
      </c>
      <c r="L91">
        <v>11</v>
      </c>
      <c r="M91" t="s">
        <v>15</v>
      </c>
      <c r="N91" t="s">
        <v>37</v>
      </c>
      <c r="O91" t="s">
        <v>170</v>
      </c>
      <c r="P91">
        <v>2026</v>
      </c>
    </row>
    <row r="92" spans="1:16" hidden="1" x14ac:dyDescent="0.25">
      <c r="A92" s="96" t="s">
        <v>2</v>
      </c>
      <c r="B92" s="96" t="s">
        <v>272</v>
      </c>
      <c r="C92" s="96" t="s">
        <v>330</v>
      </c>
      <c r="D92" s="96" t="s">
        <v>14</v>
      </c>
      <c r="E92" s="43">
        <v>45802</v>
      </c>
      <c r="F92" s="43">
        <v>45852</v>
      </c>
      <c r="G92" s="96" t="s">
        <v>92</v>
      </c>
      <c r="H92" s="96" t="s">
        <v>3413</v>
      </c>
      <c r="I92" s="96" t="s">
        <v>204</v>
      </c>
      <c r="J92" s="96" t="s">
        <v>199</v>
      </c>
      <c r="K92" s="96" t="s">
        <v>157</v>
      </c>
      <c r="L92">
        <v>50</v>
      </c>
      <c r="M92" t="s">
        <v>24</v>
      </c>
      <c r="N92" t="s">
        <v>182</v>
      </c>
      <c r="O92" t="s">
        <v>151</v>
      </c>
      <c r="P92">
        <v>2025</v>
      </c>
    </row>
    <row r="93" spans="1:16" hidden="1" x14ac:dyDescent="0.25">
      <c r="A93" s="96" t="s">
        <v>2</v>
      </c>
      <c r="B93" s="96" t="s">
        <v>231</v>
      </c>
      <c r="C93" s="96" t="s">
        <v>331</v>
      </c>
      <c r="D93" s="96" t="s">
        <v>40</v>
      </c>
      <c r="E93" s="43">
        <v>45803</v>
      </c>
      <c r="F93" s="43">
        <v>45836</v>
      </c>
      <c r="G93" s="96" t="s">
        <v>92</v>
      </c>
      <c r="H93" s="96" t="s">
        <v>3414</v>
      </c>
      <c r="I93" s="96" t="s">
        <v>209</v>
      </c>
      <c r="J93" s="96" t="s">
        <v>176</v>
      </c>
      <c r="K93" s="96" t="s">
        <v>210</v>
      </c>
      <c r="L93">
        <v>33</v>
      </c>
      <c r="M93" t="s">
        <v>24</v>
      </c>
      <c r="N93" t="s">
        <v>182</v>
      </c>
      <c r="O93" t="s">
        <v>170</v>
      </c>
      <c r="P93">
        <v>2025</v>
      </c>
    </row>
    <row r="94" spans="1:16" hidden="1" x14ac:dyDescent="0.25">
      <c r="A94" s="96" t="s">
        <v>2</v>
      </c>
      <c r="B94" s="96" t="s">
        <v>280</v>
      </c>
      <c r="C94" s="96" t="s">
        <v>332</v>
      </c>
      <c r="D94" s="96" t="s">
        <v>14</v>
      </c>
      <c r="E94" s="43">
        <v>45701</v>
      </c>
      <c r="F94" s="43">
        <v>45741</v>
      </c>
      <c r="G94" s="96" t="s">
        <v>92</v>
      </c>
      <c r="H94" s="96" t="s">
        <v>3415</v>
      </c>
      <c r="I94" s="96" t="s">
        <v>209</v>
      </c>
      <c r="J94" s="96" t="s">
        <v>283</v>
      </c>
      <c r="K94" s="96" t="s">
        <v>157</v>
      </c>
      <c r="L94">
        <v>40</v>
      </c>
      <c r="M94" t="s">
        <v>24</v>
      </c>
      <c r="N94" t="s">
        <v>188</v>
      </c>
      <c r="O94" t="s">
        <v>170</v>
      </c>
      <c r="P94">
        <v>2025</v>
      </c>
    </row>
    <row r="95" spans="1:16" hidden="1" x14ac:dyDescent="0.25">
      <c r="A95" s="96" t="s">
        <v>2</v>
      </c>
      <c r="B95" s="96" t="s">
        <v>190</v>
      </c>
      <c r="C95" s="96" t="s">
        <v>333</v>
      </c>
      <c r="D95" s="96" t="s">
        <v>34</v>
      </c>
      <c r="E95" s="43">
        <v>45843</v>
      </c>
      <c r="F95" s="43">
        <v>45883</v>
      </c>
      <c r="G95" s="96" t="s">
        <v>90</v>
      </c>
      <c r="H95" s="96" t="s">
        <v>3416</v>
      </c>
      <c r="I95" s="96" t="s">
        <v>225</v>
      </c>
      <c r="J95" s="96" t="s">
        <v>165</v>
      </c>
      <c r="K95" s="96" t="s">
        <v>230</v>
      </c>
      <c r="L95">
        <v>40</v>
      </c>
      <c r="M95" t="s">
        <v>24</v>
      </c>
      <c r="N95" t="s">
        <v>187</v>
      </c>
      <c r="O95" t="s">
        <v>150</v>
      </c>
      <c r="P95">
        <v>2025</v>
      </c>
    </row>
    <row r="96" spans="1:16" x14ac:dyDescent="0.25">
      <c r="A96" s="96" t="s">
        <v>2</v>
      </c>
      <c r="B96" s="96" t="s">
        <v>317</v>
      </c>
      <c r="C96" s="96" t="s">
        <v>334</v>
      </c>
      <c r="D96" s="96" t="s">
        <v>192</v>
      </c>
      <c r="E96" s="43">
        <v>46048</v>
      </c>
      <c r="F96" s="43">
        <v>46113</v>
      </c>
      <c r="G96" s="96" t="s">
        <v>90</v>
      </c>
      <c r="H96" s="96" t="s">
        <v>3417</v>
      </c>
      <c r="I96" s="96" t="s">
        <v>194</v>
      </c>
      <c r="J96" s="96" t="s">
        <v>173</v>
      </c>
      <c r="K96" s="96" t="s">
        <v>210</v>
      </c>
      <c r="L96">
        <v>65</v>
      </c>
      <c r="M96" t="s">
        <v>28</v>
      </c>
      <c r="N96" t="s">
        <v>29</v>
      </c>
      <c r="O96" t="s">
        <v>170</v>
      </c>
      <c r="P96">
        <v>2026</v>
      </c>
    </row>
    <row r="97" spans="1:16" hidden="1" x14ac:dyDescent="0.25">
      <c r="A97" s="96" t="s">
        <v>21</v>
      </c>
      <c r="B97" s="96" t="s">
        <v>190</v>
      </c>
      <c r="C97" s="96" t="s">
        <v>3418</v>
      </c>
      <c r="D97" s="96" t="s">
        <v>203</v>
      </c>
      <c r="E97" s="43">
        <v>45740</v>
      </c>
      <c r="F97" s="43">
        <v>45845</v>
      </c>
      <c r="G97" s="96" t="s">
        <v>92</v>
      </c>
      <c r="H97" s="96" t="s">
        <v>3419</v>
      </c>
      <c r="I97" s="96" t="s">
        <v>9</v>
      </c>
      <c r="J97" s="96" t="s">
        <v>169</v>
      </c>
      <c r="K97" s="96" t="s">
        <v>233</v>
      </c>
      <c r="L97">
        <v>105</v>
      </c>
      <c r="M97" t="s">
        <v>28</v>
      </c>
      <c r="N97" t="s">
        <v>186</v>
      </c>
      <c r="O97" t="s">
        <v>150</v>
      </c>
      <c r="P97">
        <v>2025</v>
      </c>
    </row>
    <row r="98" spans="1:16" hidden="1" x14ac:dyDescent="0.25">
      <c r="A98" s="96" t="s">
        <v>2</v>
      </c>
      <c r="B98" s="96" t="s">
        <v>257</v>
      </c>
      <c r="C98" s="96" t="s">
        <v>336</v>
      </c>
      <c r="D98" s="96" t="s">
        <v>34</v>
      </c>
      <c r="E98" s="43">
        <v>45849</v>
      </c>
      <c r="F98" s="43">
        <v>45880</v>
      </c>
      <c r="G98" s="96" t="s">
        <v>92</v>
      </c>
      <c r="H98" s="96" t="s">
        <v>3420</v>
      </c>
      <c r="I98" s="96" t="s">
        <v>225</v>
      </c>
      <c r="J98" s="96" t="s">
        <v>177</v>
      </c>
      <c r="K98" s="96" t="s">
        <v>230</v>
      </c>
      <c r="L98">
        <v>31</v>
      </c>
      <c r="M98" t="s">
        <v>24</v>
      </c>
      <c r="N98" t="s">
        <v>187</v>
      </c>
      <c r="O98" t="s">
        <v>151</v>
      </c>
      <c r="P98">
        <v>2025</v>
      </c>
    </row>
    <row r="99" spans="1:16" x14ac:dyDescent="0.25">
      <c r="A99" s="96" t="s">
        <v>2</v>
      </c>
      <c r="B99" s="96" t="s">
        <v>261</v>
      </c>
      <c r="C99" s="96" t="s">
        <v>338</v>
      </c>
      <c r="D99" s="96" t="s">
        <v>215</v>
      </c>
      <c r="E99" s="43">
        <v>46143</v>
      </c>
      <c r="F99" s="43">
        <v>46150</v>
      </c>
      <c r="G99" s="96" t="s">
        <v>90</v>
      </c>
      <c r="H99" s="96" t="s">
        <v>3421</v>
      </c>
      <c r="I99" s="96" t="s">
        <v>157</v>
      </c>
      <c r="J99" s="96" t="s">
        <v>173</v>
      </c>
      <c r="K99" s="96" t="s">
        <v>157</v>
      </c>
      <c r="L99">
        <v>7</v>
      </c>
      <c r="M99" t="s">
        <v>11</v>
      </c>
      <c r="N99" t="s">
        <v>183</v>
      </c>
      <c r="O99" t="s">
        <v>151</v>
      </c>
      <c r="P99">
        <v>2026</v>
      </c>
    </row>
    <row r="100" spans="1:16" x14ac:dyDescent="0.25">
      <c r="A100" s="96" t="s">
        <v>2</v>
      </c>
      <c r="B100" s="96" t="s">
        <v>218</v>
      </c>
      <c r="C100" s="96" t="s">
        <v>340</v>
      </c>
      <c r="D100" s="96" t="s">
        <v>14</v>
      </c>
      <c r="E100" s="43">
        <v>46131</v>
      </c>
      <c r="F100" s="43">
        <v>46146</v>
      </c>
      <c r="G100" s="96" t="s">
        <v>92</v>
      </c>
      <c r="H100" s="96" t="s">
        <v>3422</v>
      </c>
      <c r="I100" s="96" t="s">
        <v>9</v>
      </c>
      <c r="J100" s="96" t="s">
        <v>216</v>
      </c>
      <c r="K100" s="96" t="s">
        <v>157</v>
      </c>
      <c r="L100">
        <v>15</v>
      </c>
      <c r="M100" t="s">
        <v>19</v>
      </c>
      <c r="N100" t="s">
        <v>37</v>
      </c>
      <c r="O100" t="s">
        <v>152</v>
      </c>
      <c r="P100">
        <v>2026</v>
      </c>
    </row>
    <row r="101" spans="1:16" hidden="1" x14ac:dyDescent="0.25">
      <c r="A101" s="96" t="s">
        <v>2</v>
      </c>
      <c r="B101" s="96" t="s">
        <v>221</v>
      </c>
      <c r="C101" s="96" t="s">
        <v>3423</v>
      </c>
      <c r="D101" s="96" t="s">
        <v>223</v>
      </c>
      <c r="E101" s="43">
        <v>45842</v>
      </c>
      <c r="F101" s="43">
        <v>45851</v>
      </c>
      <c r="G101" s="96" t="s">
        <v>92</v>
      </c>
      <c r="H101" s="96" t="s">
        <v>335</v>
      </c>
      <c r="I101" s="96" t="s">
        <v>204</v>
      </c>
      <c r="J101" s="96" t="s">
        <v>172</v>
      </c>
      <c r="K101" s="96" t="s">
        <v>200</v>
      </c>
      <c r="L101">
        <v>9</v>
      </c>
      <c r="M101" t="s">
        <v>15</v>
      </c>
      <c r="N101" t="s">
        <v>187</v>
      </c>
      <c r="O101" t="s">
        <v>170</v>
      </c>
      <c r="P101">
        <v>2025</v>
      </c>
    </row>
    <row r="102" spans="1:16" x14ac:dyDescent="0.25">
      <c r="A102" s="96" t="s">
        <v>2</v>
      </c>
      <c r="B102" s="96" t="s">
        <v>290</v>
      </c>
      <c r="C102" s="96" t="s">
        <v>341</v>
      </c>
      <c r="D102" s="96" t="s">
        <v>208</v>
      </c>
      <c r="E102" s="43">
        <v>46111</v>
      </c>
      <c r="F102" s="43">
        <v>46142</v>
      </c>
      <c r="G102" s="96" t="s">
        <v>92</v>
      </c>
      <c r="H102" s="96" t="s">
        <v>337</v>
      </c>
      <c r="I102" s="96" t="s">
        <v>209</v>
      </c>
      <c r="J102" s="96" t="s">
        <v>216</v>
      </c>
      <c r="K102" s="96" t="s">
        <v>210</v>
      </c>
      <c r="L102">
        <v>31</v>
      </c>
      <c r="M102" t="s">
        <v>24</v>
      </c>
      <c r="N102" t="s">
        <v>35</v>
      </c>
      <c r="O102" t="s">
        <v>149</v>
      </c>
      <c r="P102">
        <v>2026</v>
      </c>
    </row>
    <row r="103" spans="1:16" x14ac:dyDescent="0.25">
      <c r="A103" s="96" t="s">
        <v>2</v>
      </c>
      <c r="B103" s="96" t="s">
        <v>226</v>
      </c>
      <c r="C103" s="96" t="s">
        <v>342</v>
      </c>
      <c r="D103" s="96" t="s">
        <v>223</v>
      </c>
      <c r="E103" s="43">
        <v>46039</v>
      </c>
      <c r="F103" s="43">
        <v>46131</v>
      </c>
      <c r="G103" s="96" t="s">
        <v>92</v>
      </c>
      <c r="H103" s="96" t="s">
        <v>339</v>
      </c>
      <c r="I103" s="96" t="s">
        <v>204</v>
      </c>
      <c r="J103" s="96" t="s">
        <v>169</v>
      </c>
      <c r="K103" s="96" t="s">
        <v>217</v>
      </c>
      <c r="L103">
        <v>92</v>
      </c>
      <c r="M103" t="s">
        <v>28</v>
      </c>
      <c r="N103" t="s">
        <v>29</v>
      </c>
      <c r="O103" t="s">
        <v>151</v>
      </c>
      <c r="P103">
        <v>2026</v>
      </c>
    </row>
    <row r="104" spans="1:16" x14ac:dyDescent="0.25">
      <c r="A104" s="96" t="s">
        <v>2</v>
      </c>
      <c r="B104" s="96" t="s">
        <v>244</v>
      </c>
      <c r="C104" s="96" t="s">
        <v>343</v>
      </c>
      <c r="D104" s="96" t="s">
        <v>40</v>
      </c>
      <c r="E104" s="43">
        <v>46144</v>
      </c>
      <c r="F104" s="43">
        <v>46151</v>
      </c>
      <c r="G104" s="96" t="s">
        <v>90</v>
      </c>
      <c r="H104" s="96" t="s">
        <v>3424</v>
      </c>
      <c r="I104" s="96" t="s">
        <v>9</v>
      </c>
      <c r="J104" s="96" t="s">
        <v>97</v>
      </c>
      <c r="K104" s="96" t="s">
        <v>217</v>
      </c>
      <c r="L104">
        <v>7</v>
      </c>
      <c r="M104" t="s">
        <v>11</v>
      </c>
      <c r="N104" t="s">
        <v>183</v>
      </c>
      <c r="O104" t="s">
        <v>150</v>
      </c>
      <c r="P104">
        <v>2026</v>
      </c>
    </row>
    <row r="105" spans="1:16" x14ac:dyDescent="0.25">
      <c r="A105" s="96" t="s">
        <v>2</v>
      </c>
      <c r="B105" s="96" t="s">
        <v>218</v>
      </c>
      <c r="C105" s="96" t="s">
        <v>344</v>
      </c>
      <c r="D105" s="96" t="s">
        <v>14</v>
      </c>
      <c r="E105" s="43">
        <v>46135</v>
      </c>
      <c r="F105" s="43">
        <v>46148</v>
      </c>
      <c r="G105" s="96" t="s">
        <v>92</v>
      </c>
      <c r="H105" s="96" t="s">
        <v>3425</v>
      </c>
      <c r="I105" s="96" t="s">
        <v>209</v>
      </c>
      <c r="J105" s="96" t="s">
        <v>283</v>
      </c>
      <c r="K105" s="96" t="s">
        <v>233</v>
      </c>
      <c r="L105">
        <v>13</v>
      </c>
      <c r="M105" t="s">
        <v>15</v>
      </c>
      <c r="N105" t="s">
        <v>37</v>
      </c>
      <c r="O105" t="s">
        <v>152</v>
      </c>
      <c r="P105">
        <v>2026</v>
      </c>
    </row>
    <row r="106" spans="1:16" hidden="1" x14ac:dyDescent="0.25">
      <c r="A106" s="96" t="s">
        <v>2</v>
      </c>
      <c r="B106" s="96" t="s">
        <v>264</v>
      </c>
      <c r="C106" s="96" t="s">
        <v>345</v>
      </c>
      <c r="D106" s="96" t="s">
        <v>208</v>
      </c>
      <c r="E106" s="43">
        <v>45750</v>
      </c>
      <c r="F106" s="43">
        <v>45820</v>
      </c>
      <c r="G106" s="96" t="s">
        <v>92</v>
      </c>
      <c r="H106" s="96" t="s">
        <v>3426</v>
      </c>
      <c r="I106" s="96" t="s">
        <v>228</v>
      </c>
      <c r="J106" s="96" t="s">
        <v>283</v>
      </c>
      <c r="K106" s="96" t="s">
        <v>210</v>
      </c>
      <c r="L106">
        <v>70</v>
      </c>
      <c r="M106" t="s">
        <v>28</v>
      </c>
      <c r="N106" t="s">
        <v>185</v>
      </c>
      <c r="O106" t="s">
        <v>152</v>
      </c>
      <c r="P106">
        <v>2025</v>
      </c>
    </row>
    <row r="107" spans="1:16" hidden="1" x14ac:dyDescent="0.25">
      <c r="A107" s="96" t="s">
        <v>2</v>
      </c>
      <c r="B107" s="96" t="s">
        <v>213</v>
      </c>
      <c r="C107" s="96" t="s">
        <v>346</v>
      </c>
      <c r="D107" s="96" t="s">
        <v>14</v>
      </c>
      <c r="E107" s="43">
        <v>45837</v>
      </c>
      <c r="F107" s="43">
        <v>45895</v>
      </c>
      <c r="G107" s="96" t="s">
        <v>92</v>
      </c>
      <c r="H107" s="96" t="s">
        <v>3427</v>
      </c>
      <c r="I107" s="96" t="s">
        <v>209</v>
      </c>
      <c r="J107" s="96" t="s">
        <v>176</v>
      </c>
      <c r="K107" s="96" t="s">
        <v>200</v>
      </c>
      <c r="L107">
        <v>58</v>
      </c>
      <c r="M107" t="s">
        <v>24</v>
      </c>
      <c r="N107" t="s">
        <v>184</v>
      </c>
      <c r="O107" t="s">
        <v>149</v>
      </c>
      <c r="P107">
        <v>2025</v>
      </c>
    </row>
    <row r="108" spans="1:16" hidden="1" x14ac:dyDescent="0.25">
      <c r="A108" s="96" t="s">
        <v>175</v>
      </c>
      <c r="B108" s="96" t="s">
        <v>211</v>
      </c>
      <c r="C108" s="96" t="s">
        <v>347</v>
      </c>
      <c r="D108" s="96" t="s">
        <v>34</v>
      </c>
      <c r="E108" s="43">
        <v>46005</v>
      </c>
      <c r="F108" s="43">
        <v>46026</v>
      </c>
      <c r="G108" s="96" t="s">
        <v>90</v>
      </c>
      <c r="H108" s="96" t="s">
        <v>3428</v>
      </c>
      <c r="I108" s="96" t="s">
        <v>9</v>
      </c>
      <c r="J108" s="96" t="s">
        <v>94</v>
      </c>
      <c r="K108" s="96" t="s">
        <v>200</v>
      </c>
      <c r="L108">
        <v>21</v>
      </c>
      <c r="M108" t="s">
        <v>19</v>
      </c>
      <c r="N108" t="s">
        <v>25</v>
      </c>
      <c r="O108" t="s">
        <v>170</v>
      </c>
      <c r="P108">
        <v>2025</v>
      </c>
    </row>
    <row r="109" spans="1:16" hidden="1" x14ac:dyDescent="0.25">
      <c r="A109" s="96" t="s">
        <v>2</v>
      </c>
      <c r="B109" s="96" t="s">
        <v>231</v>
      </c>
      <c r="C109" s="96" t="s">
        <v>348</v>
      </c>
      <c r="D109" s="96" t="s">
        <v>14</v>
      </c>
      <c r="E109" s="43">
        <v>45948</v>
      </c>
      <c r="F109" s="43">
        <v>45953</v>
      </c>
      <c r="G109" s="96" t="s">
        <v>95</v>
      </c>
      <c r="H109" s="96" t="s">
        <v>3429</v>
      </c>
      <c r="I109" s="96" t="s">
        <v>228</v>
      </c>
      <c r="J109" s="96" t="s">
        <v>173</v>
      </c>
      <c r="K109" s="96" t="s">
        <v>157</v>
      </c>
      <c r="L109">
        <v>5</v>
      </c>
      <c r="M109" t="s">
        <v>11</v>
      </c>
      <c r="N109" t="s">
        <v>16</v>
      </c>
      <c r="O109" t="s">
        <v>170</v>
      </c>
      <c r="P109">
        <v>2025</v>
      </c>
    </row>
    <row r="110" spans="1:16" hidden="1" x14ac:dyDescent="0.25">
      <c r="A110" s="96" t="s">
        <v>171</v>
      </c>
      <c r="B110" s="96" t="s">
        <v>206</v>
      </c>
      <c r="C110" s="96" t="s">
        <v>349</v>
      </c>
      <c r="D110" s="96" t="s">
        <v>203</v>
      </c>
      <c r="E110" s="43">
        <v>45818</v>
      </c>
      <c r="F110" s="43">
        <v>45902</v>
      </c>
      <c r="G110" s="96" t="s">
        <v>92</v>
      </c>
      <c r="H110" s="96" t="s">
        <v>3430</v>
      </c>
      <c r="I110" s="96" t="s">
        <v>194</v>
      </c>
      <c r="J110" s="96" t="s">
        <v>98</v>
      </c>
      <c r="K110" s="96" t="s">
        <v>233</v>
      </c>
      <c r="L110">
        <v>84</v>
      </c>
      <c r="M110" t="s">
        <v>28</v>
      </c>
      <c r="N110" t="s">
        <v>184</v>
      </c>
      <c r="O110" t="s">
        <v>152</v>
      </c>
      <c r="P110">
        <v>2025</v>
      </c>
    </row>
    <row r="111" spans="1:16" x14ac:dyDescent="0.25">
      <c r="A111" s="96" t="s">
        <v>2</v>
      </c>
      <c r="B111" s="96" t="s">
        <v>234</v>
      </c>
      <c r="C111" s="96" t="s">
        <v>351</v>
      </c>
      <c r="D111" s="96" t="s">
        <v>208</v>
      </c>
      <c r="E111" s="43">
        <v>46080</v>
      </c>
      <c r="F111" s="43">
        <v>46096</v>
      </c>
      <c r="G111" s="96" t="s">
        <v>92</v>
      </c>
      <c r="H111" s="96" t="s">
        <v>3431</v>
      </c>
      <c r="I111" s="96" t="s">
        <v>157</v>
      </c>
      <c r="J111" s="96" t="s">
        <v>98</v>
      </c>
      <c r="K111" s="96" t="s">
        <v>210</v>
      </c>
      <c r="L111">
        <v>16</v>
      </c>
      <c r="M111" t="s">
        <v>19</v>
      </c>
      <c r="N111" t="s">
        <v>32</v>
      </c>
      <c r="O111" t="s">
        <v>150</v>
      </c>
      <c r="P111">
        <v>2026</v>
      </c>
    </row>
    <row r="112" spans="1:16" hidden="1" x14ac:dyDescent="0.25">
      <c r="A112" s="96" t="s">
        <v>171</v>
      </c>
      <c r="B112" s="96" t="s">
        <v>264</v>
      </c>
      <c r="C112" s="96" t="s">
        <v>352</v>
      </c>
      <c r="D112" s="96" t="s">
        <v>237</v>
      </c>
      <c r="E112" s="43">
        <v>45702</v>
      </c>
      <c r="F112" s="43">
        <v>45711</v>
      </c>
      <c r="G112" s="96" t="s">
        <v>90</v>
      </c>
      <c r="H112" s="96" t="s">
        <v>3432</v>
      </c>
      <c r="I112" s="96" t="s">
        <v>157</v>
      </c>
      <c r="J112" s="96" t="s">
        <v>165</v>
      </c>
      <c r="K112" s="96" t="s">
        <v>210</v>
      </c>
      <c r="L112">
        <v>9</v>
      </c>
      <c r="M112" t="s">
        <v>15</v>
      </c>
      <c r="N112" t="s">
        <v>188</v>
      </c>
      <c r="O112" t="s">
        <v>152</v>
      </c>
      <c r="P112">
        <v>2025</v>
      </c>
    </row>
    <row r="113" spans="1:16" x14ac:dyDescent="0.25">
      <c r="A113" s="96" t="s">
        <v>2</v>
      </c>
      <c r="B113" s="96" t="s">
        <v>261</v>
      </c>
      <c r="C113" s="96" t="s">
        <v>3433</v>
      </c>
      <c r="D113" s="96" t="s">
        <v>34</v>
      </c>
      <c r="E113" s="43">
        <v>46041</v>
      </c>
      <c r="F113" s="43">
        <v>46099</v>
      </c>
      <c r="G113" s="96" t="s">
        <v>90</v>
      </c>
      <c r="H113" s="96" t="s">
        <v>3434</v>
      </c>
      <c r="I113" s="96" t="s">
        <v>194</v>
      </c>
      <c r="J113" s="96" t="s">
        <v>169</v>
      </c>
      <c r="K113" s="96" t="s">
        <v>195</v>
      </c>
      <c r="L113">
        <v>58</v>
      </c>
      <c r="M113" t="s">
        <v>24</v>
      </c>
      <c r="N113" t="s">
        <v>29</v>
      </c>
      <c r="O113" t="s">
        <v>151</v>
      </c>
      <c r="P113">
        <v>2026</v>
      </c>
    </row>
    <row r="114" spans="1:16" x14ac:dyDescent="0.25">
      <c r="A114" s="96" t="s">
        <v>2</v>
      </c>
      <c r="B114" s="96" t="s">
        <v>234</v>
      </c>
      <c r="C114" s="96" t="s">
        <v>353</v>
      </c>
      <c r="D114" s="96" t="s">
        <v>40</v>
      </c>
      <c r="E114" s="43">
        <v>46062</v>
      </c>
      <c r="F114" s="43">
        <v>46101</v>
      </c>
      <c r="G114" s="96" t="s">
        <v>90</v>
      </c>
      <c r="H114" s="96" t="s">
        <v>350</v>
      </c>
      <c r="I114" s="96" t="s">
        <v>157</v>
      </c>
      <c r="J114" s="96" t="s">
        <v>165</v>
      </c>
      <c r="K114" s="96" t="s">
        <v>230</v>
      </c>
      <c r="L114">
        <v>39</v>
      </c>
      <c r="M114" t="s">
        <v>24</v>
      </c>
      <c r="N114" t="s">
        <v>32</v>
      </c>
      <c r="O114" t="s">
        <v>150</v>
      </c>
      <c r="P114">
        <v>2026</v>
      </c>
    </row>
    <row r="115" spans="1:16" hidden="1" x14ac:dyDescent="0.25">
      <c r="A115" s="96" t="s">
        <v>175</v>
      </c>
      <c r="B115" s="96" t="s">
        <v>221</v>
      </c>
      <c r="C115" s="96" t="s">
        <v>354</v>
      </c>
      <c r="D115" s="96" t="s">
        <v>215</v>
      </c>
      <c r="E115" s="43">
        <v>45967</v>
      </c>
      <c r="F115" s="43">
        <v>46011</v>
      </c>
      <c r="G115" s="96" t="s">
        <v>92</v>
      </c>
      <c r="H115" s="96" t="s">
        <v>3435</v>
      </c>
      <c r="I115" s="96" t="s">
        <v>157</v>
      </c>
      <c r="J115" s="96" t="s">
        <v>283</v>
      </c>
      <c r="K115" s="96" t="s">
        <v>195</v>
      </c>
      <c r="L115">
        <v>44</v>
      </c>
      <c r="M115" t="s">
        <v>24</v>
      </c>
      <c r="N115" t="s">
        <v>20</v>
      </c>
      <c r="O115" t="s">
        <v>170</v>
      </c>
      <c r="P115">
        <v>2025</v>
      </c>
    </row>
    <row r="116" spans="1:16" hidden="1" x14ac:dyDescent="0.25">
      <c r="A116" s="96" t="s">
        <v>171</v>
      </c>
      <c r="B116" s="96" t="s">
        <v>253</v>
      </c>
      <c r="C116" s="96" t="s">
        <v>355</v>
      </c>
      <c r="D116" s="96" t="s">
        <v>40</v>
      </c>
      <c r="E116" s="43">
        <v>45979</v>
      </c>
      <c r="F116" s="43">
        <v>46049</v>
      </c>
      <c r="G116" s="96" t="s">
        <v>92</v>
      </c>
      <c r="H116" s="96" t="s">
        <v>3436</v>
      </c>
      <c r="I116" s="96" t="s">
        <v>194</v>
      </c>
      <c r="J116" s="96" t="s">
        <v>165</v>
      </c>
      <c r="K116" s="96" t="s">
        <v>195</v>
      </c>
      <c r="L116">
        <v>70</v>
      </c>
      <c r="M116" t="s">
        <v>28</v>
      </c>
      <c r="N116" t="s">
        <v>20</v>
      </c>
      <c r="O116" t="s">
        <v>152</v>
      </c>
      <c r="P116">
        <v>2025</v>
      </c>
    </row>
    <row r="117" spans="1:16" hidden="1" x14ac:dyDescent="0.25">
      <c r="A117" s="96" t="s">
        <v>2</v>
      </c>
      <c r="B117" s="96" t="s">
        <v>247</v>
      </c>
      <c r="C117" s="96" t="s">
        <v>356</v>
      </c>
      <c r="D117" s="96" t="s">
        <v>10</v>
      </c>
      <c r="E117" s="43">
        <v>45712</v>
      </c>
      <c r="F117" s="43">
        <v>45753</v>
      </c>
      <c r="G117" s="96" t="s">
        <v>92</v>
      </c>
      <c r="H117" s="96" t="s">
        <v>3437</v>
      </c>
      <c r="I117" s="96" t="s">
        <v>204</v>
      </c>
      <c r="J117" s="96" t="s">
        <v>176</v>
      </c>
      <c r="K117" s="96" t="s">
        <v>217</v>
      </c>
      <c r="L117">
        <v>41</v>
      </c>
      <c r="M117" t="s">
        <v>24</v>
      </c>
      <c r="N117" t="s">
        <v>188</v>
      </c>
      <c r="O117" t="s">
        <v>150</v>
      </c>
      <c r="P117">
        <v>2025</v>
      </c>
    </row>
    <row r="118" spans="1:16" hidden="1" x14ac:dyDescent="0.25">
      <c r="A118" s="96" t="s">
        <v>171</v>
      </c>
      <c r="B118" s="96" t="s">
        <v>280</v>
      </c>
      <c r="C118" s="96" t="s">
        <v>357</v>
      </c>
      <c r="D118" s="96" t="s">
        <v>10</v>
      </c>
      <c r="E118" s="43">
        <v>45704</v>
      </c>
      <c r="F118" s="43">
        <v>45755</v>
      </c>
      <c r="G118" s="96" t="s">
        <v>92</v>
      </c>
      <c r="H118" s="96" t="s">
        <v>3438</v>
      </c>
      <c r="I118" s="96" t="s">
        <v>204</v>
      </c>
      <c r="J118" s="96" t="s">
        <v>216</v>
      </c>
      <c r="K118" s="96" t="s">
        <v>246</v>
      </c>
      <c r="L118">
        <v>51</v>
      </c>
      <c r="M118" t="s">
        <v>24</v>
      </c>
      <c r="N118" t="s">
        <v>188</v>
      </c>
      <c r="O118" t="s">
        <v>170</v>
      </c>
      <c r="P118">
        <v>2025</v>
      </c>
    </row>
    <row r="119" spans="1:16" hidden="1" x14ac:dyDescent="0.25">
      <c r="A119" s="96" t="s">
        <v>2</v>
      </c>
      <c r="B119" s="96" t="s">
        <v>238</v>
      </c>
      <c r="C119" s="96" t="s">
        <v>358</v>
      </c>
      <c r="D119" s="96" t="s">
        <v>192</v>
      </c>
      <c r="E119" s="43">
        <v>45757</v>
      </c>
      <c r="F119" s="43">
        <v>45804</v>
      </c>
      <c r="G119" s="96" t="s">
        <v>92</v>
      </c>
      <c r="H119" s="96" t="s">
        <v>3439</v>
      </c>
      <c r="I119" s="96" t="s">
        <v>209</v>
      </c>
      <c r="J119" s="96" t="s">
        <v>199</v>
      </c>
      <c r="K119" s="96" t="s">
        <v>210</v>
      </c>
      <c r="L119">
        <v>47</v>
      </c>
      <c r="M119" t="s">
        <v>24</v>
      </c>
      <c r="N119" t="s">
        <v>185</v>
      </c>
      <c r="O119" t="s">
        <v>170</v>
      </c>
      <c r="P119">
        <v>2025</v>
      </c>
    </row>
    <row r="120" spans="1:16" x14ac:dyDescent="0.25">
      <c r="A120" s="96" t="s">
        <v>2</v>
      </c>
      <c r="B120" s="96" t="s">
        <v>249</v>
      </c>
      <c r="C120" s="96" t="s">
        <v>359</v>
      </c>
      <c r="D120" s="96" t="s">
        <v>203</v>
      </c>
      <c r="E120" s="43">
        <v>46123</v>
      </c>
      <c r="F120" s="43">
        <v>46149</v>
      </c>
      <c r="G120" s="96" t="s">
        <v>92</v>
      </c>
      <c r="H120" s="96" t="s">
        <v>3440</v>
      </c>
      <c r="I120" s="96" t="s">
        <v>9</v>
      </c>
      <c r="J120" s="96" t="s">
        <v>177</v>
      </c>
      <c r="K120" s="96" t="s">
        <v>195</v>
      </c>
      <c r="L120">
        <v>26</v>
      </c>
      <c r="M120" t="s">
        <v>19</v>
      </c>
      <c r="N120" t="s">
        <v>37</v>
      </c>
      <c r="O120" t="s">
        <v>170</v>
      </c>
      <c r="P120">
        <v>2026</v>
      </c>
    </row>
    <row r="121" spans="1:16" x14ac:dyDescent="0.25">
      <c r="A121" s="96" t="s">
        <v>2</v>
      </c>
      <c r="B121" s="96" t="s">
        <v>274</v>
      </c>
      <c r="C121" s="96" t="s">
        <v>360</v>
      </c>
      <c r="D121" s="96" t="s">
        <v>223</v>
      </c>
      <c r="E121" s="43">
        <v>46099</v>
      </c>
      <c r="F121" s="43">
        <v>46149</v>
      </c>
      <c r="G121" s="96" t="s">
        <v>92</v>
      </c>
      <c r="H121" s="96" t="s">
        <v>3441</v>
      </c>
      <c r="I121" s="96" t="s">
        <v>209</v>
      </c>
      <c r="J121" s="96" t="s">
        <v>199</v>
      </c>
      <c r="K121" s="96" t="s">
        <v>217</v>
      </c>
      <c r="L121">
        <v>50</v>
      </c>
      <c r="M121" t="s">
        <v>24</v>
      </c>
      <c r="N121" t="s">
        <v>35</v>
      </c>
      <c r="O121" t="s">
        <v>170</v>
      </c>
      <c r="P121">
        <v>2026</v>
      </c>
    </row>
    <row r="122" spans="1:16" hidden="1" x14ac:dyDescent="0.25">
      <c r="A122" s="96" t="s">
        <v>2</v>
      </c>
      <c r="B122" s="96" t="s">
        <v>251</v>
      </c>
      <c r="C122" s="96" t="s">
        <v>3442</v>
      </c>
      <c r="D122" s="96" t="s">
        <v>10</v>
      </c>
      <c r="E122" s="43">
        <v>46010</v>
      </c>
      <c r="F122" s="43">
        <v>46091</v>
      </c>
      <c r="G122" s="96" t="s">
        <v>90</v>
      </c>
      <c r="H122" s="96" t="s">
        <v>3443</v>
      </c>
      <c r="I122" s="96" t="s">
        <v>228</v>
      </c>
      <c r="J122" s="96" t="s">
        <v>216</v>
      </c>
      <c r="K122" s="96" t="s">
        <v>210</v>
      </c>
      <c r="L122">
        <v>81</v>
      </c>
      <c r="M122" t="s">
        <v>28</v>
      </c>
      <c r="N122" t="s">
        <v>25</v>
      </c>
      <c r="O122" t="s">
        <v>170</v>
      </c>
      <c r="P122">
        <v>2025</v>
      </c>
    </row>
    <row r="123" spans="1:16" hidden="1" x14ac:dyDescent="0.25">
      <c r="A123" s="96" t="s">
        <v>175</v>
      </c>
      <c r="B123" s="96" t="s">
        <v>257</v>
      </c>
      <c r="C123" s="96" t="s">
        <v>361</v>
      </c>
      <c r="D123" s="96" t="s">
        <v>215</v>
      </c>
      <c r="E123" s="43">
        <v>45975</v>
      </c>
      <c r="F123" s="43">
        <v>46075</v>
      </c>
      <c r="G123" s="96" t="s">
        <v>92</v>
      </c>
      <c r="H123" s="96" t="s">
        <v>3444</v>
      </c>
      <c r="I123" s="96" t="s">
        <v>9</v>
      </c>
      <c r="J123" s="96" t="s">
        <v>93</v>
      </c>
      <c r="K123" s="96" t="s">
        <v>200</v>
      </c>
      <c r="L123">
        <v>100</v>
      </c>
      <c r="M123" t="s">
        <v>28</v>
      </c>
      <c r="N123" t="s">
        <v>20</v>
      </c>
      <c r="O123" t="s">
        <v>151</v>
      </c>
      <c r="P123">
        <v>2025</v>
      </c>
    </row>
    <row r="124" spans="1:16" hidden="1" x14ac:dyDescent="0.25">
      <c r="A124" s="96" t="s">
        <v>2</v>
      </c>
      <c r="B124" s="96" t="s">
        <v>247</v>
      </c>
      <c r="C124" s="96" t="s">
        <v>362</v>
      </c>
      <c r="D124" s="96" t="s">
        <v>34</v>
      </c>
      <c r="E124" s="43">
        <v>45869</v>
      </c>
      <c r="F124" s="43">
        <v>45958</v>
      </c>
      <c r="G124" s="96" t="s">
        <v>92</v>
      </c>
      <c r="H124" s="96" t="s">
        <v>3445</v>
      </c>
      <c r="I124" s="96" t="s">
        <v>228</v>
      </c>
      <c r="J124" s="96" t="s">
        <v>91</v>
      </c>
      <c r="K124" s="96" t="s">
        <v>157</v>
      </c>
      <c r="L124">
        <v>89</v>
      </c>
      <c r="M124" t="s">
        <v>28</v>
      </c>
      <c r="N124" t="s">
        <v>187</v>
      </c>
      <c r="O124" t="s">
        <v>150</v>
      </c>
      <c r="P124">
        <v>2025</v>
      </c>
    </row>
    <row r="125" spans="1:16" hidden="1" x14ac:dyDescent="0.25">
      <c r="A125" s="96" t="s">
        <v>2</v>
      </c>
      <c r="B125" s="96" t="s">
        <v>280</v>
      </c>
      <c r="C125" s="96" t="s">
        <v>363</v>
      </c>
      <c r="D125" s="96" t="s">
        <v>203</v>
      </c>
      <c r="E125" s="43">
        <v>45997</v>
      </c>
      <c r="F125" s="43">
        <v>46059</v>
      </c>
      <c r="G125" s="96" t="s">
        <v>92</v>
      </c>
      <c r="H125" s="96" t="s">
        <v>3446</v>
      </c>
      <c r="I125" s="96" t="s">
        <v>204</v>
      </c>
      <c r="J125" s="96" t="s">
        <v>168</v>
      </c>
      <c r="K125" s="96" t="s">
        <v>246</v>
      </c>
      <c r="L125">
        <v>62</v>
      </c>
      <c r="M125" t="s">
        <v>28</v>
      </c>
      <c r="N125" t="s">
        <v>25</v>
      </c>
      <c r="O125" t="s">
        <v>170</v>
      </c>
      <c r="P125">
        <v>2025</v>
      </c>
    </row>
    <row r="126" spans="1:16" hidden="1" x14ac:dyDescent="0.25">
      <c r="A126" s="96" t="s">
        <v>2</v>
      </c>
      <c r="B126" s="96" t="s">
        <v>264</v>
      </c>
      <c r="C126" s="96" t="s">
        <v>364</v>
      </c>
      <c r="D126" s="96" t="s">
        <v>223</v>
      </c>
      <c r="E126" s="43">
        <v>45944</v>
      </c>
      <c r="F126" s="43">
        <v>46064</v>
      </c>
      <c r="G126" s="96" t="s">
        <v>90</v>
      </c>
      <c r="H126" s="96" t="s">
        <v>3447</v>
      </c>
      <c r="I126" s="96" t="s">
        <v>157</v>
      </c>
      <c r="J126" s="96" t="s">
        <v>173</v>
      </c>
      <c r="K126" s="96" t="s">
        <v>230</v>
      </c>
      <c r="L126">
        <v>120</v>
      </c>
      <c r="M126" t="s">
        <v>28</v>
      </c>
      <c r="N126" t="s">
        <v>16</v>
      </c>
      <c r="O126" t="s">
        <v>152</v>
      </c>
      <c r="P126">
        <v>2025</v>
      </c>
    </row>
    <row r="127" spans="1:16" hidden="1" x14ac:dyDescent="0.25">
      <c r="A127" s="96" t="s">
        <v>171</v>
      </c>
      <c r="B127" s="96" t="s">
        <v>322</v>
      </c>
      <c r="C127" s="96" t="s">
        <v>365</v>
      </c>
      <c r="D127" s="96" t="s">
        <v>208</v>
      </c>
      <c r="E127" s="43">
        <v>45899</v>
      </c>
      <c r="F127" s="43">
        <v>45912</v>
      </c>
      <c r="G127" s="96" t="s">
        <v>95</v>
      </c>
      <c r="H127" s="96" t="s">
        <v>3448</v>
      </c>
      <c r="I127" s="96" t="s">
        <v>194</v>
      </c>
      <c r="J127" s="96" t="s">
        <v>91</v>
      </c>
      <c r="K127" s="96" t="s">
        <v>230</v>
      </c>
      <c r="L127">
        <v>13</v>
      </c>
      <c r="M127" t="s">
        <v>15</v>
      </c>
      <c r="N127" t="s">
        <v>8</v>
      </c>
      <c r="O127" t="s">
        <v>150</v>
      </c>
      <c r="P127">
        <v>2025</v>
      </c>
    </row>
    <row r="128" spans="1:16" hidden="1" x14ac:dyDescent="0.25">
      <c r="A128" s="96" t="s">
        <v>2</v>
      </c>
      <c r="B128" s="96" t="s">
        <v>211</v>
      </c>
      <c r="C128" s="96" t="s">
        <v>366</v>
      </c>
      <c r="D128" s="96" t="s">
        <v>237</v>
      </c>
      <c r="E128" s="43">
        <v>45988</v>
      </c>
      <c r="F128" s="43">
        <v>45996</v>
      </c>
      <c r="G128" s="96" t="s">
        <v>90</v>
      </c>
      <c r="H128" s="96" t="s">
        <v>3449</v>
      </c>
      <c r="I128" s="96" t="s">
        <v>157</v>
      </c>
      <c r="J128" s="96" t="s">
        <v>229</v>
      </c>
      <c r="K128" s="96" t="s">
        <v>195</v>
      </c>
      <c r="L128">
        <v>8</v>
      </c>
      <c r="M128" t="s">
        <v>15</v>
      </c>
      <c r="N128" t="s">
        <v>20</v>
      </c>
      <c r="O128" t="s">
        <v>170</v>
      </c>
      <c r="P128">
        <v>2025</v>
      </c>
    </row>
    <row r="129" spans="1:16" x14ac:dyDescent="0.25">
      <c r="A129" s="96" t="s">
        <v>21</v>
      </c>
      <c r="B129" s="96" t="s">
        <v>244</v>
      </c>
      <c r="C129" s="96" t="s">
        <v>367</v>
      </c>
      <c r="D129" s="96" t="s">
        <v>223</v>
      </c>
      <c r="E129" s="43">
        <v>46124</v>
      </c>
      <c r="F129" s="43">
        <v>46148</v>
      </c>
      <c r="G129" s="96" t="s">
        <v>92</v>
      </c>
      <c r="H129" s="96" t="s">
        <v>3450</v>
      </c>
      <c r="I129" s="96" t="s">
        <v>204</v>
      </c>
      <c r="J129" s="96" t="s">
        <v>93</v>
      </c>
      <c r="K129" s="96" t="s">
        <v>157</v>
      </c>
      <c r="L129">
        <v>24</v>
      </c>
      <c r="M129" t="s">
        <v>19</v>
      </c>
      <c r="N129" t="s">
        <v>37</v>
      </c>
      <c r="O129" t="s">
        <v>150</v>
      </c>
      <c r="P129">
        <v>2026</v>
      </c>
    </row>
    <row r="130" spans="1:16" hidden="1" x14ac:dyDescent="0.25">
      <c r="A130" s="96" t="s">
        <v>2</v>
      </c>
      <c r="B130" s="96" t="s">
        <v>280</v>
      </c>
      <c r="C130" s="96" t="s">
        <v>3451</v>
      </c>
      <c r="D130" s="96" t="s">
        <v>208</v>
      </c>
      <c r="E130" s="43">
        <v>45726</v>
      </c>
      <c r="F130" s="43">
        <v>45835</v>
      </c>
      <c r="G130" s="96" t="s">
        <v>90</v>
      </c>
      <c r="H130" s="96" t="s">
        <v>3452</v>
      </c>
      <c r="I130" s="96" t="s">
        <v>209</v>
      </c>
      <c r="J130" s="96" t="s">
        <v>168</v>
      </c>
      <c r="K130" s="96" t="s">
        <v>210</v>
      </c>
      <c r="L130">
        <v>109</v>
      </c>
      <c r="M130" t="s">
        <v>28</v>
      </c>
      <c r="N130" t="s">
        <v>186</v>
      </c>
      <c r="O130" t="s">
        <v>170</v>
      </c>
      <c r="P130">
        <v>2025</v>
      </c>
    </row>
    <row r="131" spans="1:16" hidden="1" x14ac:dyDescent="0.25">
      <c r="A131" s="96" t="s">
        <v>2</v>
      </c>
      <c r="B131" s="96" t="s">
        <v>247</v>
      </c>
      <c r="C131" s="96" t="s">
        <v>368</v>
      </c>
      <c r="D131" s="96" t="s">
        <v>215</v>
      </c>
      <c r="E131" s="43">
        <v>45706</v>
      </c>
      <c r="F131" s="43">
        <v>45730</v>
      </c>
      <c r="G131" s="96" t="s">
        <v>92</v>
      </c>
      <c r="H131" s="96" t="s">
        <v>3453</v>
      </c>
      <c r="I131" s="96" t="s">
        <v>194</v>
      </c>
      <c r="J131" s="96" t="s">
        <v>168</v>
      </c>
      <c r="K131" s="96" t="s">
        <v>200</v>
      </c>
      <c r="L131">
        <v>24</v>
      </c>
      <c r="M131" t="s">
        <v>19</v>
      </c>
      <c r="N131" t="s">
        <v>188</v>
      </c>
      <c r="O131" t="s">
        <v>150</v>
      </c>
      <c r="P131">
        <v>2025</v>
      </c>
    </row>
    <row r="132" spans="1:16" hidden="1" x14ac:dyDescent="0.25">
      <c r="A132" s="96" t="s">
        <v>2</v>
      </c>
      <c r="B132" s="96" t="s">
        <v>253</v>
      </c>
      <c r="C132" s="96" t="s">
        <v>369</v>
      </c>
      <c r="D132" s="96" t="s">
        <v>208</v>
      </c>
      <c r="E132" s="43">
        <v>45951</v>
      </c>
      <c r="F132" s="43">
        <v>45953</v>
      </c>
      <c r="G132" s="96" t="s">
        <v>92</v>
      </c>
      <c r="H132" s="96" t="s">
        <v>3454</v>
      </c>
      <c r="I132" s="96" t="s">
        <v>204</v>
      </c>
      <c r="J132" s="96" t="s">
        <v>229</v>
      </c>
      <c r="K132" s="96" t="s">
        <v>217</v>
      </c>
      <c r="L132">
        <v>2</v>
      </c>
      <c r="M132" t="s">
        <v>11</v>
      </c>
      <c r="N132" t="s">
        <v>16</v>
      </c>
      <c r="O132" t="s">
        <v>152</v>
      </c>
      <c r="P132">
        <v>2025</v>
      </c>
    </row>
    <row r="133" spans="1:16" hidden="1" x14ac:dyDescent="0.25">
      <c r="A133" s="96" t="s">
        <v>2</v>
      </c>
      <c r="B133" s="96" t="s">
        <v>253</v>
      </c>
      <c r="C133" s="96" t="s">
        <v>370</v>
      </c>
      <c r="D133" s="96" t="s">
        <v>192</v>
      </c>
      <c r="E133" s="43">
        <v>46018</v>
      </c>
      <c r="F133" s="43">
        <v>46117</v>
      </c>
      <c r="G133" s="96" t="s">
        <v>90</v>
      </c>
      <c r="H133" s="96" t="s">
        <v>3455</v>
      </c>
      <c r="I133" s="96" t="s">
        <v>225</v>
      </c>
      <c r="J133" s="96" t="s">
        <v>94</v>
      </c>
      <c r="K133" s="96" t="s">
        <v>210</v>
      </c>
      <c r="L133">
        <v>99</v>
      </c>
      <c r="M133" t="s">
        <v>28</v>
      </c>
      <c r="N133" t="s">
        <v>25</v>
      </c>
      <c r="O133" t="s">
        <v>152</v>
      </c>
      <c r="P133">
        <v>2025</v>
      </c>
    </row>
    <row r="134" spans="1:16" hidden="1" x14ac:dyDescent="0.25">
      <c r="A134" s="96" t="s">
        <v>2</v>
      </c>
      <c r="B134" s="96" t="s">
        <v>238</v>
      </c>
      <c r="C134" s="96" t="s">
        <v>3456</v>
      </c>
      <c r="D134" s="96" t="s">
        <v>215</v>
      </c>
      <c r="E134" s="43">
        <v>45890</v>
      </c>
      <c r="F134" s="43">
        <v>45986</v>
      </c>
      <c r="G134" s="96" t="s">
        <v>92</v>
      </c>
      <c r="H134" s="96" t="s">
        <v>3457</v>
      </c>
      <c r="I134" s="96" t="s">
        <v>209</v>
      </c>
      <c r="J134" s="96" t="s">
        <v>165</v>
      </c>
      <c r="K134" s="96" t="s">
        <v>157</v>
      </c>
      <c r="L134">
        <v>96</v>
      </c>
      <c r="M134" t="s">
        <v>28</v>
      </c>
      <c r="N134" t="s">
        <v>8</v>
      </c>
      <c r="O134" t="s">
        <v>170</v>
      </c>
      <c r="P134">
        <v>2025</v>
      </c>
    </row>
    <row r="135" spans="1:16" hidden="1" x14ac:dyDescent="0.25">
      <c r="A135" s="96" t="s">
        <v>2</v>
      </c>
      <c r="B135" s="96" t="s">
        <v>240</v>
      </c>
      <c r="C135" s="96" t="s">
        <v>371</v>
      </c>
      <c r="D135" s="96" t="s">
        <v>192</v>
      </c>
      <c r="E135" s="43">
        <v>46018</v>
      </c>
      <c r="F135" s="43">
        <v>46065</v>
      </c>
      <c r="G135" s="96" t="s">
        <v>92</v>
      </c>
      <c r="H135" s="96" t="s">
        <v>3458</v>
      </c>
      <c r="I135" s="96" t="s">
        <v>228</v>
      </c>
      <c r="J135" s="96" t="s">
        <v>173</v>
      </c>
      <c r="K135" s="96" t="s">
        <v>210</v>
      </c>
      <c r="L135">
        <v>47</v>
      </c>
      <c r="M135" t="s">
        <v>24</v>
      </c>
      <c r="N135" t="s">
        <v>25</v>
      </c>
      <c r="O135" t="s">
        <v>149</v>
      </c>
      <c r="P135">
        <v>2025</v>
      </c>
    </row>
    <row r="136" spans="1:16" hidden="1" x14ac:dyDescent="0.25">
      <c r="A136" s="96" t="s">
        <v>2</v>
      </c>
      <c r="B136" s="96" t="s">
        <v>211</v>
      </c>
      <c r="C136" s="96" t="s">
        <v>3459</v>
      </c>
      <c r="D136" s="96" t="s">
        <v>10</v>
      </c>
      <c r="E136" s="43">
        <v>45924</v>
      </c>
      <c r="F136" s="43">
        <v>45981</v>
      </c>
      <c r="G136" s="96" t="s">
        <v>92</v>
      </c>
      <c r="H136" s="96" t="s">
        <v>3460</v>
      </c>
      <c r="I136" s="96" t="s">
        <v>194</v>
      </c>
      <c r="J136" s="96" t="s">
        <v>173</v>
      </c>
      <c r="K136" s="96" t="s">
        <v>157</v>
      </c>
      <c r="L136">
        <v>57</v>
      </c>
      <c r="M136" t="s">
        <v>24</v>
      </c>
      <c r="N136" t="s">
        <v>12</v>
      </c>
      <c r="O136" t="s">
        <v>170</v>
      </c>
      <c r="P136">
        <v>2025</v>
      </c>
    </row>
    <row r="137" spans="1:16" hidden="1" x14ac:dyDescent="0.25">
      <c r="A137" s="96" t="s">
        <v>2</v>
      </c>
      <c r="B137" s="96" t="s">
        <v>280</v>
      </c>
      <c r="C137" s="96" t="s">
        <v>3461</v>
      </c>
      <c r="D137" s="96" t="s">
        <v>40</v>
      </c>
      <c r="E137" s="43">
        <v>45946</v>
      </c>
      <c r="F137" s="43">
        <v>45954</v>
      </c>
      <c r="G137" s="96" t="s">
        <v>92</v>
      </c>
      <c r="H137" s="96" t="s">
        <v>3462</v>
      </c>
      <c r="I137" s="96" t="s">
        <v>157</v>
      </c>
      <c r="J137" s="96" t="s">
        <v>172</v>
      </c>
      <c r="K137" s="96" t="s">
        <v>205</v>
      </c>
      <c r="L137">
        <v>8</v>
      </c>
      <c r="M137" t="s">
        <v>15</v>
      </c>
      <c r="N137" t="s">
        <v>16</v>
      </c>
      <c r="O137" t="s">
        <v>170</v>
      </c>
      <c r="P137">
        <v>2025</v>
      </c>
    </row>
    <row r="138" spans="1:16" hidden="1" x14ac:dyDescent="0.25">
      <c r="A138" s="96" t="s">
        <v>2</v>
      </c>
      <c r="B138" s="96" t="s">
        <v>253</v>
      </c>
      <c r="C138" s="96" t="s">
        <v>372</v>
      </c>
      <c r="D138" s="96" t="s">
        <v>10</v>
      </c>
      <c r="E138" s="43">
        <v>45681</v>
      </c>
      <c r="F138" s="43">
        <v>45736</v>
      </c>
      <c r="G138" s="96" t="s">
        <v>95</v>
      </c>
      <c r="H138" s="96" t="s">
        <v>3463</v>
      </c>
      <c r="I138" s="96" t="s">
        <v>204</v>
      </c>
      <c r="J138" s="96" t="s">
        <v>283</v>
      </c>
      <c r="K138" s="96" t="s">
        <v>210</v>
      </c>
      <c r="L138">
        <v>55</v>
      </c>
      <c r="M138" t="s">
        <v>24</v>
      </c>
      <c r="N138" t="s">
        <v>181</v>
      </c>
      <c r="O138" t="s">
        <v>152</v>
      </c>
      <c r="P138">
        <v>2025</v>
      </c>
    </row>
    <row r="139" spans="1:16" x14ac:dyDescent="0.25">
      <c r="A139" s="96" t="s">
        <v>2</v>
      </c>
      <c r="B139" s="96" t="s">
        <v>261</v>
      </c>
      <c r="C139" s="96" t="s">
        <v>373</v>
      </c>
      <c r="D139" s="96" t="s">
        <v>223</v>
      </c>
      <c r="E139" s="43">
        <v>46130</v>
      </c>
      <c r="F139" s="43">
        <v>46148</v>
      </c>
      <c r="G139" s="96" t="s">
        <v>90</v>
      </c>
      <c r="H139" s="96" t="s">
        <v>3464</v>
      </c>
      <c r="I139" s="96" t="s">
        <v>9</v>
      </c>
      <c r="J139" s="96" t="s">
        <v>229</v>
      </c>
      <c r="K139" s="96" t="s">
        <v>157</v>
      </c>
      <c r="L139">
        <v>18</v>
      </c>
      <c r="M139" t="s">
        <v>19</v>
      </c>
      <c r="N139" t="s">
        <v>37</v>
      </c>
      <c r="O139" t="s">
        <v>151</v>
      </c>
      <c r="P139">
        <v>2026</v>
      </c>
    </row>
    <row r="140" spans="1:16" hidden="1" x14ac:dyDescent="0.25">
      <c r="A140" s="96" t="s">
        <v>2</v>
      </c>
      <c r="B140" s="96" t="s">
        <v>322</v>
      </c>
      <c r="C140" s="96" t="s">
        <v>375</v>
      </c>
      <c r="D140" s="96" t="s">
        <v>203</v>
      </c>
      <c r="E140" s="43">
        <v>45723</v>
      </c>
      <c r="F140" s="43">
        <v>45817</v>
      </c>
      <c r="G140" s="96" t="s">
        <v>95</v>
      </c>
      <c r="H140" s="96" t="s">
        <v>3465</v>
      </c>
      <c r="I140" s="96" t="s">
        <v>194</v>
      </c>
      <c r="J140" s="96" t="s">
        <v>94</v>
      </c>
      <c r="K140" s="96" t="s">
        <v>205</v>
      </c>
      <c r="L140">
        <v>94</v>
      </c>
      <c r="M140" t="s">
        <v>28</v>
      </c>
      <c r="N140" t="s">
        <v>186</v>
      </c>
      <c r="O140" t="s">
        <v>150</v>
      </c>
      <c r="P140">
        <v>2025</v>
      </c>
    </row>
    <row r="141" spans="1:16" hidden="1" x14ac:dyDescent="0.25">
      <c r="A141" s="96" t="s">
        <v>2</v>
      </c>
      <c r="B141" s="96" t="s">
        <v>322</v>
      </c>
      <c r="C141" s="96" t="s">
        <v>377</v>
      </c>
      <c r="D141" s="96" t="s">
        <v>215</v>
      </c>
      <c r="E141" s="43">
        <v>45737</v>
      </c>
      <c r="F141" s="43">
        <v>45773</v>
      </c>
      <c r="G141" s="96" t="s">
        <v>90</v>
      </c>
      <c r="H141" s="96" t="s">
        <v>3466</v>
      </c>
      <c r="I141" s="96" t="s">
        <v>225</v>
      </c>
      <c r="J141" s="96" t="s">
        <v>165</v>
      </c>
      <c r="K141" s="96" t="s">
        <v>233</v>
      </c>
      <c r="L141">
        <v>36</v>
      </c>
      <c r="M141" t="s">
        <v>24</v>
      </c>
      <c r="N141" t="s">
        <v>186</v>
      </c>
      <c r="O141" t="s">
        <v>150</v>
      </c>
      <c r="P141">
        <v>2025</v>
      </c>
    </row>
    <row r="142" spans="1:16" hidden="1" x14ac:dyDescent="0.25">
      <c r="A142" s="96" t="s">
        <v>2</v>
      </c>
      <c r="B142" s="96" t="s">
        <v>211</v>
      </c>
      <c r="C142" s="96" t="s">
        <v>379</v>
      </c>
      <c r="D142" s="96" t="s">
        <v>10</v>
      </c>
      <c r="E142" s="43">
        <v>45886</v>
      </c>
      <c r="F142" s="43">
        <v>45963</v>
      </c>
      <c r="G142" s="96" t="s">
        <v>92</v>
      </c>
      <c r="H142" s="96" t="s">
        <v>3467</v>
      </c>
      <c r="I142" s="96" t="s">
        <v>225</v>
      </c>
      <c r="J142" s="96" t="s">
        <v>169</v>
      </c>
      <c r="K142" s="96" t="s">
        <v>230</v>
      </c>
      <c r="L142">
        <v>77</v>
      </c>
      <c r="M142" t="s">
        <v>28</v>
      </c>
      <c r="N142" t="s">
        <v>8</v>
      </c>
      <c r="O142" t="s">
        <v>170</v>
      </c>
      <c r="P142">
        <v>2025</v>
      </c>
    </row>
    <row r="143" spans="1:16" x14ac:dyDescent="0.25">
      <c r="A143" s="96" t="s">
        <v>2</v>
      </c>
      <c r="B143" s="96" t="s">
        <v>244</v>
      </c>
      <c r="C143" s="96" t="s">
        <v>381</v>
      </c>
      <c r="D143" s="96" t="s">
        <v>14</v>
      </c>
      <c r="E143" s="43">
        <v>46057</v>
      </c>
      <c r="F143" s="43">
        <v>46107</v>
      </c>
      <c r="G143" s="96" t="s">
        <v>90</v>
      </c>
      <c r="H143" s="96" t="s">
        <v>3468</v>
      </c>
      <c r="I143" s="96" t="s">
        <v>228</v>
      </c>
      <c r="J143" s="96" t="s">
        <v>91</v>
      </c>
      <c r="K143" s="96" t="s">
        <v>195</v>
      </c>
      <c r="L143">
        <v>50</v>
      </c>
      <c r="M143" t="s">
        <v>24</v>
      </c>
      <c r="N143" t="s">
        <v>32</v>
      </c>
      <c r="O143" t="s">
        <v>150</v>
      </c>
      <c r="P143">
        <v>2026</v>
      </c>
    </row>
    <row r="144" spans="1:16" x14ac:dyDescent="0.25">
      <c r="A144" s="96" t="s">
        <v>2</v>
      </c>
      <c r="B144" s="96" t="s">
        <v>374</v>
      </c>
      <c r="C144" s="96" t="s">
        <v>3469</v>
      </c>
      <c r="D144" s="96" t="s">
        <v>237</v>
      </c>
      <c r="E144" s="43">
        <v>46026</v>
      </c>
      <c r="F144" s="43">
        <v>46054</v>
      </c>
      <c r="G144" s="96" t="s">
        <v>90</v>
      </c>
      <c r="H144" s="96" t="s">
        <v>376</v>
      </c>
      <c r="I144" s="96" t="s">
        <v>225</v>
      </c>
      <c r="J144" s="96" t="s">
        <v>98</v>
      </c>
      <c r="K144" s="96" t="s">
        <v>200</v>
      </c>
      <c r="L144">
        <v>28</v>
      </c>
      <c r="M144" t="s">
        <v>19</v>
      </c>
      <c r="N144" t="s">
        <v>29</v>
      </c>
      <c r="O144" t="s">
        <v>150</v>
      </c>
      <c r="P144">
        <v>2026</v>
      </c>
    </row>
    <row r="145" spans="1:16" x14ac:dyDescent="0.25">
      <c r="A145" s="96" t="s">
        <v>2</v>
      </c>
      <c r="B145" s="96" t="s">
        <v>196</v>
      </c>
      <c r="C145" s="96" t="s">
        <v>382</v>
      </c>
      <c r="D145" s="96" t="s">
        <v>14</v>
      </c>
      <c r="E145" s="43">
        <v>46120</v>
      </c>
      <c r="F145" s="43">
        <v>46147</v>
      </c>
      <c r="G145" s="96" t="s">
        <v>92</v>
      </c>
      <c r="H145" s="96" t="s">
        <v>378</v>
      </c>
      <c r="I145" s="96" t="s">
        <v>157</v>
      </c>
      <c r="J145" s="96" t="s">
        <v>216</v>
      </c>
      <c r="K145" s="96" t="s">
        <v>200</v>
      </c>
      <c r="L145">
        <v>27</v>
      </c>
      <c r="M145" t="s">
        <v>19</v>
      </c>
      <c r="N145" t="s">
        <v>37</v>
      </c>
      <c r="O145" t="s">
        <v>152</v>
      </c>
      <c r="P145">
        <v>2026</v>
      </c>
    </row>
    <row r="146" spans="1:16" x14ac:dyDescent="0.25">
      <c r="A146" s="96" t="s">
        <v>2</v>
      </c>
      <c r="B146" s="96" t="s">
        <v>305</v>
      </c>
      <c r="C146" s="96" t="s">
        <v>3470</v>
      </c>
      <c r="D146" s="96" t="s">
        <v>40</v>
      </c>
      <c r="E146" s="43">
        <v>46117</v>
      </c>
      <c r="F146" s="43">
        <v>46148</v>
      </c>
      <c r="G146" s="96" t="s">
        <v>92</v>
      </c>
      <c r="H146" s="96" t="s">
        <v>380</v>
      </c>
      <c r="I146" s="96" t="s">
        <v>225</v>
      </c>
      <c r="J146" s="96" t="s">
        <v>91</v>
      </c>
      <c r="K146" s="96" t="s">
        <v>200</v>
      </c>
      <c r="L146">
        <v>31</v>
      </c>
      <c r="M146" t="s">
        <v>24</v>
      </c>
      <c r="N146" t="s">
        <v>37</v>
      </c>
      <c r="O146" t="s">
        <v>170</v>
      </c>
      <c r="P146">
        <v>2026</v>
      </c>
    </row>
    <row r="147" spans="1:16" x14ac:dyDescent="0.25">
      <c r="A147" s="96" t="s">
        <v>2</v>
      </c>
      <c r="B147" s="96" t="s">
        <v>374</v>
      </c>
      <c r="C147" s="96" t="s">
        <v>383</v>
      </c>
      <c r="D147" s="96" t="s">
        <v>223</v>
      </c>
      <c r="E147" s="43">
        <v>46128</v>
      </c>
      <c r="F147" s="43">
        <v>46146</v>
      </c>
      <c r="G147" s="96" t="s">
        <v>92</v>
      </c>
      <c r="H147" s="96" t="s">
        <v>3471</v>
      </c>
      <c r="I147" s="96" t="s">
        <v>9</v>
      </c>
      <c r="J147" s="96" t="s">
        <v>216</v>
      </c>
      <c r="K147" s="96" t="s">
        <v>246</v>
      </c>
      <c r="L147">
        <v>18</v>
      </c>
      <c r="M147" t="s">
        <v>19</v>
      </c>
      <c r="N147" t="s">
        <v>37</v>
      </c>
      <c r="O147" t="s">
        <v>150</v>
      </c>
      <c r="P147">
        <v>2026</v>
      </c>
    </row>
    <row r="148" spans="1:16" hidden="1" x14ac:dyDescent="0.25">
      <c r="A148" s="96" t="s">
        <v>2</v>
      </c>
      <c r="B148" s="96" t="s">
        <v>255</v>
      </c>
      <c r="C148" s="96" t="s">
        <v>3472</v>
      </c>
      <c r="D148" s="96" t="s">
        <v>14</v>
      </c>
      <c r="E148" s="43">
        <v>45782</v>
      </c>
      <c r="F148" s="43">
        <v>45872</v>
      </c>
      <c r="G148" s="96" t="s">
        <v>90</v>
      </c>
      <c r="H148" s="96" t="s">
        <v>3473</v>
      </c>
      <c r="I148" s="96" t="s">
        <v>194</v>
      </c>
      <c r="J148" s="96" t="s">
        <v>176</v>
      </c>
      <c r="K148" s="96" t="s">
        <v>217</v>
      </c>
      <c r="L148">
        <v>90</v>
      </c>
      <c r="M148" t="s">
        <v>28</v>
      </c>
      <c r="N148" t="s">
        <v>182</v>
      </c>
      <c r="O148" t="s">
        <v>150</v>
      </c>
      <c r="P148">
        <v>2025</v>
      </c>
    </row>
    <row r="149" spans="1:16" hidden="1" x14ac:dyDescent="0.25">
      <c r="A149" s="96" t="s">
        <v>2</v>
      </c>
      <c r="B149" s="96" t="s">
        <v>211</v>
      </c>
      <c r="C149" s="96" t="s">
        <v>384</v>
      </c>
      <c r="D149" s="96" t="s">
        <v>192</v>
      </c>
      <c r="E149" s="43">
        <v>45686</v>
      </c>
      <c r="F149" s="43">
        <v>45768</v>
      </c>
      <c r="G149" s="96" t="s">
        <v>90</v>
      </c>
      <c r="H149" s="96" t="s">
        <v>3474</v>
      </c>
      <c r="I149" s="96" t="s">
        <v>157</v>
      </c>
      <c r="J149" s="96" t="s">
        <v>199</v>
      </c>
      <c r="K149" s="96" t="s">
        <v>157</v>
      </c>
      <c r="L149">
        <v>82</v>
      </c>
      <c r="M149" t="s">
        <v>28</v>
      </c>
      <c r="N149" t="s">
        <v>181</v>
      </c>
      <c r="O149" t="s">
        <v>170</v>
      </c>
      <c r="P149">
        <v>2025</v>
      </c>
    </row>
    <row r="150" spans="1:16" x14ac:dyDescent="0.25">
      <c r="A150" s="96" t="s">
        <v>2</v>
      </c>
      <c r="B150" s="96" t="s">
        <v>274</v>
      </c>
      <c r="C150" s="96" t="s">
        <v>385</v>
      </c>
      <c r="D150" s="96" t="s">
        <v>203</v>
      </c>
      <c r="E150" s="43">
        <v>46081</v>
      </c>
      <c r="F150" s="43">
        <v>46109</v>
      </c>
      <c r="G150" s="96" t="s">
        <v>95</v>
      </c>
      <c r="H150" s="96" t="s">
        <v>3475</v>
      </c>
      <c r="I150" s="96" t="s">
        <v>228</v>
      </c>
      <c r="J150" s="96" t="s">
        <v>177</v>
      </c>
      <c r="K150" s="96" t="s">
        <v>210</v>
      </c>
      <c r="L150">
        <v>28</v>
      </c>
      <c r="M150" t="s">
        <v>19</v>
      </c>
      <c r="N150" t="s">
        <v>32</v>
      </c>
      <c r="O150" t="s">
        <v>170</v>
      </c>
      <c r="P150">
        <v>2026</v>
      </c>
    </row>
    <row r="151" spans="1:16" x14ac:dyDescent="0.25">
      <c r="A151" s="96" t="s">
        <v>2</v>
      </c>
      <c r="B151" s="96" t="s">
        <v>234</v>
      </c>
      <c r="C151" s="96" t="s">
        <v>387</v>
      </c>
      <c r="D151" s="96" t="s">
        <v>40</v>
      </c>
      <c r="E151" s="43">
        <v>46103</v>
      </c>
      <c r="F151" s="43">
        <v>46106</v>
      </c>
      <c r="G151" s="96" t="s">
        <v>90</v>
      </c>
      <c r="H151" s="96" t="s">
        <v>3476</v>
      </c>
      <c r="I151" s="96" t="s">
        <v>225</v>
      </c>
      <c r="J151" s="96" t="s">
        <v>94</v>
      </c>
      <c r="K151" s="96" t="s">
        <v>217</v>
      </c>
      <c r="L151">
        <v>3</v>
      </c>
      <c r="M151" t="s">
        <v>11</v>
      </c>
      <c r="N151" t="s">
        <v>35</v>
      </c>
      <c r="O151" t="s">
        <v>150</v>
      </c>
      <c r="P151">
        <v>2026</v>
      </c>
    </row>
    <row r="152" spans="1:16" hidden="1" x14ac:dyDescent="0.25">
      <c r="A152" s="96" t="s">
        <v>175</v>
      </c>
      <c r="B152" s="96" t="s">
        <v>257</v>
      </c>
      <c r="C152" s="96" t="s">
        <v>388</v>
      </c>
      <c r="D152" s="96" t="s">
        <v>223</v>
      </c>
      <c r="E152" s="43">
        <v>45934</v>
      </c>
      <c r="F152" s="43">
        <v>45977</v>
      </c>
      <c r="G152" s="96" t="s">
        <v>90</v>
      </c>
      <c r="H152" s="96" t="s">
        <v>3477</v>
      </c>
      <c r="I152" s="96" t="s">
        <v>9</v>
      </c>
      <c r="J152" s="96" t="s">
        <v>199</v>
      </c>
      <c r="K152" s="96" t="s">
        <v>217</v>
      </c>
      <c r="L152">
        <v>43</v>
      </c>
      <c r="M152" t="s">
        <v>24</v>
      </c>
      <c r="N152" t="s">
        <v>16</v>
      </c>
      <c r="O152" t="s">
        <v>151</v>
      </c>
      <c r="P152">
        <v>2025</v>
      </c>
    </row>
    <row r="153" spans="1:16" hidden="1" x14ac:dyDescent="0.25">
      <c r="A153" s="96" t="s">
        <v>2</v>
      </c>
      <c r="B153" s="96" t="s">
        <v>247</v>
      </c>
      <c r="C153" s="96" t="s">
        <v>391</v>
      </c>
      <c r="D153" s="96" t="s">
        <v>14</v>
      </c>
      <c r="E153" s="43">
        <v>45850</v>
      </c>
      <c r="F153" s="43">
        <v>45906</v>
      </c>
      <c r="G153" s="96" t="s">
        <v>92</v>
      </c>
      <c r="H153" s="96" t="s">
        <v>3478</v>
      </c>
      <c r="I153" s="96" t="s">
        <v>204</v>
      </c>
      <c r="J153" s="96" t="s">
        <v>173</v>
      </c>
      <c r="K153" s="96" t="s">
        <v>217</v>
      </c>
      <c r="L153">
        <v>56</v>
      </c>
      <c r="M153" t="s">
        <v>24</v>
      </c>
      <c r="N153" t="s">
        <v>187</v>
      </c>
      <c r="O153" t="s">
        <v>150</v>
      </c>
      <c r="P153">
        <v>2025</v>
      </c>
    </row>
    <row r="154" spans="1:16" hidden="1" x14ac:dyDescent="0.25">
      <c r="A154" s="96" t="s">
        <v>2</v>
      </c>
      <c r="B154" s="96" t="s">
        <v>272</v>
      </c>
      <c r="C154" s="96" t="s">
        <v>3479</v>
      </c>
      <c r="D154" s="96" t="s">
        <v>223</v>
      </c>
      <c r="E154" s="43">
        <v>45982</v>
      </c>
      <c r="F154" s="43">
        <v>46002</v>
      </c>
      <c r="G154" s="96" t="s">
        <v>92</v>
      </c>
      <c r="H154" s="96" t="s">
        <v>3480</v>
      </c>
      <c r="I154" s="96" t="s">
        <v>157</v>
      </c>
      <c r="J154" s="96" t="s">
        <v>168</v>
      </c>
      <c r="K154" s="96" t="s">
        <v>233</v>
      </c>
      <c r="L154">
        <v>20</v>
      </c>
      <c r="M154" t="s">
        <v>19</v>
      </c>
      <c r="N154" t="s">
        <v>20</v>
      </c>
      <c r="O154" t="s">
        <v>151</v>
      </c>
      <c r="P154">
        <v>2025</v>
      </c>
    </row>
    <row r="155" spans="1:16" hidden="1" x14ac:dyDescent="0.25">
      <c r="A155" s="96" t="s">
        <v>2</v>
      </c>
      <c r="B155" s="96" t="s">
        <v>272</v>
      </c>
      <c r="C155" s="96" t="s">
        <v>392</v>
      </c>
      <c r="D155" s="96" t="s">
        <v>40</v>
      </c>
      <c r="E155" s="43">
        <v>45690</v>
      </c>
      <c r="F155" s="43">
        <v>45712</v>
      </c>
      <c r="G155" s="96" t="s">
        <v>92</v>
      </c>
      <c r="H155" s="96" t="s">
        <v>3481</v>
      </c>
      <c r="I155" s="96" t="s">
        <v>225</v>
      </c>
      <c r="J155" s="96" t="s">
        <v>216</v>
      </c>
      <c r="K155" s="96" t="s">
        <v>205</v>
      </c>
      <c r="L155">
        <v>22</v>
      </c>
      <c r="M155" t="s">
        <v>19</v>
      </c>
      <c r="N155" t="s">
        <v>188</v>
      </c>
      <c r="O155" t="s">
        <v>151</v>
      </c>
      <c r="P155">
        <v>2025</v>
      </c>
    </row>
    <row r="156" spans="1:16" hidden="1" x14ac:dyDescent="0.25">
      <c r="A156" s="96" t="s">
        <v>2</v>
      </c>
      <c r="B156" s="96" t="s">
        <v>251</v>
      </c>
      <c r="C156" s="96" t="s">
        <v>393</v>
      </c>
      <c r="D156" s="96" t="s">
        <v>223</v>
      </c>
      <c r="E156" s="43">
        <v>45727</v>
      </c>
      <c r="F156" s="43">
        <v>45766</v>
      </c>
      <c r="G156" s="96" t="s">
        <v>90</v>
      </c>
      <c r="H156" s="96" t="s">
        <v>386</v>
      </c>
      <c r="I156" s="96" t="s">
        <v>194</v>
      </c>
      <c r="J156" s="96" t="s">
        <v>173</v>
      </c>
      <c r="K156" s="96" t="s">
        <v>230</v>
      </c>
      <c r="L156">
        <v>39</v>
      </c>
      <c r="M156" t="s">
        <v>24</v>
      </c>
      <c r="N156" t="s">
        <v>186</v>
      </c>
      <c r="O156" t="s">
        <v>170</v>
      </c>
      <c r="P156">
        <v>2025</v>
      </c>
    </row>
    <row r="157" spans="1:16" hidden="1" x14ac:dyDescent="0.25">
      <c r="A157" s="96" t="s">
        <v>2</v>
      </c>
      <c r="B157" s="96" t="s">
        <v>272</v>
      </c>
      <c r="C157" s="96" t="s">
        <v>3482</v>
      </c>
      <c r="D157" s="96" t="s">
        <v>208</v>
      </c>
      <c r="E157" s="43">
        <v>46013</v>
      </c>
      <c r="F157" s="43">
        <v>46039</v>
      </c>
      <c r="G157" s="96" t="s">
        <v>92</v>
      </c>
      <c r="H157" s="96" t="s">
        <v>3483</v>
      </c>
      <c r="I157" s="96" t="s">
        <v>228</v>
      </c>
      <c r="J157" s="96" t="s">
        <v>94</v>
      </c>
      <c r="K157" s="96" t="s">
        <v>200</v>
      </c>
      <c r="L157">
        <v>26</v>
      </c>
      <c r="M157" t="s">
        <v>19</v>
      </c>
      <c r="N157" t="s">
        <v>25</v>
      </c>
      <c r="O157" t="s">
        <v>151</v>
      </c>
      <c r="P157">
        <v>2025</v>
      </c>
    </row>
    <row r="158" spans="1:16" hidden="1" x14ac:dyDescent="0.25">
      <c r="A158" s="96" t="s">
        <v>2</v>
      </c>
      <c r="B158" s="96" t="s">
        <v>211</v>
      </c>
      <c r="C158" s="96" t="s">
        <v>3484</v>
      </c>
      <c r="D158" s="96" t="s">
        <v>208</v>
      </c>
      <c r="E158" s="43">
        <v>45859</v>
      </c>
      <c r="F158" s="43">
        <v>45906</v>
      </c>
      <c r="G158" s="96" t="s">
        <v>92</v>
      </c>
      <c r="H158" s="96" t="s">
        <v>389</v>
      </c>
      <c r="I158" s="96" t="s">
        <v>209</v>
      </c>
      <c r="J158" s="96" t="s">
        <v>91</v>
      </c>
      <c r="K158" s="96" t="s">
        <v>246</v>
      </c>
      <c r="L158">
        <v>47</v>
      </c>
      <c r="M158" t="s">
        <v>24</v>
      </c>
      <c r="N158" t="s">
        <v>187</v>
      </c>
      <c r="O158" t="s">
        <v>170</v>
      </c>
      <c r="P158">
        <v>2025</v>
      </c>
    </row>
    <row r="159" spans="1:16" x14ac:dyDescent="0.25">
      <c r="A159" s="96" t="s">
        <v>2</v>
      </c>
      <c r="B159" s="96" t="s">
        <v>261</v>
      </c>
      <c r="C159" s="96" t="s">
        <v>394</v>
      </c>
      <c r="D159" s="96" t="s">
        <v>237</v>
      </c>
      <c r="E159" s="43">
        <v>46040</v>
      </c>
      <c r="F159" s="43">
        <v>46145</v>
      </c>
      <c r="G159" s="96" t="s">
        <v>92</v>
      </c>
      <c r="H159" s="96" t="s">
        <v>390</v>
      </c>
      <c r="I159" s="96" t="s">
        <v>157</v>
      </c>
      <c r="J159" s="96" t="s">
        <v>176</v>
      </c>
      <c r="K159" s="96" t="s">
        <v>233</v>
      </c>
      <c r="L159">
        <v>105</v>
      </c>
      <c r="M159" t="s">
        <v>28</v>
      </c>
      <c r="N159" t="s">
        <v>29</v>
      </c>
      <c r="O159" t="s">
        <v>151</v>
      </c>
      <c r="P159">
        <v>2026</v>
      </c>
    </row>
    <row r="160" spans="1:16" hidden="1" x14ac:dyDescent="0.25">
      <c r="A160" s="96" t="s">
        <v>2</v>
      </c>
      <c r="B160" s="96" t="s">
        <v>280</v>
      </c>
      <c r="C160" s="96" t="s">
        <v>395</v>
      </c>
      <c r="D160" s="96" t="s">
        <v>203</v>
      </c>
      <c r="E160" s="43">
        <v>45964</v>
      </c>
      <c r="F160" s="43">
        <v>46026</v>
      </c>
      <c r="G160" s="96" t="s">
        <v>95</v>
      </c>
      <c r="H160" s="96" t="s">
        <v>3485</v>
      </c>
      <c r="I160" s="96" t="s">
        <v>9</v>
      </c>
      <c r="J160" s="96" t="s">
        <v>97</v>
      </c>
      <c r="K160" s="96" t="s">
        <v>157</v>
      </c>
      <c r="L160">
        <v>62</v>
      </c>
      <c r="M160" t="s">
        <v>28</v>
      </c>
      <c r="N160" t="s">
        <v>20</v>
      </c>
      <c r="O160" t="s">
        <v>170</v>
      </c>
      <c r="P160">
        <v>2025</v>
      </c>
    </row>
    <row r="161" spans="1:16" hidden="1" x14ac:dyDescent="0.25">
      <c r="A161" s="96" t="s">
        <v>2</v>
      </c>
      <c r="B161" s="96" t="s">
        <v>255</v>
      </c>
      <c r="C161" s="96" t="s">
        <v>3486</v>
      </c>
      <c r="D161" s="96" t="s">
        <v>223</v>
      </c>
      <c r="E161" s="43">
        <v>45701</v>
      </c>
      <c r="F161" s="43">
        <v>45715</v>
      </c>
      <c r="G161" s="96" t="s">
        <v>92</v>
      </c>
      <c r="H161" s="96" t="s">
        <v>3487</v>
      </c>
      <c r="I161" s="96" t="s">
        <v>157</v>
      </c>
      <c r="J161" s="96" t="s">
        <v>283</v>
      </c>
      <c r="K161" s="96" t="s">
        <v>233</v>
      </c>
      <c r="L161">
        <v>14</v>
      </c>
      <c r="M161" t="s">
        <v>15</v>
      </c>
      <c r="N161" t="s">
        <v>188</v>
      </c>
      <c r="O161" t="s">
        <v>150</v>
      </c>
      <c r="P161">
        <v>2025</v>
      </c>
    </row>
    <row r="162" spans="1:16" hidden="1" x14ac:dyDescent="0.25">
      <c r="A162" s="96" t="s">
        <v>2</v>
      </c>
      <c r="B162" s="96" t="s">
        <v>272</v>
      </c>
      <c r="C162" s="96" t="s">
        <v>397</v>
      </c>
      <c r="D162" s="96" t="s">
        <v>10</v>
      </c>
      <c r="E162" s="43">
        <v>45901</v>
      </c>
      <c r="F162" s="43">
        <v>45914</v>
      </c>
      <c r="G162" s="96" t="s">
        <v>92</v>
      </c>
      <c r="H162" s="96" t="s">
        <v>3488</v>
      </c>
      <c r="I162" s="96" t="s">
        <v>157</v>
      </c>
      <c r="J162" s="96" t="s">
        <v>174</v>
      </c>
      <c r="K162" s="96" t="s">
        <v>233</v>
      </c>
      <c r="L162">
        <v>13</v>
      </c>
      <c r="M162" t="s">
        <v>15</v>
      </c>
      <c r="N162" t="s">
        <v>12</v>
      </c>
      <c r="O162" t="s">
        <v>151</v>
      </c>
      <c r="P162">
        <v>2025</v>
      </c>
    </row>
    <row r="163" spans="1:16" hidden="1" x14ac:dyDescent="0.25">
      <c r="A163" s="96" t="s">
        <v>2</v>
      </c>
      <c r="B163" s="96" t="s">
        <v>190</v>
      </c>
      <c r="C163" s="96" t="s">
        <v>3489</v>
      </c>
      <c r="D163" s="96" t="s">
        <v>215</v>
      </c>
      <c r="E163" s="43">
        <v>45742</v>
      </c>
      <c r="F163" s="43">
        <v>45862</v>
      </c>
      <c r="G163" s="96" t="s">
        <v>92</v>
      </c>
      <c r="H163" s="96" t="s">
        <v>3490</v>
      </c>
      <c r="I163" s="96" t="s">
        <v>157</v>
      </c>
      <c r="J163" s="96" t="s">
        <v>176</v>
      </c>
      <c r="K163" s="96" t="s">
        <v>210</v>
      </c>
      <c r="L163">
        <v>120</v>
      </c>
      <c r="M163" t="s">
        <v>28</v>
      </c>
      <c r="N163" t="s">
        <v>186</v>
      </c>
      <c r="O163" t="s">
        <v>150</v>
      </c>
      <c r="P163">
        <v>2025</v>
      </c>
    </row>
    <row r="164" spans="1:16" hidden="1" x14ac:dyDescent="0.25">
      <c r="A164" s="96" t="s">
        <v>2</v>
      </c>
      <c r="B164" s="96" t="s">
        <v>253</v>
      </c>
      <c r="C164" s="96" t="s">
        <v>398</v>
      </c>
      <c r="D164" s="96" t="s">
        <v>223</v>
      </c>
      <c r="E164" s="43">
        <v>45908</v>
      </c>
      <c r="F164" s="43">
        <v>45976</v>
      </c>
      <c r="G164" s="96" t="s">
        <v>92</v>
      </c>
      <c r="H164" s="96" t="s">
        <v>3491</v>
      </c>
      <c r="I164" s="96" t="s">
        <v>157</v>
      </c>
      <c r="J164" s="96" t="s">
        <v>93</v>
      </c>
      <c r="K164" s="96" t="s">
        <v>210</v>
      </c>
      <c r="L164">
        <v>68</v>
      </c>
      <c r="M164" t="s">
        <v>28</v>
      </c>
      <c r="N164" t="s">
        <v>12</v>
      </c>
      <c r="O164" t="s">
        <v>152</v>
      </c>
      <c r="P164">
        <v>2025</v>
      </c>
    </row>
    <row r="165" spans="1:16" x14ac:dyDescent="0.25">
      <c r="A165" s="96" t="s">
        <v>2</v>
      </c>
      <c r="B165" s="96" t="s">
        <v>317</v>
      </c>
      <c r="C165" s="96" t="s">
        <v>399</v>
      </c>
      <c r="D165" s="96" t="s">
        <v>14</v>
      </c>
      <c r="E165" s="43">
        <v>46099</v>
      </c>
      <c r="F165" s="43">
        <v>46147</v>
      </c>
      <c r="G165" s="96" t="s">
        <v>92</v>
      </c>
      <c r="H165" s="96" t="s">
        <v>3492</v>
      </c>
      <c r="I165" s="96" t="s">
        <v>225</v>
      </c>
      <c r="J165" s="96" t="s">
        <v>97</v>
      </c>
      <c r="K165" s="96" t="s">
        <v>210</v>
      </c>
      <c r="L165">
        <v>48</v>
      </c>
      <c r="M165" t="s">
        <v>24</v>
      </c>
      <c r="N165" t="s">
        <v>35</v>
      </c>
      <c r="O165" t="s">
        <v>170</v>
      </c>
      <c r="P165">
        <v>2026</v>
      </c>
    </row>
    <row r="166" spans="1:16" hidden="1" x14ac:dyDescent="0.25">
      <c r="A166" s="96" t="s">
        <v>2</v>
      </c>
      <c r="B166" s="96" t="s">
        <v>247</v>
      </c>
      <c r="C166" s="96" t="s">
        <v>3493</v>
      </c>
      <c r="D166" s="96" t="s">
        <v>203</v>
      </c>
      <c r="E166" s="43">
        <v>45872</v>
      </c>
      <c r="F166" s="43">
        <v>45949</v>
      </c>
      <c r="G166" s="96" t="s">
        <v>92</v>
      </c>
      <c r="H166" s="96" t="s">
        <v>3494</v>
      </c>
      <c r="I166" s="96" t="s">
        <v>225</v>
      </c>
      <c r="J166" s="96" t="s">
        <v>216</v>
      </c>
      <c r="K166" s="96" t="s">
        <v>230</v>
      </c>
      <c r="L166">
        <v>77</v>
      </c>
      <c r="M166" t="s">
        <v>28</v>
      </c>
      <c r="N166" t="s">
        <v>8</v>
      </c>
      <c r="O166" t="s">
        <v>150</v>
      </c>
      <c r="P166">
        <v>2025</v>
      </c>
    </row>
    <row r="167" spans="1:16" hidden="1" x14ac:dyDescent="0.25">
      <c r="A167" s="96" t="s">
        <v>2</v>
      </c>
      <c r="B167" s="96" t="s">
        <v>272</v>
      </c>
      <c r="C167" s="96" t="s">
        <v>400</v>
      </c>
      <c r="D167" s="96" t="s">
        <v>192</v>
      </c>
      <c r="E167" s="43">
        <v>45911</v>
      </c>
      <c r="F167" s="43">
        <v>45964</v>
      </c>
      <c r="G167" s="96" t="s">
        <v>92</v>
      </c>
      <c r="H167" s="96" t="s">
        <v>396</v>
      </c>
      <c r="I167" s="96" t="s">
        <v>9</v>
      </c>
      <c r="J167" s="96" t="s">
        <v>94</v>
      </c>
      <c r="K167" s="96" t="s">
        <v>230</v>
      </c>
      <c r="L167">
        <v>53</v>
      </c>
      <c r="M167" t="s">
        <v>24</v>
      </c>
      <c r="N167" t="s">
        <v>12</v>
      </c>
      <c r="O167" t="s">
        <v>151</v>
      </c>
      <c r="P167">
        <v>2025</v>
      </c>
    </row>
    <row r="168" spans="1:16" x14ac:dyDescent="0.25">
      <c r="A168" s="96" t="s">
        <v>171</v>
      </c>
      <c r="B168" s="96" t="s">
        <v>226</v>
      </c>
      <c r="C168" s="96" t="s">
        <v>401</v>
      </c>
      <c r="D168" s="96" t="s">
        <v>40</v>
      </c>
      <c r="E168" s="43">
        <v>46116</v>
      </c>
      <c r="F168" s="43">
        <v>46151</v>
      </c>
      <c r="G168" s="96" t="s">
        <v>92</v>
      </c>
      <c r="H168" s="96" t="s">
        <v>3495</v>
      </c>
      <c r="I168" s="96" t="s">
        <v>157</v>
      </c>
      <c r="J168" s="96" t="s">
        <v>177</v>
      </c>
      <c r="K168" s="96" t="s">
        <v>246</v>
      </c>
      <c r="L168">
        <v>35</v>
      </c>
      <c r="M168" t="s">
        <v>24</v>
      </c>
      <c r="N168" t="s">
        <v>37</v>
      </c>
      <c r="O168" t="s">
        <v>151</v>
      </c>
      <c r="P168">
        <v>2026</v>
      </c>
    </row>
    <row r="169" spans="1:16" hidden="1" x14ac:dyDescent="0.25">
      <c r="A169" s="96" t="s">
        <v>2</v>
      </c>
      <c r="B169" s="96" t="s">
        <v>322</v>
      </c>
      <c r="C169" s="96" t="s">
        <v>402</v>
      </c>
      <c r="D169" s="96" t="s">
        <v>223</v>
      </c>
      <c r="E169" s="43">
        <v>45763</v>
      </c>
      <c r="F169" s="43">
        <v>45868</v>
      </c>
      <c r="G169" s="96" t="s">
        <v>92</v>
      </c>
      <c r="H169" s="96" t="s">
        <v>3496</v>
      </c>
      <c r="I169" s="96" t="s">
        <v>209</v>
      </c>
      <c r="J169" s="96" t="s">
        <v>96</v>
      </c>
      <c r="K169" s="96" t="s">
        <v>230</v>
      </c>
      <c r="L169">
        <v>105</v>
      </c>
      <c r="M169" t="s">
        <v>28</v>
      </c>
      <c r="N169" t="s">
        <v>185</v>
      </c>
      <c r="O169" t="s">
        <v>150</v>
      </c>
      <c r="P169">
        <v>2025</v>
      </c>
    </row>
    <row r="170" spans="1:16" hidden="1" x14ac:dyDescent="0.25">
      <c r="A170" s="96" t="s">
        <v>171</v>
      </c>
      <c r="B170" s="96" t="s">
        <v>211</v>
      </c>
      <c r="C170" s="96" t="s">
        <v>3497</v>
      </c>
      <c r="D170" s="96" t="s">
        <v>34</v>
      </c>
      <c r="E170" s="43">
        <v>45921</v>
      </c>
      <c r="F170" s="43">
        <v>46037</v>
      </c>
      <c r="G170" s="96" t="s">
        <v>90</v>
      </c>
      <c r="H170" s="96" t="s">
        <v>3498</v>
      </c>
      <c r="I170" s="96" t="s">
        <v>209</v>
      </c>
      <c r="J170" s="96" t="s">
        <v>173</v>
      </c>
      <c r="K170" s="96" t="s">
        <v>205</v>
      </c>
      <c r="L170">
        <v>116</v>
      </c>
      <c r="M170" t="s">
        <v>28</v>
      </c>
      <c r="N170" t="s">
        <v>12</v>
      </c>
      <c r="O170" t="s">
        <v>170</v>
      </c>
      <c r="P170">
        <v>2025</v>
      </c>
    </row>
    <row r="171" spans="1:16" hidden="1" x14ac:dyDescent="0.25">
      <c r="A171" s="96" t="s">
        <v>171</v>
      </c>
      <c r="B171" s="96" t="s">
        <v>264</v>
      </c>
      <c r="C171" s="96" t="s">
        <v>3499</v>
      </c>
      <c r="D171" s="96" t="s">
        <v>208</v>
      </c>
      <c r="E171" s="43">
        <v>45800</v>
      </c>
      <c r="F171" s="43">
        <v>45889</v>
      </c>
      <c r="G171" s="96" t="s">
        <v>92</v>
      </c>
      <c r="H171" s="96" t="s">
        <v>3500</v>
      </c>
      <c r="I171" s="96" t="s">
        <v>209</v>
      </c>
      <c r="J171" s="96" t="s">
        <v>97</v>
      </c>
      <c r="K171" s="96" t="s">
        <v>233</v>
      </c>
      <c r="L171">
        <v>89</v>
      </c>
      <c r="M171" t="s">
        <v>28</v>
      </c>
      <c r="N171" t="s">
        <v>182</v>
      </c>
      <c r="O171" t="s">
        <v>152</v>
      </c>
      <c r="P171">
        <v>2025</v>
      </c>
    </row>
    <row r="172" spans="1:16" x14ac:dyDescent="0.25">
      <c r="A172" s="96" t="s">
        <v>2</v>
      </c>
      <c r="B172" s="96" t="s">
        <v>302</v>
      </c>
      <c r="C172" s="96" t="s">
        <v>3501</v>
      </c>
      <c r="D172" s="96" t="s">
        <v>192</v>
      </c>
      <c r="E172" s="43">
        <v>46124</v>
      </c>
      <c r="F172" s="43">
        <v>46148</v>
      </c>
      <c r="G172" s="96" t="s">
        <v>90</v>
      </c>
      <c r="H172" s="96" t="s">
        <v>3502</v>
      </c>
      <c r="I172" s="96" t="s">
        <v>157</v>
      </c>
      <c r="J172" s="96" t="s">
        <v>216</v>
      </c>
      <c r="K172" s="96" t="s">
        <v>200</v>
      </c>
      <c r="L172">
        <v>24</v>
      </c>
      <c r="M172" t="s">
        <v>19</v>
      </c>
      <c r="N172" t="s">
        <v>37</v>
      </c>
      <c r="O172" t="s">
        <v>150</v>
      </c>
      <c r="P172">
        <v>2026</v>
      </c>
    </row>
    <row r="173" spans="1:16" x14ac:dyDescent="0.25">
      <c r="A173" s="96" t="s">
        <v>2</v>
      </c>
      <c r="B173" s="96" t="s">
        <v>201</v>
      </c>
      <c r="C173" s="96" t="s">
        <v>403</v>
      </c>
      <c r="D173" s="96" t="s">
        <v>208</v>
      </c>
      <c r="E173" s="43">
        <v>46035</v>
      </c>
      <c r="F173" s="43">
        <v>46041</v>
      </c>
      <c r="G173" s="96" t="s">
        <v>95</v>
      </c>
      <c r="H173" s="96" t="s">
        <v>3503</v>
      </c>
      <c r="I173" s="96" t="s">
        <v>9</v>
      </c>
      <c r="J173" s="96" t="s">
        <v>283</v>
      </c>
      <c r="K173" s="96" t="s">
        <v>205</v>
      </c>
      <c r="L173">
        <v>6</v>
      </c>
      <c r="M173" t="s">
        <v>11</v>
      </c>
      <c r="N173" t="s">
        <v>29</v>
      </c>
      <c r="O173" t="s">
        <v>170</v>
      </c>
      <c r="P173">
        <v>2026</v>
      </c>
    </row>
    <row r="174" spans="1:16" x14ac:dyDescent="0.25">
      <c r="A174" s="96" t="s">
        <v>21</v>
      </c>
      <c r="B174" s="96" t="s">
        <v>218</v>
      </c>
      <c r="C174" s="96" t="s">
        <v>404</v>
      </c>
      <c r="D174" s="96" t="s">
        <v>40</v>
      </c>
      <c r="E174" s="43">
        <v>46056</v>
      </c>
      <c r="F174" s="43">
        <v>46146</v>
      </c>
      <c r="G174" s="96" t="s">
        <v>90</v>
      </c>
      <c r="H174" s="96" t="s">
        <v>3504</v>
      </c>
      <c r="I174" s="96" t="s">
        <v>9</v>
      </c>
      <c r="J174" s="96" t="s">
        <v>97</v>
      </c>
      <c r="K174" s="96" t="s">
        <v>210</v>
      </c>
      <c r="L174">
        <v>90</v>
      </c>
      <c r="M174" t="s">
        <v>28</v>
      </c>
      <c r="N174" t="s">
        <v>32</v>
      </c>
      <c r="O174" t="s">
        <v>152</v>
      </c>
      <c r="P174">
        <v>2026</v>
      </c>
    </row>
    <row r="175" spans="1:16" hidden="1" x14ac:dyDescent="0.25">
      <c r="A175" s="96" t="s">
        <v>175</v>
      </c>
      <c r="B175" s="96" t="s">
        <v>213</v>
      </c>
      <c r="C175" s="96" t="s">
        <v>405</v>
      </c>
      <c r="D175" s="96" t="s">
        <v>208</v>
      </c>
      <c r="E175" s="43">
        <v>45885</v>
      </c>
      <c r="F175" s="43">
        <v>45887</v>
      </c>
      <c r="G175" s="96" t="s">
        <v>95</v>
      </c>
      <c r="H175" s="96" t="s">
        <v>3505</v>
      </c>
      <c r="I175" s="96" t="s">
        <v>9</v>
      </c>
      <c r="J175" s="96" t="s">
        <v>94</v>
      </c>
      <c r="K175" s="96" t="s">
        <v>217</v>
      </c>
      <c r="L175">
        <v>2</v>
      </c>
      <c r="M175" t="s">
        <v>11</v>
      </c>
      <c r="N175" t="s">
        <v>8</v>
      </c>
      <c r="O175" t="s">
        <v>149</v>
      </c>
      <c r="P175">
        <v>2025</v>
      </c>
    </row>
    <row r="176" spans="1:16" hidden="1" x14ac:dyDescent="0.25">
      <c r="A176" s="96" t="s">
        <v>2</v>
      </c>
      <c r="B176" s="96" t="s">
        <v>247</v>
      </c>
      <c r="C176" s="96" t="s">
        <v>3506</v>
      </c>
      <c r="D176" s="96" t="s">
        <v>14</v>
      </c>
      <c r="E176" s="43">
        <v>45767</v>
      </c>
      <c r="F176" s="43">
        <v>45848</v>
      </c>
      <c r="G176" s="96" t="s">
        <v>92</v>
      </c>
      <c r="H176" s="96" t="s">
        <v>3507</v>
      </c>
      <c r="I176" s="96" t="s">
        <v>225</v>
      </c>
      <c r="J176" s="96" t="s">
        <v>199</v>
      </c>
      <c r="K176" s="96" t="s">
        <v>217</v>
      </c>
      <c r="L176">
        <v>81</v>
      </c>
      <c r="M176" t="s">
        <v>28</v>
      </c>
      <c r="N176" t="s">
        <v>185</v>
      </c>
      <c r="O176" t="s">
        <v>150</v>
      </c>
      <c r="P176">
        <v>2025</v>
      </c>
    </row>
    <row r="177" spans="1:16" hidden="1" x14ac:dyDescent="0.25">
      <c r="A177" s="96" t="s">
        <v>2</v>
      </c>
      <c r="B177" s="96" t="s">
        <v>190</v>
      </c>
      <c r="C177" s="96" t="s">
        <v>406</v>
      </c>
      <c r="D177" s="96" t="s">
        <v>10</v>
      </c>
      <c r="E177" s="43">
        <v>45877</v>
      </c>
      <c r="F177" s="43">
        <v>45918</v>
      </c>
      <c r="G177" s="96" t="s">
        <v>92</v>
      </c>
      <c r="H177" s="96" t="s">
        <v>3508</v>
      </c>
      <c r="I177" s="96" t="s">
        <v>157</v>
      </c>
      <c r="J177" s="96" t="s">
        <v>96</v>
      </c>
      <c r="K177" s="96" t="s">
        <v>205</v>
      </c>
      <c r="L177">
        <v>41</v>
      </c>
      <c r="M177" t="s">
        <v>24</v>
      </c>
      <c r="N177" t="s">
        <v>8</v>
      </c>
      <c r="O177" t="s">
        <v>150</v>
      </c>
      <c r="P177">
        <v>2025</v>
      </c>
    </row>
    <row r="178" spans="1:16" hidden="1" x14ac:dyDescent="0.25">
      <c r="A178" s="96" t="s">
        <v>2</v>
      </c>
      <c r="B178" s="96" t="s">
        <v>272</v>
      </c>
      <c r="C178" s="96" t="s">
        <v>407</v>
      </c>
      <c r="D178" s="96" t="s">
        <v>237</v>
      </c>
      <c r="E178" s="43">
        <v>45918</v>
      </c>
      <c r="F178" s="43">
        <v>45943</v>
      </c>
      <c r="G178" s="96" t="s">
        <v>90</v>
      </c>
      <c r="H178" s="96" t="s">
        <v>3509</v>
      </c>
      <c r="I178" s="96" t="s">
        <v>9</v>
      </c>
      <c r="J178" s="96" t="s">
        <v>94</v>
      </c>
      <c r="K178" s="96" t="s">
        <v>246</v>
      </c>
      <c r="L178">
        <v>25</v>
      </c>
      <c r="M178" t="s">
        <v>19</v>
      </c>
      <c r="N178" t="s">
        <v>12</v>
      </c>
      <c r="O178" t="s">
        <v>151</v>
      </c>
      <c r="P178">
        <v>2025</v>
      </c>
    </row>
    <row r="179" spans="1:16" hidden="1" x14ac:dyDescent="0.25">
      <c r="A179" s="96" t="s">
        <v>189</v>
      </c>
      <c r="B179" s="96" t="s">
        <v>213</v>
      </c>
      <c r="C179" s="96" t="s">
        <v>408</v>
      </c>
      <c r="D179" s="96" t="s">
        <v>223</v>
      </c>
      <c r="E179" s="43">
        <v>45694</v>
      </c>
      <c r="F179" s="43">
        <v>45762</v>
      </c>
      <c r="G179" s="96" t="s">
        <v>92</v>
      </c>
      <c r="H179" s="96" t="s">
        <v>3510</v>
      </c>
      <c r="I179" s="96" t="s">
        <v>228</v>
      </c>
      <c r="J179" s="96" t="s">
        <v>229</v>
      </c>
      <c r="K179" s="96" t="s">
        <v>246</v>
      </c>
      <c r="L179">
        <v>68</v>
      </c>
      <c r="M179" t="s">
        <v>28</v>
      </c>
      <c r="N179" t="s">
        <v>188</v>
      </c>
      <c r="O179" t="s">
        <v>149</v>
      </c>
      <c r="P179">
        <v>2025</v>
      </c>
    </row>
    <row r="180" spans="1:16" x14ac:dyDescent="0.25">
      <c r="A180" s="96" t="s">
        <v>2</v>
      </c>
      <c r="B180" s="96" t="s">
        <v>317</v>
      </c>
      <c r="C180" s="96" t="s">
        <v>3511</v>
      </c>
      <c r="D180" s="96" t="s">
        <v>203</v>
      </c>
      <c r="E180" s="43">
        <v>46041</v>
      </c>
      <c r="F180" s="43">
        <v>46044</v>
      </c>
      <c r="G180" s="96" t="s">
        <v>92</v>
      </c>
      <c r="H180" s="96" t="s">
        <v>3512</v>
      </c>
      <c r="I180" s="96" t="s">
        <v>204</v>
      </c>
      <c r="J180" s="96" t="s">
        <v>169</v>
      </c>
      <c r="K180" s="96" t="s">
        <v>217</v>
      </c>
      <c r="L180">
        <v>3</v>
      </c>
      <c r="M180" t="s">
        <v>11</v>
      </c>
      <c r="N180" t="s">
        <v>29</v>
      </c>
      <c r="O180" t="s">
        <v>170</v>
      </c>
      <c r="P180">
        <v>2026</v>
      </c>
    </row>
    <row r="181" spans="1:16" hidden="1" x14ac:dyDescent="0.25">
      <c r="A181" s="96" t="s">
        <v>2</v>
      </c>
      <c r="B181" s="96" t="s">
        <v>231</v>
      </c>
      <c r="C181" s="96" t="s">
        <v>3513</v>
      </c>
      <c r="D181" s="96" t="s">
        <v>34</v>
      </c>
      <c r="E181" s="43">
        <v>45863</v>
      </c>
      <c r="F181" s="43">
        <v>45874</v>
      </c>
      <c r="G181" s="96" t="s">
        <v>92</v>
      </c>
      <c r="H181" s="96" t="s">
        <v>3514</v>
      </c>
      <c r="I181" s="96" t="s">
        <v>228</v>
      </c>
      <c r="J181" s="96" t="s">
        <v>174</v>
      </c>
      <c r="K181" s="96" t="s">
        <v>217</v>
      </c>
      <c r="L181">
        <v>11</v>
      </c>
      <c r="M181" t="s">
        <v>15</v>
      </c>
      <c r="N181" t="s">
        <v>187</v>
      </c>
      <c r="O181" t="s">
        <v>170</v>
      </c>
      <c r="P181">
        <v>2025</v>
      </c>
    </row>
    <row r="182" spans="1:16" hidden="1" x14ac:dyDescent="0.25">
      <c r="A182" s="96" t="s">
        <v>2</v>
      </c>
      <c r="B182" s="96" t="s">
        <v>213</v>
      </c>
      <c r="C182" s="96" t="s">
        <v>409</v>
      </c>
      <c r="D182" s="96" t="s">
        <v>215</v>
      </c>
      <c r="E182" s="43">
        <v>45990</v>
      </c>
      <c r="F182" s="43">
        <v>46078</v>
      </c>
      <c r="G182" s="96" t="s">
        <v>90</v>
      </c>
      <c r="H182" s="96" t="s">
        <v>3515</v>
      </c>
      <c r="I182" s="96" t="s">
        <v>9</v>
      </c>
      <c r="J182" s="96" t="s">
        <v>283</v>
      </c>
      <c r="K182" s="96" t="s">
        <v>233</v>
      </c>
      <c r="L182">
        <v>88</v>
      </c>
      <c r="M182" t="s">
        <v>28</v>
      </c>
      <c r="N182" t="s">
        <v>20</v>
      </c>
      <c r="O182" t="s">
        <v>149</v>
      </c>
      <c r="P182">
        <v>2025</v>
      </c>
    </row>
    <row r="183" spans="1:16" hidden="1" x14ac:dyDescent="0.25">
      <c r="A183" s="96" t="s">
        <v>2</v>
      </c>
      <c r="B183" s="96" t="s">
        <v>253</v>
      </c>
      <c r="C183" s="96" t="s">
        <v>3516</v>
      </c>
      <c r="D183" s="96" t="s">
        <v>34</v>
      </c>
      <c r="E183" s="43">
        <v>45969</v>
      </c>
      <c r="F183" s="43">
        <v>45977</v>
      </c>
      <c r="G183" s="96" t="s">
        <v>90</v>
      </c>
      <c r="H183" s="96" t="s">
        <v>3517</v>
      </c>
      <c r="I183" s="96" t="s">
        <v>209</v>
      </c>
      <c r="J183" s="96" t="s">
        <v>172</v>
      </c>
      <c r="K183" s="96" t="s">
        <v>210</v>
      </c>
      <c r="L183">
        <v>8</v>
      </c>
      <c r="M183" t="s">
        <v>15</v>
      </c>
      <c r="N183" t="s">
        <v>20</v>
      </c>
      <c r="O183" t="s">
        <v>152</v>
      </c>
      <c r="P183">
        <v>2025</v>
      </c>
    </row>
    <row r="184" spans="1:16" hidden="1" x14ac:dyDescent="0.25">
      <c r="A184" s="96" t="s">
        <v>2</v>
      </c>
      <c r="B184" s="96" t="s">
        <v>238</v>
      </c>
      <c r="C184" s="96" t="s">
        <v>411</v>
      </c>
      <c r="D184" s="96" t="s">
        <v>10</v>
      </c>
      <c r="E184" s="43">
        <v>45835</v>
      </c>
      <c r="F184" s="43">
        <v>45902</v>
      </c>
      <c r="G184" s="96" t="s">
        <v>92</v>
      </c>
      <c r="H184" s="96" t="s">
        <v>3518</v>
      </c>
      <c r="I184" s="96" t="s">
        <v>204</v>
      </c>
      <c r="J184" s="96" t="s">
        <v>283</v>
      </c>
      <c r="K184" s="96" t="s">
        <v>230</v>
      </c>
      <c r="L184">
        <v>67</v>
      </c>
      <c r="M184" t="s">
        <v>28</v>
      </c>
      <c r="N184" t="s">
        <v>184</v>
      </c>
      <c r="O184" t="s">
        <v>170</v>
      </c>
      <c r="P184">
        <v>2025</v>
      </c>
    </row>
    <row r="185" spans="1:16" hidden="1" x14ac:dyDescent="0.25">
      <c r="A185" s="96" t="s">
        <v>2</v>
      </c>
      <c r="B185" s="96" t="s">
        <v>221</v>
      </c>
      <c r="C185" s="96" t="s">
        <v>3519</v>
      </c>
      <c r="D185" s="96" t="s">
        <v>192</v>
      </c>
      <c r="E185" s="43">
        <v>45792</v>
      </c>
      <c r="F185" s="43">
        <v>45884</v>
      </c>
      <c r="G185" s="96" t="s">
        <v>92</v>
      </c>
      <c r="H185" s="96" t="s">
        <v>3520</v>
      </c>
      <c r="I185" s="96" t="s">
        <v>225</v>
      </c>
      <c r="J185" s="96" t="s">
        <v>97</v>
      </c>
      <c r="K185" s="96" t="s">
        <v>210</v>
      </c>
      <c r="L185">
        <v>92</v>
      </c>
      <c r="M185" t="s">
        <v>28</v>
      </c>
      <c r="N185" t="s">
        <v>182</v>
      </c>
      <c r="O185" t="s">
        <v>170</v>
      </c>
      <c r="P185">
        <v>2025</v>
      </c>
    </row>
    <row r="186" spans="1:16" hidden="1" x14ac:dyDescent="0.25">
      <c r="A186" s="96" t="s">
        <v>2</v>
      </c>
      <c r="B186" s="96" t="s">
        <v>251</v>
      </c>
      <c r="C186" s="96" t="s">
        <v>412</v>
      </c>
      <c r="D186" s="96" t="s">
        <v>40</v>
      </c>
      <c r="E186" s="43">
        <v>45734</v>
      </c>
      <c r="F186" s="43">
        <v>45757</v>
      </c>
      <c r="G186" s="96" t="s">
        <v>92</v>
      </c>
      <c r="H186" s="96" t="s">
        <v>3521</v>
      </c>
      <c r="I186" s="96" t="s">
        <v>157</v>
      </c>
      <c r="J186" s="96" t="s">
        <v>165</v>
      </c>
      <c r="K186" s="96" t="s">
        <v>200</v>
      </c>
      <c r="L186">
        <v>23</v>
      </c>
      <c r="M186" t="s">
        <v>19</v>
      </c>
      <c r="N186" t="s">
        <v>186</v>
      </c>
      <c r="O186" t="s">
        <v>170</v>
      </c>
      <c r="P186">
        <v>2025</v>
      </c>
    </row>
    <row r="187" spans="1:16" hidden="1" x14ac:dyDescent="0.25">
      <c r="A187" s="96" t="s">
        <v>2</v>
      </c>
      <c r="B187" s="96" t="s">
        <v>213</v>
      </c>
      <c r="C187" s="96" t="s">
        <v>3522</v>
      </c>
      <c r="D187" s="96" t="s">
        <v>208</v>
      </c>
      <c r="E187" s="43">
        <v>45941</v>
      </c>
      <c r="F187" s="43">
        <v>46000</v>
      </c>
      <c r="G187" s="96" t="s">
        <v>92</v>
      </c>
      <c r="H187" s="96" t="s">
        <v>3523</v>
      </c>
      <c r="I187" s="96" t="s">
        <v>204</v>
      </c>
      <c r="J187" s="96" t="s">
        <v>216</v>
      </c>
      <c r="K187" s="96" t="s">
        <v>205</v>
      </c>
      <c r="L187">
        <v>59</v>
      </c>
      <c r="M187" t="s">
        <v>24</v>
      </c>
      <c r="N187" t="s">
        <v>16</v>
      </c>
      <c r="O187" t="s">
        <v>149</v>
      </c>
      <c r="P187">
        <v>2025</v>
      </c>
    </row>
    <row r="188" spans="1:16" hidden="1" x14ac:dyDescent="0.25">
      <c r="A188" s="96" t="s">
        <v>2</v>
      </c>
      <c r="B188" s="96" t="s">
        <v>190</v>
      </c>
      <c r="C188" s="96" t="s">
        <v>414</v>
      </c>
      <c r="D188" s="96" t="s">
        <v>10</v>
      </c>
      <c r="E188" s="43">
        <v>45937</v>
      </c>
      <c r="F188" s="43">
        <v>46035</v>
      </c>
      <c r="G188" s="96" t="s">
        <v>92</v>
      </c>
      <c r="H188" s="96" t="s">
        <v>3524</v>
      </c>
      <c r="I188" s="96" t="s">
        <v>204</v>
      </c>
      <c r="J188" s="96" t="s">
        <v>172</v>
      </c>
      <c r="K188" s="96" t="s">
        <v>217</v>
      </c>
      <c r="L188">
        <v>98</v>
      </c>
      <c r="M188" t="s">
        <v>28</v>
      </c>
      <c r="N188" t="s">
        <v>16</v>
      </c>
      <c r="O188" t="s">
        <v>150</v>
      </c>
      <c r="P188">
        <v>2025</v>
      </c>
    </row>
    <row r="189" spans="1:16" x14ac:dyDescent="0.25">
      <c r="A189" s="96" t="s">
        <v>2</v>
      </c>
      <c r="B189" s="96" t="s">
        <v>234</v>
      </c>
      <c r="C189" s="96" t="s">
        <v>416</v>
      </c>
      <c r="D189" s="96" t="s">
        <v>14</v>
      </c>
      <c r="E189" s="43">
        <v>46101</v>
      </c>
      <c r="F189" s="43">
        <v>46115</v>
      </c>
      <c r="G189" s="96" t="s">
        <v>95</v>
      </c>
      <c r="H189" s="96" t="s">
        <v>3525</v>
      </c>
      <c r="I189" s="96" t="s">
        <v>9</v>
      </c>
      <c r="J189" s="96" t="s">
        <v>94</v>
      </c>
      <c r="K189" s="96" t="s">
        <v>157</v>
      </c>
      <c r="L189">
        <v>14</v>
      </c>
      <c r="M189" t="s">
        <v>15</v>
      </c>
      <c r="N189" t="s">
        <v>35</v>
      </c>
      <c r="O189" t="s">
        <v>150</v>
      </c>
      <c r="P189">
        <v>2026</v>
      </c>
    </row>
    <row r="190" spans="1:16" hidden="1" x14ac:dyDescent="0.25">
      <c r="A190" s="96" t="s">
        <v>2</v>
      </c>
      <c r="B190" s="96" t="s">
        <v>240</v>
      </c>
      <c r="C190" s="96" t="s">
        <v>3526</v>
      </c>
      <c r="D190" s="96" t="s">
        <v>192</v>
      </c>
      <c r="E190" s="43">
        <v>45848</v>
      </c>
      <c r="F190" s="43">
        <v>45907</v>
      </c>
      <c r="G190" s="96" t="s">
        <v>90</v>
      </c>
      <c r="H190" s="96" t="s">
        <v>3527</v>
      </c>
      <c r="I190" s="96" t="s">
        <v>228</v>
      </c>
      <c r="J190" s="96" t="s">
        <v>177</v>
      </c>
      <c r="K190" s="96" t="s">
        <v>217</v>
      </c>
      <c r="L190">
        <v>59</v>
      </c>
      <c r="M190" t="s">
        <v>24</v>
      </c>
      <c r="N190" t="s">
        <v>187</v>
      </c>
      <c r="O190" t="s">
        <v>149</v>
      </c>
      <c r="P190">
        <v>2025</v>
      </c>
    </row>
    <row r="191" spans="1:16" hidden="1" x14ac:dyDescent="0.25">
      <c r="A191" s="96" t="s">
        <v>175</v>
      </c>
      <c r="B191" s="96" t="s">
        <v>264</v>
      </c>
      <c r="C191" s="96" t="s">
        <v>418</v>
      </c>
      <c r="D191" s="96" t="s">
        <v>223</v>
      </c>
      <c r="E191" s="43">
        <v>45724</v>
      </c>
      <c r="F191" s="43">
        <v>45755</v>
      </c>
      <c r="G191" s="96" t="s">
        <v>95</v>
      </c>
      <c r="H191" s="96" t="s">
        <v>410</v>
      </c>
      <c r="I191" s="96" t="s">
        <v>194</v>
      </c>
      <c r="J191" s="96" t="s">
        <v>168</v>
      </c>
      <c r="K191" s="96" t="s">
        <v>205</v>
      </c>
      <c r="L191">
        <v>31</v>
      </c>
      <c r="M191" t="s">
        <v>24</v>
      </c>
      <c r="N191" t="s">
        <v>186</v>
      </c>
      <c r="O191" t="s">
        <v>152</v>
      </c>
      <c r="P191">
        <v>2025</v>
      </c>
    </row>
    <row r="192" spans="1:16" x14ac:dyDescent="0.25">
      <c r="A192" s="96" t="s">
        <v>2</v>
      </c>
      <c r="B192" s="96" t="s">
        <v>196</v>
      </c>
      <c r="C192" s="96" t="s">
        <v>3528</v>
      </c>
      <c r="D192" s="96" t="s">
        <v>192</v>
      </c>
      <c r="E192" s="43">
        <v>46076</v>
      </c>
      <c r="F192" s="43">
        <v>46134</v>
      </c>
      <c r="G192" s="96" t="s">
        <v>92</v>
      </c>
      <c r="H192" s="96" t="s">
        <v>3529</v>
      </c>
      <c r="I192" s="96" t="s">
        <v>9</v>
      </c>
      <c r="J192" s="96" t="s">
        <v>91</v>
      </c>
      <c r="K192" s="96" t="s">
        <v>200</v>
      </c>
      <c r="L192">
        <v>58</v>
      </c>
      <c r="M192" t="s">
        <v>24</v>
      </c>
      <c r="N192" t="s">
        <v>32</v>
      </c>
      <c r="O192" t="s">
        <v>152</v>
      </c>
      <c r="P192">
        <v>2026</v>
      </c>
    </row>
    <row r="193" spans="1:16" hidden="1" x14ac:dyDescent="0.25">
      <c r="A193" s="96" t="s">
        <v>175</v>
      </c>
      <c r="B193" s="96" t="s">
        <v>257</v>
      </c>
      <c r="C193" s="96" t="s">
        <v>3530</v>
      </c>
      <c r="D193" s="96" t="s">
        <v>215</v>
      </c>
      <c r="E193" s="43">
        <v>45785</v>
      </c>
      <c r="F193" s="43">
        <v>45798</v>
      </c>
      <c r="G193" s="96" t="s">
        <v>92</v>
      </c>
      <c r="H193" s="96" t="s">
        <v>3531</v>
      </c>
      <c r="I193" s="96" t="s">
        <v>225</v>
      </c>
      <c r="J193" s="96" t="s">
        <v>91</v>
      </c>
      <c r="K193" s="96" t="s">
        <v>217</v>
      </c>
      <c r="L193">
        <v>13</v>
      </c>
      <c r="M193" t="s">
        <v>15</v>
      </c>
      <c r="N193" t="s">
        <v>182</v>
      </c>
      <c r="O193" t="s">
        <v>151</v>
      </c>
      <c r="P193">
        <v>2025</v>
      </c>
    </row>
    <row r="194" spans="1:16" hidden="1" x14ac:dyDescent="0.25">
      <c r="A194" s="96" t="s">
        <v>21</v>
      </c>
      <c r="B194" s="96" t="s">
        <v>213</v>
      </c>
      <c r="C194" s="96" t="s">
        <v>3532</v>
      </c>
      <c r="D194" s="96" t="s">
        <v>208</v>
      </c>
      <c r="E194" s="43">
        <v>45980</v>
      </c>
      <c r="F194" s="43">
        <v>46063</v>
      </c>
      <c r="G194" s="96" t="s">
        <v>92</v>
      </c>
      <c r="H194" s="96" t="s">
        <v>413</v>
      </c>
      <c r="I194" s="96" t="s">
        <v>157</v>
      </c>
      <c r="J194" s="96" t="s">
        <v>173</v>
      </c>
      <c r="K194" s="96" t="s">
        <v>233</v>
      </c>
      <c r="L194">
        <v>83</v>
      </c>
      <c r="M194" t="s">
        <v>28</v>
      </c>
      <c r="N194" t="s">
        <v>20</v>
      </c>
      <c r="O194" t="s">
        <v>149</v>
      </c>
      <c r="P194">
        <v>2025</v>
      </c>
    </row>
    <row r="195" spans="1:16" x14ac:dyDescent="0.25">
      <c r="A195" s="96" t="s">
        <v>2</v>
      </c>
      <c r="B195" s="96" t="s">
        <v>201</v>
      </c>
      <c r="C195" s="96" t="s">
        <v>421</v>
      </c>
      <c r="D195" s="96" t="s">
        <v>208</v>
      </c>
      <c r="E195" s="43">
        <v>46107</v>
      </c>
      <c r="F195" s="43">
        <v>46123</v>
      </c>
      <c r="G195" s="96" t="s">
        <v>95</v>
      </c>
      <c r="H195" s="96" t="s">
        <v>3533</v>
      </c>
      <c r="I195" s="96" t="s">
        <v>9</v>
      </c>
      <c r="J195" s="96" t="s">
        <v>176</v>
      </c>
      <c r="K195" s="96" t="s">
        <v>217</v>
      </c>
      <c r="L195">
        <v>16</v>
      </c>
      <c r="M195" t="s">
        <v>19</v>
      </c>
      <c r="N195" t="s">
        <v>35</v>
      </c>
      <c r="O195" t="s">
        <v>170</v>
      </c>
      <c r="P195">
        <v>2026</v>
      </c>
    </row>
    <row r="196" spans="1:16" hidden="1" x14ac:dyDescent="0.25">
      <c r="A196" s="96" t="s">
        <v>2</v>
      </c>
      <c r="B196" s="96" t="s">
        <v>257</v>
      </c>
      <c r="C196" s="96" t="s">
        <v>422</v>
      </c>
      <c r="D196" s="96" t="s">
        <v>203</v>
      </c>
      <c r="E196" s="43">
        <v>45702</v>
      </c>
      <c r="F196" s="43">
        <v>45738</v>
      </c>
      <c r="G196" s="96" t="s">
        <v>90</v>
      </c>
      <c r="H196" s="96" t="s">
        <v>415</v>
      </c>
      <c r="I196" s="96" t="s">
        <v>157</v>
      </c>
      <c r="J196" s="96" t="s">
        <v>172</v>
      </c>
      <c r="K196" s="96" t="s">
        <v>217</v>
      </c>
      <c r="L196">
        <v>36</v>
      </c>
      <c r="M196" t="s">
        <v>24</v>
      </c>
      <c r="N196" t="s">
        <v>188</v>
      </c>
      <c r="O196" t="s">
        <v>151</v>
      </c>
      <c r="P196">
        <v>2025</v>
      </c>
    </row>
    <row r="197" spans="1:16" x14ac:dyDescent="0.25">
      <c r="A197" s="96" t="s">
        <v>21</v>
      </c>
      <c r="B197" s="96" t="s">
        <v>261</v>
      </c>
      <c r="C197" s="96" t="s">
        <v>3534</v>
      </c>
      <c r="D197" s="96" t="s">
        <v>34</v>
      </c>
      <c r="E197" s="43">
        <v>46114</v>
      </c>
      <c r="F197" s="43">
        <v>46147</v>
      </c>
      <c r="G197" s="96" t="s">
        <v>92</v>
      </c>
      <c r="H197" s="96" t="s">
        <v>417</v>
      </c>
      <c r="I197" s="96" t="s">
        <v>9</v>
      </c>
      <c r="J197" s="96" t="s">
        <v>174</v>
      </c>
      <c r="K197" s="96" t="s">
        <v>205</v>
      </c>
      <c r="L197">
        <v>33</v>
      </c>
      <c r="M197" t="s">
        <v>24</v>
      </c>
      <c r="N197" t="s">
        <v>37</v>
      </c>
      <c r="O197" t="s">
        <v>151</v>
      </c>
      <c r="P197">
        <v>2026</v>
      </c>
    </row>
    <row r="198" spans="1:16" hidden="1" x14ac:dyDescent="0.25">
      <c r="A198" s="96" t="s">
        <v>2</v>
      </c>
      <c r="B198" s="96" t="s">
        <v>247</v>
      </c>
      <c r="C198" s="96" t="s">
        <v>3535</v>
      </c>
      <c r="D198" s="96" t="s">
        <v>215</v>
      </c>
      <c r="E198" s="43">
        <v>45686</v>
      </c>
      <c r="F198" s="43">
        <v>45784</v>
      </c>
      <c r="G198" s="96" t="s">
        <v>90</v>
      </c>
      <c r="H198" s="96" t="s">
        <v>419</v>
      </c>
      <c r="I198" s="96" t="s">
        <v>228</v>
      </c>
      <c r="J198" s="96" t="s">
        <v>174</v>
      </c>
      <c r="K198" s="96" t="s">
        <v>200</v>
      </c>
      <c r="L198">
        <v>98</v>
      </c>
      <c r="M198" t="s">
        <v>28</v>
      </c>
      <c r="N198" t="s">
        <v>181</v>
      </c>
      <c r="O198" t="s">
        <v>150</v>
      </c>
      <c r="P198">
        <v>2025</v>
      </c>
    </row>
    <row r="199" spans="1:16" x14ac:dyDescent="0.25">
      <c r="A199" s="96" t="s">
        <v>2</v>
      </c>
      <c r="B199" s="96" t="s">
        <v>269</v>
      </c>
      <c r="C199" s="96" t="s">
        <v>3536</v>
      </c>
      <c r="D199" s="96" t="s">
        <v>203</v>
      </c>
      <c r="E199" s="43">
        <v>46030</v>
      </c>
      <c r="F199" s="43">
        <v>46121</v>
      </c>
      <c r="G199" s="96" t="s">
        <v>92</v>
      </c>
      <c r="H199" s="96" t="s">
        <v>420</v>
      </c>
      <c r="I199" s="96" t="s">
        <v>204</v>
      </c>
      <c r="J199" s="96" t="s">
        <v>229</v>
      </c>
      <c r="K199" s="96" t="s">
        <v>246</v>
      </c>
      <c r="L199">
        <v>91</v>
      </c>
      <c r="M199" t="s">
        <v>28</v>
      </c>
      <c r="N199" t="s">
        <v>29</v>
      </c>
      <c r="O199" t="s">
        <v>152</v>
      </c>
      <c r="P199">
        <v>2026</v>
      </c>
    </row>
    <row r="200" spans="1:16" hidden="1" x14ac:dyDescent="0.25">
      <c r="A200" s="96" t="s">
        <v>2</v>
      </c>
      <c r="B200" s="96" t="s">
        <v>272</v>
      </c>
      <c r="C200" s="96" t="s">
        <v>426</v>
      </c>
      <c r="D200" s="96" t="s">
        <v>215</v>
      </c>
      <c r="E200" s="43">
        <v>45727</v>
      </c>
      <c r="F200" s="43">
        <v>45748</v>
      </c>
      <c r="G200" s="96" t="s">
        <v>92</v>
      </c>
      <c r="H200" s="96" t="s">
        <v>3537</v>
      </c>
      <c r="I200" s="96" t="s">
        <v>209</v>
      </c>
      <c r="J200" s="96" t="s">
        <v>229</v>
      </c>
      <c r="K200" s="96" t="s">
        <v>217</v>
      </c>
      <c r="L200">
        <v>21</v>
      </c>
      <c r="M200" t="s">
        <v>19</v>
      </c>
      <c r="N200" t="s">
        <v>186</v>
      </c>
      <c r="O200" t="s">
        <v>151</v>
      </c>
      <c r="P200">
        <v>2025</v>
      </c>
    </row>
    <row r="201" spans="1:16" hidden="1" x14ac:dyDescent="0.25">
      <c r="A201" s="96" t="s">
        <v>2</v>
      </c>
      <c r="B201" s="96" t="s">
        <v>190</v>
      </c>
      <c r="C201" s="96" t="s">
        <v>3538</v>
      </c>
      <c r="D201" s="96" t="s">
        <v>192</v>
      </c>
      <c r="E201" s="43">
        <v>46010</v>
      </c>
      <c r="F201" s="43">
        <v>46048</v>
      </c>
      <c r="G201" s="96" t="s">
        <v>95</v>
      </c>
      <c r="H201" s="96" t="s">
        <v>3539</v>
      </c>
      <c r="I201" s="96" t="s">
        <v>9</v>
      </c>
      <c r="J201" s="96" t="s">
        <v>229</v>
      </c>
      <c r="K201" s="96" t="s">
        <v>200</v>
      </c>
      <c r="L201">
        <v>38</v>
      </c>
      <c r="M201" t="s">
        <v>24</v>
      </c>
      <c r="N201" t="s">
        <v>25</v>
      </c>
      <c r="O201" t="s">
        <v>150</v>
      </c>
      <c r="P201">
        <v>2025</v>
      </c>
    </row>
    <row r="202" spans="1:16" x14ac:dyDescent="0.25">
      <c r="A202" s="96" t="s">
        <v>2</v>
      </c>
      <c r="B202" s="96" t="s">
        <v>201</v>
      </c>
      <c r="C202" s="96" t="s">
        <v>3540</v>
      </c>
      <c r="D202" s="96" t="s">
        <v>223</v>
      </c>
      <c r="E202" s="43">
        <v>46079</v>
      </c>
      <c r="F202" s="43">
        <v>46147</v>
      </c>
      <c r="G202" s="96" t="s">
        <v>90</v>
      </c>
      <c r="H202" s="96" t="s">
        <v>3541</v>
      </c>
      <c r="I202" s="96" t="s">
        <v>225</v>
      </c>
      <c r="J202" s="96" t="s">
        <v>165</v>
      </c>
      <c r="K202" s="96" t="s">
        <v>200</v>
      </c>
      <c r="L202">
        <v>68</v>
      </c>
      <c r="M202" t="s">
        <v>28</v>
      </c>
      <c r="N202" t="s">
        <v>32</v>
      </c>
      <c r="O202" t="s">
        <v>170</v>
      </c>
      <c r="P202">
        <v>2026</v>
      </c>
    </row>
    <row r="203" spans="1:16" hidden="1" x14ac:dyDescent="0.25">
      <c r="A203" s="96" t="s">
        <v>2</v>
      </c>
      <c r="B203" s="96" t="s">
        <v>322</v>
      </c>
      <c r="C203" s="96" t="s">
        <v>427</v>
      </c>
      <c r="D203" s="96" t="s">
        <v>10</v>
      </c>
      <c r="E203" s="43">
        <v>45793</v>
      </c>
      <c r="F203" s="43">
        <v>45820</v>
      </c>
      <c r="G203" s="96" t="s">
        <v>90</v>
      </c>
      <c r="H203" s="96" t="s">
        <v>3542</v>
      </c>
      <c r="I203" s="96" t="s">
        <v>194</v>
      </c>
      <c r="J203" s="96" t="s">
        <v>93</v>
      </c>
      <c r="K203" s="96" t="s">
        <v>217</v>
      </c>
      <c r="L203">
        <v>27</v>
      </c>
      <c r="M203" t="s">
        <v>19</v>
      </c>
      <c r="N203" t="s">
        <v>182</v>
      </c>
      <c r="O203" t="s">
        <v>150</v>
      </c>
      <c r="P203">
        <v>2025</v>
      </c>
    </row>
    <row r="204" spans="1:16" x14ac:dyDescent="0.25">
      <c r="A204" s="96" t="s">
        <v>2</v>
      </c>
      <c r="B204" s="96" t="s">
        <v>269</v>
      </c>
      <c r="C204" s="96" t="s">
        <v>428</v>
      </c>
      <c r="D204" s="96" t="s">
        <v>34</v>
      </c>
      <c r="E204" s="43">
        <v>46128</v>
      </c>
      <c r="F204" s="43">
        <v>46148</v>
      </c>
      <c r="G204" s="96" t="s">
        <v>90</v>
      </c>
      <c r="H204" s="96" t="s">
        <v>423</v>
      </c>
      <c r="I204" s="96" t="s">
        <v>194</v>
      </c>
      <c r="J204" s="96" t="s">
        <v>165</v>
      </c>
      <c r="K204" s="96" t="s">
        <v>195</v>
      </c>
      <c r="L204">
        <v>20</v>
      </c>
      <c r="M204" t="s">
        <v>19</v>
      </c>
      <c r="N204" t="s">
        <v>37</v>
      </c>
      <c r="O204" t="s">
        <v>152</v>
      </c>
      <c r="P204">
        <v>2026</v>
      </c>
    </row>
    <row r="205" spans="1:16" hidden="1" x14ac:dyDescent="0.25">
      <c r="A205" s="96" t="s">
        <v>2</v>
      </c>
      <c r="B205" s="96" t="s">
        <v>247</v>
      </c>
      <c r="C205" s="96" t="s">
        <v>429</v>
      </c>
      <c r="D205" s="96" t="s">
        <v>237</v>
      </c>
      <c r="E205" s="43">
        <v>45878</v>
      </c>
      <c r="F205" s="43">
        <v>45962</v>
      </c>
      <c r="G205" s="96" t="s">
        <v>92</v>
      </c>
      <c r="H205" s="96" t="s">
        <v>424</v>
      </c>
      <c r="I205" s="96" t="s">
        <v>209</v>
      </c>
      <c r="J205" s="96" t="s">
        <v>98</v>
      </c>
      <c r="K205" s="96" t="s">
        <v>157</v>
      </c>
      <c r="L205">
        <v>84</v>
      </c>
      <c r="M205" t="s">
        <v>28</v>
      </c>
      <c r="N205" t="s">
        <v>8</v>
      </c>
      <c r="O205" t="s">
        <v>150</v>
      </c>
      <c r="P205">
        <v>2025</v>
      </c>
    </row>
    <row r="206" spans="1:16" x14ac:dyDescent="0.25">
      <c r="A206" s="96" t="s">
        <v>2</v>
      </c>
      <c r="B206" s="96" t="s">
        <v>218</v>
      </c>
      <c r="C206" s="96" t="s">
        <v>431</v>
      </c>
      <c r="D206" s="96" t="s">
        <v>223</v>
      </c>
      <c r="E206" s="43">
        <v>46143</v>
      </c>
      <c r="F206" s="43">
        <v>46146</v>
      </c>
      <c r="G206" s="96" t="s">
        <v>92</v>
      </c>
      <c r="H206" s="96" t="s">
        <v>425</v>
      </c>
      <c r="I206" s="96" t="s">
        <v>225</v>
      </c>
      <c r="J206" s="96" t="s">
        <v>93</v>
      </c>
      <c r="K206" s="96" t="s">
        <v>195</v>
      </c>
      <c r="L206">
        <v>3</v>
      </c>
      <c r="M206" t="s">
        <v>11</v>
      </c>
      <c r="N206" t="s">
        <v>183</v>
      </c>
      <c r="O206" t="s">
        <v>152</v>
      </c>
      <c r="P206">
        <v>2026</v>
      </c>
    </row>
    <row r="207" spans="1:16" hidden="1" x14ac:dyDescent="0.25">
      <c r="A207" s="96" t="s">
        <v>175</v>
      </c>
      <c r="B207" s="96" t="s">
        <v>221</v>
      </c>
      <c r="C207" s="96" t="s">
        <v>3543</v>
      </c>
      <c r="D207" s="96" t="s">
        <v>208</v>
      </c>
      <c r="E207" s="43">
        <v>45959</v>
      </c>
      <c r="F207" s="43">
        <v>45989</v>
      </c>
      <c r="G207" s="96" t="s">
        <v>90</v>
      </c>
      <c r="H207" s="96" t="s">
        <v>3544</v>
      </c>
      <c r="I207" s="96" t="s">
        <v>228</v>
      </c>
      <c r="J207" s="96" t="s">
        <v>94</v>
      </c>
      <c r="K207" s="96" t="s">
        <v>246</v>
      </c>
      <c r="L207">
        <v>30</v>
      </c>
      <c r="M207" t="s">
        <v>19</v>
      </c>
      <c r="N207" t="s">
        <v>16</v>
      </c>
      <c r="O207" t="s">
        <v>170</v>
      </c>
      <c r="P207">
        <v>2025</v>
      </c>
    </row>
    <row r="208" spans="1:16" hidden="1" x14ac:dyDescent="0.25">
      <c r="A208" s="96" t="s">
        <v>2</v>
      </c>
      <c r="B208" s="96" t="s">
        <v>264</v>
      </c>
      <c r="C208" s="96" t="s">
        <v>433</v>
      </c>
      <c r="D208" s="96" t="s">
        <v>237</v>
      </c>
      <c r="E208" s="43">
        <v>45861</v>
      </c>
      <c r="F208" s="43">
        <v>45932</v>
      </c>
      <c r="G208" s="96" t="s">
        <v>90</v>
      </c>
      <c r="H208" s="96" t="s">
        <v>3545</v>
      </c>
      <c r="I208" s="96" t="s">
        <v>9</v>
      </c>
      <c r="J208" s="96" t="s">
        <v>283</v>
      </c>
      <c r="K208" s="96" t="s">
        <v>210</v>
      </c>
      <c r="L208">
        <v>71</v>
      </c>
      <c r="M208" t="s">
        <v>28</v>
      </c>
      <c r="N208" t="s">
        <v>187</v>
      </c>
      <c r="O208" t="s">
        <v>152</v>
      </c>
      <c r="P208">
        <v>2025</v>
      </c>
    </row>
    <row r="209" spans="1:16" hidden="1" x14ac:dyDescent="0.25">
      <c r="A209" s="96" t="s">
        <v>2</v>
      </c>
      <c r="B209" s="96" t="s">
        <v>257</v>
      </c>
      <c r="C209" s="96" t="s">
        <v>434</v>
      </c>
      <c r="D209" s="96" t="s">
        <v>10</v>
      </c>
      <c r="E209" s="43">
        <v>45950</v>
      </c>
      <c r="F209" s="43">
        <v>46028</v>
      </c>
      <c r="G209" s="96" t="s">
        <v>92</v>
      </c>
      <c r="H209" s="96" t="s">
        <v>3546</v>
      </c>
      <c r="I209" s="96" t="s">
        <v>194</v>
      </c>
      <c r="J209" s="96" t="s">
        <v>174</v>
      </c>
      <c r="K209" s="96" t="s">
        <v>205</v>
      </c>
      <c r="L209">
        <v>78</v>
      </c>
      <c r="M209" t="s">
        <v>28</v>
      </c>
      <c r="N209" t="s">
        <v>16</v>
      </c>
      <c r="O209" t="s">
        <v>151</v>
      </c>
      <c r="P209">
        <v>2025</v>
      </c>
    </row>
    <row r="210" spans="1:16" x14ac:dyDescent="0.25">
      <c r="A210" s="96" t="s">
        <v>2</v>
      </c>
      <c r="B210" s="96" t="s">
        <v>269</v>
      </c>
      <c r="C210" s="96" t="s">
        <v>435</v>
      </c>
      <c r="D210" s="96" t="s">
        <v>192</v>
      </c>
      <c r="E210" s="43">
        <v>46081</v>
      </c>
      <c r="F210" s="43">
        <v>46099</v>
      </c>
      <c r="G210" s="96" t="s">
        <v>90</v>
      </c>
      <c r="H210" s="96" t="s">
        <v>3547</v>
      </c>
      <c r="I210" s="96" t="s">
        <v>209</v>
      </c>
      <c r="J210" s="96" t="s">
        <v>165</v>
      </c>
      <c r="K210" s="96" t="s">
        <v>205</v>
      </c>
      <c r="L210">
        <v>18</v>
      </c>
      <c r="M210" t="s">
        <v>19</v>
      </c>
      <c r="N210" t="s">
        <v>32</v>
      </c>
      <c r="O210" t="s">
        <v>152</v>
      </c>
      <c r="P210">
        <v>2026</v>
      </c>
    </row>
    <row r="211" spans="1:16" hidden="1" x14ac:dyDescent="0.25">
      <c r="A211" s="96" t="s">
        <v>175</v>
      </c>
      <c r="B211" s="96" t="s">
        <v>272</v>
      </c>
      <c r="C211" s="96" t="s">
        <v>436</v>
      </c>
      <c r="D211" s="96" t="s">
        <v>40</v>
      </c>
      <c r="E211" s="43">
        <v>45866</v>
      </c>
      <c r="F211" s="43">
        <v>45961</v>
      </c>
      <c r="G211" s="96" t="s">
        <v>92</v>
      </c>
      <c r="H211" s="96" t="s">
        <v>430</v>
      </c>
      <c r="I211" s="96" t="s">
        <v>209</v>
      </c>
      <c r="J211" s="96" t="s">
        <v>169</v>
      </c>
      <c r="K211" s="96" t="s">
        <v>217</v>
      </c>
      <c r="L211">
        <v>95</v>
      </c>
      <c r="M211" t="s">
        <v>28</v>
      </c>
      <c r="N211" t="s">
        <v>187</v>
      </c>
      <c r="O211" t="s">
        <v>151</v>
      </c>
      <c r="P211">
        <v>2025</v>
      </c>
    </row>
    <row r="212" spans="1:16" x14ac:dyDescent="0.25">
      <c r="A212" s="96" t="s">
        <v>2</v>
      </c>
      <c r="B212" s="96" t="s">
        <v>196</v>
      </c>
      <c r="C212" s="96" t="s">
        <v>438</v>
      </c>
      <c r="D212" s="96" t="s">
        <v>215</v>
      </c>
      <c r="E212" s="43">
        <v>46073</v>
      </c>
      <c r="F212" s="43">
        <v>46109</v>
      </c>
      <c r="G212" s="96" t="s">
        <v>90</v>
      </c>
      <c r="H212" s="96" t="s">
        <v>3548</v>
      </c>
      <c r="I212" s="96" t="s">
        <v>204</v>
      </c>
      <c r="J212" s="96" t="s">
        <v>216</v>
      </c>
      <c r="K212" s="96" t="s">
        <v>246</v>
      </c>
      <c r="L212">
        <v>36</v>
      </c>
      <c r="M212" t="s">
        <v>24</v>
      </c>
      <c r="N212" t="s">
        <v>32</v>
      </c>
      <c r="O212" t="s">
        <v>152</v>
      </c>
      <c r="P212">
        <v>2026</v>
      </c>
    </row>
    <row r="213" spans="1:16" x14ac:dyDescent="0.25">
      <c r="A213" s="96" t="s">
        <v>2</v>
      </c>
      <c r="B213" s="96" t="s">
        <v>305</v>
      </c>
      <c r="C213" s="96" t="s">
        <v>441</v>
      </c>
      <c r="D213" s="96" t="s">
        <v>237</v>
      </c>
      <c r="E213" s="43">
        <v>46067</v>
      </c>
      <c r="F213" s="43">
        <v>46144</v>
      </c>
      <c r="G213" s="96" t="s">
        <v>90</v>
      </c>
      <c r="H213" s="96" t="s">
        <v>432</v>
      </c>
      <c r="I213" s="96" t="s">
        <v>194</v>
      </c>
      <c r="J213" s="96" t="s">
        <v>97</v>
      </c>
      <c r="K213" s="96" t="s">
        <v>246</v>
      </c>
      <c r="L213">
        <v>77</v>
      </c>
      <c r="M213" t="s">
        <v>28</v>
      </c>
      <c r="N213" t="s">
        <v>32</v>
      </c>
      <c r="O213" t="s">
        <v>170</v>
      </c>
      <c r="P213">
        <v>2026</v>
      </c>
    </row>
    <row r="214" spans="1:16" hidden="1" x14ac:dyDescent="0.25">
      <c r="A214" s="96" t="s">
        <v>2</v>
      </c>
      <c r="B214" s="96" t="s">
        <v>264</v>
      </c>
      <c r="C214" s="96" t="s">
        <v>442</v>
      </c>
      <c r="D214" s="96" t="s">
        <v>215</v>
      </c>
      <c r="E214" s="43">
        <v>45904</v>
      </c>
      <c r="F214" s="43">
        <v>45913</v>
      </c>
      <c r="G214" s="96" t="s">
        <v>90</v>
      </c>
      <c r="H214" s="96" t="s">
        <v>3549</v>
      </c>
      <c r="I214" s="96" t="s">
        <v>225</v>
      </c>
      <c r="J214" s="96" t="s">
        <v>169</v>
      </c>
      <c r="K214" s="96" t="s">
        <v>205</v>
      </c>
      <c r="L214">
        <v>9</v>
      </c>
      <c r="M214" t="s">
        <v>15</v>
      </c>
      <c r="N214" t="s">
        <v>12</v>
      </c>
      <c r="O214" t="s">
        <v>152</v>
      </c>
      <c r="P214">
        <v>2025</v>
      </c>
    </row>
    <row r="215" spans="1:16" x14ac:dyDescent="0.25">
      <c r="A215" s="96" t="s">
        <v>2</v>
      </c>
      <c r="B215" s="96" t="s">
        <v>374</v>
      </c>
      <c r="C215" s="96" t="s">
        <v>3550</v>
      </c>
      <c r="D215" s="96" t="s">
        <v>237</v>
      </c>
      <c r="E215" s="43">
        <v>46126</v>
      </c>
      <c r="F215" s="43">
        <v>46149</v>
      </c>
      <c r="G215" s="96" t="s">
        <v>95</v>
      </c>
      <c r="H215" s="96" t="s">
        <v>3551</v>
      </c>
      <c r="I215" s="96" t="s">
        <v>194</v>
      </c>
      <c r="J215" s="96" t="s">
        <v>177</v>
      </c>
      <c r="K215" s="96" t="s">
        <v>205</v>
      </c>
      <c r="L215">
        <v>23</v>
      </c>
      <c r="M215" t="s">
        <v>19</v>
      </c>
      <c r="N215" t="s">
        <v>37</v>
      </c>
      <c r="O215" t="s">
        <v>150</v>
      </c>
      <c r="P215">
        <v>2026</v>
      </c>
    </row>
    <row r="216" spans="1:16" hidden="1" x14ac:dyDescent="0.25">
      <c r="A216" s="96" t="s">
        <v>21</v>
      </c>
      <c r="B216" s="96" t="s">
        <v>280</v>
      </c>
      <c r="C216" s="96" t="s">
        <v>443</v>
      </c>
      <c r="D216" s="96" t="s">
        <v>34</v>
      </c>
      <c r="E216" s="43">
        <v>45771</v>
      </c>
      <c r="F216" s="43">
        <v>45859</v>
      </c>
      <c r="G216" s="96" t="s">
        <v>90</v>
      </c>
      <c r="H216" s="96" t="s">
        <v>3552</v>
      </c>
      <c r="I216" s="96" t="s">
        <v>157</v>
      </c>
      <c r="J216" s="96" t="s">
        <v>98</v>
      </c>
      <c r="K216" s="96" t="s">
        <v>210</v>
      </c>
      <c r="L216">
        <v>88</v>
      </c>
      <c r="M216" t="s">
        <v>28</v>
      </c>
      <c r="N216" t="s">
        <v>185</v>
      </c>
      <c r="O216" t="s">
        <v>170</v>
      </c>
      <c r="P216">
        <v>2025</v>
      </c>
    </row>
    <row r="217" spans="1:16" hidden="1" x14ac:dyDescent="0.25">
      <c r="A217" s="96" t="s">
        <v>2</v>
      </c>
      <c r="B217" s="96" t="s">
        <v>264</v>
      </c>
      <c r="C217" s="96" t="s">
        <v>444</v>
      </c>
      <c r="D217" s="96" t="s">
        <v>10</v>
      </c>
      <c r="E217" s="43">
        <v>45815</v>
      </c>
      <c r="F217" s="43">
        <v>45869</v>
      </c>
      <c r="G217" s="96" t="s">
        <v>92</v>
      </c>
      <c r="H217" s="96" t="s">
        <v>3553</v>
      </c>
      <c r="I217" s="96" t="s">
        <v>157</v>
      </c>
      <c r="J217" s="96" t="s">
        <v>165</v>
      </c>
      <c r="K217" s="96" t="s">
        <v>246</v>
      </c>
      <c r="L217">
        <v>54</v>
      </c>
      <c r="M217" t="s">
        <v>24</v>
      </c>
      <c r="N217" t="s">
        <v>184</v>
      </c>
      <c r="O217" t="s">
        <v>152</v>
      </c>
      <c r="P217">
        <v>2025</v>
      </c>
    </row>
    <row r="218" spans="1:16" x14ac:dyDescent="0.25">
      <c r="A218" s="96" t="s">
        <v>2</v>
      </c>
      <c r="B218" s="96" t="s">
        <v>261</v>
      </c>
      <c r="C218" s="96" t="s">
        <v>446</v>
      </c>
      <c r="D218" s="96" t="s">
        <v>215</v>
      </c>
      <c r="E218" s="43">
        <v>46151</v>
      </c>
      <c r="F218" s="43">
        <v>46146</v>
      </c>
      <c r="G218" s="96" t="s">
        <v>90</v>
      </c>
      <c r="H218" s="96" t="s">
        <v>437</v>
      </c>
      <c r="I218" s="96" t="s">
        <v>204</v>
      </c>
      <c r="J218" s="96" t="s">
        <v>283</v>
      </c>
      <c r="K218" s="96" t="s">
        <v>246</v>
      </c>
      <c r="L218">
        <v>-5</v>
      </c>
      <c r="M218" t="s">
        <v>11</v>
      </c>
      <c r="N218" t="s">
        <v>183</v>
      </c>
      <c r="O218" t="s">
        <v>151</v>
      </c>
      <c r="P218">
        <v>2026</v>
      </c>
    </row>
    <row r="219" spans="1:16" x14ac:dyDescent="0.25">
      <c r="A219" s="96" t="s">
        <v>175</v>
      </c>
      <c r="B219" s="96" t="s">
        <v>302</v>
      </c>
      <c r="C219" s="96" t="s">
        <v>448</v>
      </c>
      <c r="D219" s="96" t="s">
        <v>237</v>
      </c>
      <c r="E219" s="43">
        <v>46066</v>
      </c>
      <c r="F219" s="43">
        <v>46140</v>
      </c>
      <c r="G219" s="96" t="s">
        <v>90</v>
      </c>
      <c r="H219" s="96" t="s">
        <v>439</v>
      </c>
      <c r="I219" s="96" t="s">
        <v>194</v>
      </c>
      <c r="J219" s="96" t="s">
        <v>283</v>
      </c>
      <c r="K219" s="96" t="s">
        <v>246</v>
      </c>
      <c r="L219">
        <v>74</v>
      </c>
      <c r="M219" t="s">
        <v>28</v>
      </c>
      <c r="N219" t="s">
        <v>32</v>
      </c>
      <c r="O219" t="s">
        <v>150</v>
      </c>
      <c r="P219">
        <v>2026</v>
      </c>
    </row>
    <row r="220" spans="1:16" hidden="1" x14ac:dyDescent="0.25">
      <c r="A220" s="96" t="s">
        <v>171</v>
      </c>
      <c r="B220" s="96" t="s">
        <v>255</v>
      </c>
      <c r="C220" s="96" t="s">
        <v>3554</v>
      </c>
      <c r="D220" s="96" t="s">
        <v>10</v>
      </c>
      <c r="E220" s="43">
        <v>45677</v>
      </c>
      <c r="F220" s="43">
        <v>45746</v>
      </c>
      <c r="G220" s="96" t="s">
        <v>90</v>
      </c>
      <c r="H220" s="96" t="s">
        <v>440</v>
      </c>
      <c r="I220" s="96" t="s">
        <v>209</v>
      </c>
      <c r="J220" s="96" t="s">
        <v>172</v>
      </c>
      <c r="K220" s="96" t="s">
        <v>205</v>
      </c>
      <c r="L220">
        <v>69</v>
      </c>
      <c r="M220" t="s">
        <v>28</v>
      </c>
      <c r="N220" t="s">
        <v>181</v>
      </c>
      <c r="O220" t="s">
        <v>150</v>
      </c>
      <c r="P220">
        <v>2025</v>
      </c>
    </row>
    <row r="221" spans="1:16" hidden="1" x14ac:dyDescent="0.25">
      <c r="A221" s="96" t="s">
        <v>21</v>
      </c>
      <c r="B221" s="96" t="s">
        <v>264</v>
      </c>
      <c r="C221" s="96" t="s">
        <v>451</v>
      </c>
      <c r="D221" s="96" t="s">
        <v>223</v>
      </c>
      <c r="E221" s="43">
        <v>45963</v>
      </c>
      <c r="F221" s="43">
        <v>46031</v>
      </c>
      <c r="G221" s="96" t="s">
        <v>95</v>
      </c>
      <c r="H221" s="96" t="s">
        <v>3555</v>
      </c>
      <c r="I221" s="96" t="s">
        <v>157</v>
      </c>
      <c r="J221" s="96" t="s">
        <v>91</v>
      </c>
      <c r="K221" s="96" t="s">
        <v>210</v>
      </c>
      <c r="L221">
        <v>68</v>
      </c>
      <c r="M221" t="s">
        <v>28</v>
      </c>
      <c r="N221" t="s">
        <v>20</v>
      </c>
      <c r="O221" t="s">
        <v>152</v>
      </c>
      <c r="P221">
        <v>2025</v>
      </c>
    </row>
    <row r="222" spans="1:16" x14ac:dyDescent="0.25">
      <c r="A222" s="96" t="s">
        <v>2</v>
      </c>
      <c r="B222" s="96" t="s">
        <v>234</v>
      </c>
      <c r="C222" s="96" t="s">
        <v>453</v>
      </c>
      <c r="D222" s="96" t="s">
        <v>192</v>
      </c>
      <c r="E222" s="43">
        <v>46126</v>
      </c>
      <c r="F222" s="43">
        <v>46129</v>
      </c>
      <c r="G222" s="96" t="s">
        <v>92</v>
      </c>
      <c r="H222" s="96" t="s">
        <v>3556</v>
      </c>
      <c r="I222" s="96" t="s">
        <v>228</v>
      </c>
      <c r="J222" s="96" t="s">
        <v>229</v>
      </c>
      <c r="K222" s="96" t="s">
        <v>233</v>
      </c>
      <c r="L222">
        <v>3</v>
      </c>
      <c r="M222" t="s">
        <v>11</v>
      </c>
      <c r="N222" t="s">
        <v>37</v>
      </c>
      <c r="O222" t="s">
        <v>150</v>
      </c>
      <c r="P222">
        <v>2026</v>
      </c>
    </row>
    <row r="223" spans="1:16" hidden="1" x14ac:dyDescent="0.25">
      <c r="A223" s="96" t="s">
        <v>21</v>
      </c>
      <c r="B223" s="96" t="s">
        <v>251</v>
      </c>
      <c r="C223" s="96" t="s">
        <v>455</v>
      </c>
      <c r="D223" s="96" t="s">
        <v>192</v>
      </c>
      <c r="E223" s="43">
        <v>45991</v>
      </c>
      <c r="F223" s="43">
        <v>46093</v>
      </c>
      <c r="G223" s="96" t="s">
        <v>92</v>
      </c>
      <c r="H223" s="96" t="s">
        <v>3557</v>
      </c>
      <c r="I223" s="96" t="s">
        <v>9</v>
      </c>
      <c r="J223" s="96" t="s">
        <v>199</v>
      </c>
      <c r="K223" s="96" t="s">
        <v>195</v>
      </c>
      <c r="L223">
        <v>102</v>
      </c>
      <c r="M223" t="s">
        <v>28</v>
      </c>
      <c r="N223" t="s">
        <v>20</v>
      </c>
      <c r="O223" t="s">
        <v>170</v>
      </c>
      <c r="P223">
        <v>2025</v>
      </c>
    </row>
    <row r="224" spans="1:16" hidden="1" x14ac:dyDescent="0.25">
      <c r="A224" s="96" t="s">
        <v>2</v>
      </c>
      <c r="B224" s="96" t="s">
        <v>238</v>
      </c>
      <c r="C224" s="96" t="s">
        <v>456</v>
      </c>
      <c r="D224" s="96" t="s">
        <v>203</v>
      </c>
      <c r="E224" s="43">
        <v>45709</v>
      </c>
      <c r="F224" s="43">
        <v>45794</v>
      </c>
      <c r="G224" s="96" t="s">
        <v>90</v>
      </c>
      <c r="H224" s="96" t="s">
        <v>3558</v>
      </c>
      <c r="I224" s="96" t="s">
        <v>209</v>
      </c>
      <c r="J224" s="96" t="s">
        <v>199</v>
      </c>
      <c r="K224" s="96" t="s">
        <v>230</v>
      </c>
      <c r="L224">
        <v>85</v>
      </c>
      <c r="M224" t="s">
        <v>28</v>
      </c>
      <c r="N224" t="s">
        <v>188</v>
      </c>
      <c r="O224" t="s">
        <v>170</v>
      </c>
      <c r="P224">
        <v>2025</v>
      </c>
    </row>
    <row r="225" spans="1:16" hidden="1" x14ac:dyDescent="0.25">
      <c r="A225" s="96" t="s">
        <v>2</v>
      </c>
      <c r="B225" s="96" t="s">
        <v>272</v>
      </c>
      <c r="C225" s="96" t="s">
        <v>458</v>
      </c>
      <c r="D225" s="96" t="s">
        <v>192</v>
      </c>
      <c r="E225" s="43">
        <v>45764</v>
      </c>
      <c r="F225" s="43">
        <v>45853</v>
      </c>
      <c r="G225" s="96" t="s">
        <v>92</v>
      </c>
      <c r="H225" s="96" t="s">
        <v>3559</v>
      </c>
      <c r="I225" s="96" t="s">
        <v>209</v>
      </c>
      <c r="J225" s="96" t="s">
        <v>216</v>
      </c>
      <c r="K225" s="96" t="s">
        <v>210</v>
      </c>
      <c r="L225">
        <v>89</v>
      </c>
      <c r="M225" t="s">
        <v>28</v>
      </c>
      <c r="N225" t="s">
        <v>185</v>
      </c>
      <c r="O225" t="s">
        <v>151</v>
      </c>
      <c r="P225">
        <v>2025</v>
      </c>
    </row>
    <row r="226" spans="1:16" x14ac:dyDescent="0.25">
      <c r="A226" s="96" t="s">
        <v>2</v>
      </c>
      <c r="B226" s="96" t="s">
        <v>290</v>
      </c>
      <c r="C226" s="96" t="s">
        <v>3560</v>
      </c>
      <c r="D226" s="96" t="s">
        <v>208</v>
      </c>
      <c r="E226" s="43">
        <v>46042</v>
      </c>
      <c r="F226" s="43">
        <v>46135</v>
      </c>
      <c r="G226" s="96" t="s">
        <v>92</v>
      </c>
      <c r="H226" s="96" t="s">
        <v>445</v>
      </c>
      <c r="I226" s="96" t="s">
        <v>9</v>
      </c>
      <c r="J226" s="96" t="s">
        <v>199</v>
      </c>
      <c r="K226" s="96" t="s">
        <v>210</v>
      </c>
      <c r="L226">
        <v>93</v>
      </c>
      <c r="M226" t="s">
        <v>28</v>
      </c>
      <c r="N226" t="s">
        <v>29</v>
      </c>
      <c r="O226" t="s">
        <v>149</v>
      </c>
      <c r="P226">
        <v>2026</v>
      </c>
    </row>
    <row r="227" spans="1:16" x14ac:dyDescent="0.25">
      <c r="A227" s="96" t="s">
        <v>2</v>
      </c>
      <c r="B227" s="96" t="s">
        <v>196</v>
      </c>
      <c r="C227" s="96" t="s">
        <v>460</v>
      </c>
      <c r="D227" s="96" t="s">
        <v>34</v>
      </c>
      <c r="E227" s="43">
        <v>46097</v>
      </c>
      <c r="F227" s="43">
        <v>46144</v>
      </c>
      <c r="G227" s="96" t="s">
        <v>92</v>
      </c>
      <c r="H227" s="96" t="s">
        <v>447</v>
      </c>
      <c r="I227" s="96" t="s">
        <v>209</v>
      </c>
      <c r="J227" s="96" t="s">
        <v>229</v>
      </c>
      <c r="K227" s="96" t="s">
        <v>200</v>
      </c>
      <c r="L227">
        <v>47</v>
      </c>
      <c r="M227" t="s">
        <v>24</v>
      </c>
      <c r="N227" t="s">
        <v>35</v>
      </c>
      <c r="O227" t="s">
        <v>152</v>
      </c>
      <c r="P227">
        <v>2026</v>
      </c>
    </row>
    <row r="228" spans="1:16" hidden="1" x14ac:dyDescent="0.25">
      <c r="A228" s="96" t="s">
        <v>2</v>
      </c>
      <c r="B228" s="96" t="s">
        <v>253</v>
      </c>
      <c r="C228" s="96" t="s">
        <v>462</v>
      </c>
      <c r="D228" s="96" t="s">
        <v>237</v>
      </c>
      <c r="E228" s="43">
        <v>45882</v>
      </c>
      <c r="F228" s="43">
        <v>45962</v>
      </c>
      <c r="G228" s="96" t="s">
        <v>90</v>
      </c>
      <c r="H228" s="96" t="s">
        <v>3561</v>
      </c>
      <c r="I228" s="96" t="s">
        <v>194</v>
      </c>
      <c r="J228" s="96" t="s">
        <v>93</v>
      </c>
      <c r="K228" s="96" t="s">
        <v>230</v>
      </c>
      <c r="L228">
        <v>80</v>
      </c>
      <c r="M228" t="s">
        <v>28</v>
      </c>
      <c r="N228" t="s">
        <v>8</v>
      </c>
      <c r="O228" t="s">
        <v>152</v>
      </c>
      <c r="P228">
        <v>2025</v>
      </c>
    </row>
    <row r="229" spans="1:16" x14ac:dyDescent="0.25">
      <c r="A229" s="96" t="s">
        <v>2</v>
      </c>
      <c r="B229" s="96" t="s">
        <v>374</v>
      </c>
      <c r="C229" s="96" t="s">
        <v>3562</v>
      </c>
      <c r="D229" s="96" t="s">
        <v>237</v>
      </c>
      <c r="E229" s="43">
        <v>46145</v>
      </c>
      <c r="F229" s="43">
        <v>46148</v>
      </c>
      <c r="G229" s="96" t="s">
        <v>90</v>
      </c>
      <c r="H229" s="96" t="s">
        <v>449</v>
      </c>
      <c r="I229" s="96" t="s">
        <v>228</v>
      </c>
      <c r="J229" s="96" t="s">
        <v>216</v>
      </c>
      <c r="K229" s="96" t="s">
        <v>246</v>
      </c>
      <c r="L229">
        <v>3</v>
      </c>
      <c r="M229" t="s">
        <v>11</v>
      </c>
      <c r="N229" t="s">
        <v>183</v>
      </c>
      <c r="O229" t="s">
        <v>150</v>
      </c>
      <c r="P229">
        <v>2026</v>
      </c>
    </row>
    <row r="230" spans="1:16" hidden="1" x14ac:dyDescent="0.25">
      <c r="A230" s="96" t="s">
        <v>2</v>
      </c>
      <c r="B230" s="96" t="s">
        <v>206</v>
      </c>
      <c r="C230" s="96" t="s">
        <v>3563</v>
      </c>
      <c r="D230" s="96" t="s">
        <v>223</v>
      </c>
      <c r="E230" s="43">
        <v>45690</v>
      </c>
      <c r="F230" s="43">
        <v>45724</v>
      </c>
      <c r="G230" s="96" t="s">
        <v>90</v>
      </c>
      <c r="H230" s="96" t="s">
        <v>450</v>
      </c>
      <c r="I230" s="96" t="s">
        <v>228</v>
      </c>
      <c r="J230" s="96" t="s">
        <v>169</v>
      </c>
      <c r="K230" s="96" t="s">
        <v>233</v>
      </c>
      <c r="L230">
        <v>34</v>
      </c>
      <c r="M230" t="s">
        <v>24</v>
      </c>
      <c r="N230" t="s">
        <v>188</v>
      </c>
      <c r="O230" t="s">
        <v>152</v>
      </c>
      <c r="P230">
        <v>2025</v>
      </c>
    </row>
    <row r="231" spans="1:16" hidden="1" x14ac:dyDescent="0.25">
      <c r="A231" s="96" t="s">
        <v>2</v>
      </c>
      <c r="B231" s="96" t="s">
        <v>253</v>
      </c>
      <c r="C231" s="96" t="s">
        <v>465</v>
      </c>
      <c r="D231" s="96" t="s">
        <v>10</v>
      </c>
      <c r="E231" s="43">
        <v>45785</v>
      </c>
      <c r="F231" s="43">
        <v>45847</v>
      </c>
      <c r="G231" s="96" t="s">
        <v>92</v>
      </c>
      <c r="H231" s="96" t="s">
        <v>452</v>
      </c>
      <c r="I231" s="96" t="s">
        <v>209</v>
      </c>
      <c r="J231" s="96" t="s">
        <v>229</v>
      </c>
      <c r="K231" s="96" t="s">
        <v>157</v>
      </c>
      <c r="L231">
        <v>62</v>
      </c>
      <c r="M231" t="s">
        <v>28</v>
      </c>
      <c r="N231" t="s">
        <v>182</v>
      </c>
      <c r="O231" t="s">
        <v>152</v>
      </c>
      <c r="P231">
        <v>2025</v>
      </c>
    </row>
    <row r="232" spans="1:16" x14ac:dyDescent="0.25">
      <c r="A232" s="96" t="s">
        <v>2</v>
      </c>
      <c r="B232" s="96" t="s">
        <v>201</v>
      </c>
      <c r="C232" s="96" t="s">
        <v>466</v>
      </c>
      <c r="D232" s="96" t="s">
        <v>203</v>
      </c>
      <c r="E232" s="43">
        <v>46149</v>
      </c>
      <c r="F232" s="43">
        <v>46150</v>
      </c>
      <c r="G232" s="96" t="s">
        <v>92</v>
      </c>
      <c r="H232" s="96" t="s">
        <v>454</v>
      </c>
      <c r="I232" s="96" t="s">
        <v>225</v>
      </c>
      <c r="J232" s="96" t="s">
        <v>98</v>
      </c>
      <c r="K232" s="96" t="s">
        <v>217</v>
      </c>
      <c r="L232">
        <v>1</v>
      </c>
      <c r="M232" t="s">
        <v>11</v>
      </c>
      <c r="N232" t="s">
        <v>183</v>
      </c>
      <c r="O232" t="s">
        <v>170</v>
      </c>
      <c r="P232">
        <v>2026</v>
      </c>
    </row>
    <row r="233" spans="1:16" hidden="1" x14ac:dyDescent="0.25">
      <c r="A233" s="96" t="s">
        <v>175</v>
      </c>
      <c r="B233" s="96" t="s">
        <v>272</v>
      </c>
      <c r="C233" s="96" t="s">
        <v>3564</v>
      </c>
      <c r="D233" s="96" t="s">
        <v>223</v>
      </c>
      <c r="E233" s="43">
        <v>45778</v>
      </c>
      <c r="F233" s="43">
        <v>45789</v>
      </c>
      <c r="G233" s="96" t="s">
        <v>92</v>
      </c>
      <c r="H233" s="96" t="s">
        <v>3565</v>
      </c>
      <c r="I233" s="96" t="s">
        <v>9</v>
      </c>
      <c r="J233" s="96" t="s">
        <v>216</v>
      </c>
      <c r="K233" s="96" t="s">
        <v>195</v>
      </c>
      <c r="L233">
        <v>11</v>
      </c>
      <c r="M233" t="s">
        <v>15</v>
      </c>
      <c r="N233" t="s">
        <v>182</v>
      </c>
      <c r="O233" t="s">
        <v>151</v>
      </c>
      <c r="P233">
        <v>2025</v>
      </c>
    </row>
    <row r="234" spans="1:16" x14ac:dyDescent="0.25">
      <c r="A234" s="96" t="s">
        <v>2</v>
      </c>
      <c r="B234" s="96" t="s">
        <v>302</v>
      </c>
      <c r="C234" s="96" t="s">
        <v>3566</v>
      </c>
      <c r="D234" s="96" t="s">
        <v>223</v>
      </c>
      <c r="E234" s="43">
        <v>46116</v>
      </c>
      <c r="F234" s="43">
        <v>46151</v>
      </c>
      <c r="G234" s="96" t="s">
        <v>90</v>
      </c>
      <c r="H234" s="96" t="s">
        <v>457</v>
      </c>
      <c r="I234" s="96" t="s">
        <v>209</v>
      </c>
      <c r="J234" s="96" t="s">
        <v>93</v>
      </c>
      <c r="K234" s="96" t="s">
        <v>233</v>
      </c>
      <c r="L234">
        <v>35</v>
      </c>
      <c r="M234" t="s">
        <v>24</v>
      </c>
      <c r="N234" t="s">
        <v>37</v>
      </c>
      <c r="O234" t="s">
        <v>150</v>
      </c>
      <c r="P234">
        <v>2026</v>
      </c>
    </row>
    <row r="235" spans="1:16" x14ac:dyDescent="0.25">
      <c r="A235" s="96" t="s">
        <v>2</v>
      </c>
      <c r="B235" s="96" t="s">
        <v>226</v>
      </c>
      <c r="C235" s="96" t="s">
        <v>468</v>
      </c>
      <c r="D235" s="96" t="s">
        <v>215</v>
      </c>
      <c r="E235" s="43">
        <v>46149</v>
      </c>
      <c r="F235" s="43">
        <v>46146</v>
      </c>
      <c r="G235" s="96" t="s">
        <v>92</v>
      </c>
      <c r="H235" s="96" t="s">
        <v>459</v>
      </c>
      <c r="I235" s="96" t="s">
        <v>194</v>
      </c>
      <c r="J235" s="96" t="s">
        <v>91</v>
      </c>
      <c r="K235" s="96" t="s">
        <v>200</v>
      </c>
      <c r="L235">
        <v>-3</v>
      </c>
      <c r="M235" t="s">
        <v>11</v>
      </c>
      <c r="N235" t="s">
        <v>183</v>
      </c>
      <c r="O235" t="s">
        <v>151</v>
      </c>
      <c r="P235">
        <v>2026</v>
      </c>
    </row>
    <row r="236" spans="1:16" hidden="1" x14ac:dyDescent="0.25">
      <c r="A236" s="96" t="s">
        <v>189</v>
      </c>
      <c r="B236" s="96" t="s">
        <v>272</v>
      </c>
      <c r="C236" s="96" t="s">
        <v>469</v>
      </c>
      <c r="D236" s="96" t="s">
        <v>34</v>
      </c>
      <c r="E236" s="43">
        <v>45941</v>
      </c>
      <c r="F236" s="43">
        <v>46061</v>
      </c>
      <c r="G236" s="96" t="s">
        <v>90</v>
      </c>
      <c r="H236" s="96" t="s">
        <v>461</v>
      </c>
      <c r="I236" s="96" t="s">
        <v>9</v>
      </c>
      <c r="J236" s="96" t="s">
        <v>176</v>
      </c>
      <c r="K236" s="96" t="s">
        <v>200</v>
      </c>
      <c r="L236">
        <v>120</v>
      </c>
      <c r="M236" t="s">
        <v>28</v>
      </c>
      <c r="N236" t="s">
        <v>16</v>
      </c>
      <c r="O236" t="s">
        <v>151</v>
      </c>
      <c r="P236">
        <v>2025</v>
      </c>
    </row>
    <row r="237" spans="1:16" hidden="1" x14ac:dyDescent="0.25">
      <c r="A237" s="96" t="s">
        <v>2</v>
      </c>
      <c r="B237" s="96" t="s">
        <v>231</v>
      </c>
      <c r="C237" s="96" t="s">
        <v>470</v>
      </c>
      <c r="D237" s="96" t="s">
        <v>34</v>
      </c>
      <c r="E237" s="43">
        <v>45854</v>
      </c>
      <c r="F237" s="43">
        <v>45908</v>
      </c>
      <c r="G237" s="96" t="s">
        <v>95</v>
      </c>
      <c r="H237" s="96" t="s">
        <v>463</v>
      </c>
      <c r="I237" s="96" t="s">
        <v>225</v>
      </c>
      <c r="J237" s="96" t="s">
        <v>283</v>
      </c>
      <c r="K237" s="96" t="s">
        <v>157</v>
      </c>
      <c r="L237">
        <v>54</v>
      </c>
      <c r="M237" t="s">
        <v>24</v>
      </c>
      <c r="N237" t="s">
        <v>187</v>
      </c>
      <c r="O237" t="s">
        <v>170</v>
      </c>
      <c r="P237">
        <v>2025</v>
      </c>
    </row>
    <row r="238" spans="1:16" x14ac:dyDescent="0.25">
      <c r="A238" s="96" t="s">
        <v>2</v>
      </c>
      <c r="B238" s="96" t="s">
        <v>244</v>
      </c>
      <c r="C238" s="96" t="s">
        <v>3567</v>
      </c>
      <c r="D238" s="96" t="s">
        <v>192</v>
      </c>
      <c r="E238" s="43">
        <v>46056</v>
      </c>
      <c r="F238" s="43">
        <v>46147</v>
      </c>
      <c r="G238" s="96" t="s">
        <v>90</v>
      </c>
      <c r="H238" s="96" t="s">
        <v>464</v>
      </c>
      <c r="I238" s="96" t="s">
        <v>228</v>
      </c>
      <c r="J238" s="96" t="s">
        <v>283</v>
      </c>
      <c r="K238" s="96" t="s">
        <v>157</v>
      </c>
      <c r="L238">
        <v>91</v>
      </c>
      <c r="M238" t="s">
        <v>28</v>
      </c>
      <c r="N238" t="s">
        <v>32</v>
      </c>
      <c r="O238" t="s">
        <v>150</v>
      </c>
      <c r="P238">
        <v>2026</v>
      </c>
    </row>
    <row r="239" spans="1:16" hidden="1" x14ac:dyDescent="0.25">
      <c r="A239" s="96" t="s">
        <v>2</v>
      </c>
      <c r="B239" s="96" t="s">
        <v>213</v>
      </c>
      <c r="C239" s="96" t="s">
        <v>471</v>
      </c>
      <c r="D239" s="96" t="s">
        <v>14</v>
      </c>
      <c r="E239" s="43">
        <v>45732</v>
      </c>
      <c r="F239" s="43">
        <v>45840</v>
      </c>
      <c r="G239" s="96" t="s">
        <v>92</v>
      </c>
      <c r="H239" s="96" t="s">
        <v>3568</v>
      </c>
      <c r="I239" s="96" t="s">
        <v>228</v>
      </c>
      <c r="J239" s="96" t="s">
        <v>98</v>
      </c>
      <c r="K239" s="96" t="s">
        <v>205</v>
      </c>
      <c r="L239">
        <v>108</v>
      </c>
      <c r="M239" t="s">
        <v>28</v>
      </c>
      <c r="N239" t="s">
        <v>186</v>
      </c>
      <c r="O239" t="s">
        <v>149</v>
      </c>
      <c r="P239">
        <v>2025</v>
      </c>
    </row>
    <row r="240" spans="1:16" hidden="1" x14ac:dyDescent="0.25">
      <c r="A240" s="96" t="s">
        <v>2</v>
      </c>
      <c r="B240" s="96" t="s">
        <v>255</v>
      </c>
      <c r="C240" s="96" t="s">
        <v>472</v>
      </c>
      <c r="D240" s="96" t="s">
        <v>237</v>
      </c>
      <c r="E240" s="43">
        <v>45945</v>
      </c>
      <c r="F240" s="43">
        <v>45995</v>
      </c>
      <c r="G240" s="96" t="s">
        <v>92</v>
      </c>
      <c r="H240" s="96" t="s">
        <v>467</v>
      </c>
      <c r="I240" s="96" t="s">
        <v>157</v>
      </c>
      <c r="J240" s="96" t="s">
        <v>174</v>
      </c>
      <c r="K240" s="96" t="s">
        <v>157</v>
      </c>
      <c r="L240">
        <v>50</v>
      </c>
      <c r="M240" t="s">
        <v>24</v>
      </c>
      <c r="N240" t="s">
        <v>16</v>
      </c>
      <c r="O240" t="s">
        <v>150</v>
      </c>
      <c r="P240">
        <v>2025</v>
      </c>
    </row>
    <row r="241" spans="1:16" hidden="1" x14ac:dyDescent="0.25">
      <c r="A241" s="96" t="s">
        <v>175</v>
      </c>
      <c r="B241" s="96" t="s">
        <v>206</v>
      </c>
      <c r="C241" s="96" t="s">
        <v>3569</v>
      </c>
      <c r="D241" s="96" t="s">
        <v>203</v>
      </c>
      <c r="E241" s="43">
        <v>45951</v>
      </c>
      <c r="F241" s="43">
        <v>46022</v>
      </c>
      <c r="G241" s="96" t="s">
        <v>92</v>
      </c>
      <c r="H241" s="96" t="s">
        <v>3570</v>
      </c>
      <c r="I241" s="96" t="s">
        <v>9</v>
      </c>
      <c r="J241" s="96" t="s">
        <v>169</v>
      </c>
      <c r="K241" s="96" t="s">
        <v>210</v>
      </c>
      <c r="L241">
        <v>71</v>
      </c>
      <c r="M241" t="s">
        <v>28</v>
      </c>
      <c r="N241" t="s">
        <v>16</v>
      </c>
      <c r="O241" t="s">
        <v>152</v>
      </c>
      <c r="P241">
        <v>2025</v>
      </c>
    </row>
    <row r="242" spans="1:16" hidden="1" x14ac:dyDescent="0.25">
      <c r="A242" s="96" t="s">
        <v>2</v>
      </c>
      <c r="B242" s="96" t="s">
        <v>213</v>
      </c>
      <c r="C242" s="96" t="s">
        <v>3571</v>
      </c>
      <c r="D242" s="96" t="s">
        <v>223</v>
      </c>
      <c r="E242" s="43">
        <v>45932</v>
      </c>
      <c r="F242" s="43">
        <v>45984</v>
      </c>
      <c r="G242" s="96" t="s">
        <v>92</v>
      </c>
      <c r="H242" s="96" t="s">
        <v>3572</v>
      </c>
      <c r="I242" s="96" t="s">
        <v>204</v>
      </c>
      <c r="J242" s="96" t="s">
        <v>91</v>
      </c>
      <c r="K242" s="96" t="s">
        <v>157</v>
      </c>
      <c r="L242">
        <v>52</v>
      </c>
      <c r="M242" t="s">
        <v>24</v>
      </c>
      <c r="N242" t="s">
        <v>16</v>
      </c>
      <c r="O242" t="s">
        <v>149</v>
      </c>
      <c r="P242">
        <v>2025</v>
      </c>
    </row>
    <row r="243" spans="1:16" hidden="1" x14ac:dyDescent="0.25">
      <c r="A243" s="96" t="s">
        <v>2</v>
      </c>
      <c r="B243" s="96" t="s">
        <v>240</v>
      </c>
      <c r="C243" s="96" t="s">
        <v>473</v>
      </c>
      <c r="D243" s="96" t="s">
        <v>10</v>
      </c>
      <c r="E243" s="43">
        <v>45945</v>
      </c>
      <c r="F243" s="43">
        <v>46051</v>
      </c>
      <c r="G243" s="96" t="s">
        <v>92</v>
      </c>
      <c r="H243" s="96" t="s">
        <v>3573</v>
      </c>
      <c r="I243" s="96" t="s">
        <v>209</v>
      </c>
      <c r="J243" s="96" t="s">
        <v>174</v>
      </c>
      <c r="K243" s="96" t="s">
        <v>217</v>
      </c>
      <c r="L243">
        <v>106</v>
      </c>
      <c r="M243" t="s">
        <v>28</v>
      </c>
      <c r="N243" t="s">
        <v>16</v>
      </c>
      <c r="O243" t="s">
        <v>149</v>
      </c>
      <c r="P243">
        <v>2025</v>
      </c>
    </row>
    <row r="244" spans="1:16" x14ac:dyDescent="0.25">
      <c r="A244" s="96" t="s">
        <v>2</v>
      </c>
      <c r="B244" s="96" t="s">
        <v>269</v>
      </c>
      <c r="C244" s="96" t="s">
        <v>474</v>
      </c>
      <c r="D244" s="96" t="s">
        <v>203</v>
      </c>
      <c r="E244" s="43">
        <v>46052</v>
      </c>
      <c r="F244" s="43">
        <v>46102</v>
      </c>
      <c r="G244" s="96" t="s">
        <v>92</v>
      </c>
      <c r="H244" s="96" t="s">
        <v>3574</v>
      </c>
      <c r="I244" s="96" t="s">
        <v>157</v>
      </c>
      <c r="J244" s="96" t="s">
        <v>169</v>
      </c>
      <c r="K244" s="96" t="s">
        <v>246</v>
      </c>
      <c r="L244">
        <v>50</v>
      </c>
      <c r="M244" t="s">
        <v>24</v>
      </c>
      <c r="N244" t="s">
        <v>29</v>
      </c>
      <c r="O244" t="s">
        <v>152</v>
      </c>
      <c r="P244">
        <v>2026</v>
      </c>
    </row>
    <row r="245" spans="1:16" hidden="1" x14ac:dyDescent="0.25">
      <c r="A245" s="96" t="s">
        <v>2</v>
      </c>
      <c r="B245" s="96" t="s">
        <v>255</v>
      </c>
      <c r="C245" s="96" t="s">
        <v>475</v>
      </c>
      <c r="D245" s="96" t="s">
        <v>10</v>
      </c>
      <c r="E245" s="43">
        <v>45809</v>
      </c>
      <c r="F245" s="43">
        <v>45924</v>
      </c>
      <c r="G245" s="96" t="s">
        <v>95</v>
      </c>
      <c r="H245" s="96" t="s">
        <v>3575</v>
      </c>
      <c r="I245" s="96" t="s">
        <v>209</v>
      </c>
      <c r="J245" s="96" t="s">
        <v>165</v>
      </c>
      <c r="K245" s="96" t="s">
        <v>205</v>
      </c>
      <c r="L245">
        <v>115</v>
      </c>
      <c r="M245" t="s">
        <v>28</v>
      </c>
      <c r="N245" t="s">
        <v>184</v>
      </c>
      <c r="O245" t="s">
        <v>150</v>
      </c>
      <c r="P245">
        <v>2025</v>
      </c>
    </row>
    <row r="246" spans="1:16" hidden="1" x14ac:dyDescent="0.25">
      <c r="A246" s="96" t="s">
        <v>2</v>
      </c>
      <c r="B246" s="96" t="s">
        <v>257</v>
      </c>
      <c r="C246" s="96" t="s">
        <v>476</v>
      </c>
      <c r="D246" s="96" t="s">
        <v>14</v>
      </c>
      <c r="E246" s="43">
        <v>45767</v>
      </c>
      <c r="F246" s="43">
        <v>45878</v>
      </c>
      <c r="G246" s="96" t="s">
        <v>90</v>
      </c>
      <c r="H246" s="96" t="s">
        <v>3576</v>
      </c>
      <c r="I246" s="96" t="s">
        <v>209</v>
      </c>
      <c r="J246" s="96" t="s">
        <v>173</v>
      </c>
      <c r="K246" s="96" t="s">
        <v>195</v>
      </c>
      <c r="L246">
        <v>111</v>
      </c>
      <c r="M246" t="s">
        <v>28</v>
      </c>
      <c r="N246" t="s">
        <v>185</v>
      </c>
      <c r="O246" t="s">
        <v>151</v>
      </c>
      <c r="P246">
        <v>2025</v>
      </c>
    </row>
    <row r="247" spans="1:16" hidden="1" x14ac:dyDescent="0.25">
      <c r="A247" s="96" t="s">
        <v>2</v>
      </c>
      <c r="B247" s="96" t="s">
        <v>240</v>
      </c>
      <c r="C247" s="96" t="s">
        <v>3577</v>
      </c>
      <c r="D247" s="96" t="s">
        <v>192</v>
      </c>
      <c r="E247" s="43">
        <v>45827</v>
      </c>
      <c r="F247" s="43">
        <v>45832</v>
      </c>
      <c r="G247" s="96" t="s">
        <v>90</v>
      </c>
      <c r="H247" s="96" t="s">
        <v>3578</v>
      </c>
      <c r="I247" s="96" t="s">
        <v>157</v>
      </c>
      <c r="J247" s="96" t="s">
        <v>94</v>
      </c>
      <c r="K247" s="96" t="s">
        <v>230</v>
      </c>
      <c r="L247">
        <v>5</v>
      </c>
      <c r="M247" t="s">
        <v>11</v>
      </c>
      <c r="N247" t="s">
        <v>184</v>
      </c>
      <c r="O247" t="s">
        <v>149</v>
      </c>
      <c r="P247">
        <v>2025</v>
      </c>
    </row>
    <row r="248" spans="1:16" hidden="1" x14ac:dyDescent="0.25">
      <c r="A248" s="96" t="s">
        <v>2</v>
      </c>
      <c r="B248" s="96" t="s">
        <v>272</v>
      </c>
      <c r="C248" s="96" t="s">
        <v>477</v>
      </c>
      <c r="D248" s="96" t="s">
        <v>10</v>
      </c>
      <c r="E248" s="43">
        <v>45888</v>
      </c>
      <c r="F248" s="43">
        <v>45969</v>
      </c>
      <c r="G248" s="96" t="s">
        <v>92</v>
      </c>
      <c r="H248" s="96" t="s">
        <v>3579</v>
      </c>
      <c r="I248" s="96" t="s">
        <v>209</v>
      </c>
      <c r="J248" s="96" t="s">
        <v>165</v>
      </c>
      <c r="K248" s="96" t="s">
        <v>195</v>
      </c>
      <c r="L248">
        <v>81</v>
      </c>
      <c r="M248" t="s">
        <v>28</v>
      </c>
      <c r="N248" t="s">
        <v>8</v>
      </c>
      <c r="O248" t="s">
        <v>151</v>
      </c>
      <c r="P248">
        <v>2025</v>
      </c>
    </row>
    <row r="249" spans="1:16" hidden="1" x14ac:dyDescent="0.25">
      <c r="A249" s="96" t="s">
        <v>2</v>
      </c>
      <c r="B249" s="96" t="s">
        <v>221</v>
      </c>
      <c r="C249" s="96" t="s">
        <v>478</v>
      </c>
      <c r="D249" s="96" t="s">
        <v>40</v>
      </c>
      <c r="E249" s="43">
        <v>45695</v>
      </c>
      <c r="F249" s="43">
        <v>45741</v>
      </c>
      <c r="G249" s="96" t="s">
        <v>90</v>
      </c>
      <c r="H249" s="96" t="s">
        <v>3580</v>
      </c>
      <c r="I249" s="96" t="s">
        <v>157</v>
      </c>
      <c r="J249" s="96" t="s">
        <v>93</v>
      </c>
      <c r="K249" s="96" t="s">
        <v>217</v>
      </c>
      <c r="L249">
        <v>46</v>
      </c>
      <c r="M249" t="s">
        <v>24</v>
      </c>
      <c r="N249" t="s">
        <v>188</v>
      </c>
      <c r="O249" t="s">
        <v>170</v>
      </c>
      <c r="P249">
        <v>2025</v>
      </c>
    </row>
    <row r="250" spans="1:16" hidden="1" x14ac:dyDescent="0.25">
      <c r="A250" s="96" t="s">
        <v>2</v>
      </c>
      <c r="B250" s="96" t="s">
        <v>257</v>
      </c>
      <c r="C250" s="96" t="s">
        <v>3581</v>
      </c>
      <c r="D250" s="96" t="s">
        <v>34</v>
      </c>
      <c r="E250" s="43">
        <v>45996</v>
      </c>
      <c r="F250" s="43">
        <v>46000</v>
      </c>
      <c r="G250" s="96" t="s">
        <v>92</v>
      </c>
      <c r="H250" s="96" t="s">
        <v>3582</v>
      </c>
      <c r="I250" s="96" t="s">
        <v>204</v>
      </c>
      <c r="J250" s="96" t="s">
        <v>97</v>
      </c>
      <c r="K250" s="96" t="s">
        <v>195</v>
      </c>
      <c r="L250">
        <v>4</v>
      </c>
      <c r="M250" t="s">
        <v>11</v>
      </c>
      <c r="N250" t="s">
        <v>25</v>
      </c>
      <c r="O250" t="s">
        <v>151</v>
      </c>
      <c r="P250">
        <v>2025</v>
      </c>
    </row>
    <row r="251" spans="1:16" hidden="1" x14ac:dyDescent="0.25">
      <c r="A251" s="96" t="s">
        <v>2</v>
      </c>
      <c r="B251" s="96" t="s">
        <v>240</v>
      </c>
      <c r="C251" s="96" t="s">
        <v>479</v>
      </c>
      <c r="D251" s="96" t="s">
        <v>40</v>
      </c>
      <c r="E251" s="43">
        <v>45942</v>
      </c>
      <c r="F251" s="43">
        <v>45961</v>
      </c>
      <c r="G251" s="96" t="s">
        <v>92</v>
      </c>
      <c r="H251" s="96" t="s">
        <v>3583</v>
      </c>
      <c r="I251" s="96" t="s">
        <v>225</v>
      </c>
      <c r="J251" s="96" t="s">
        <v>97</v>
      </c>
      <c r="K251" s="96" t="s">
        <v>205</v>
      </c>
      <c r="L251">
        <v>19</v>
      </c>
      <c r="M251" t="s">
        <v>19</v>
      </c>
      <c r="N251" t="s">
        <v>16</v>
      </c>
      <c r="O251" t="s">
        <v>149</v>
      </c>
      <c r="P251">
        <v>2025</v>
      </c>
    </row>
    <row r="252" spans="1:16" hidden="1" x14ac:dyDescent="0.25">
      <c r="A252" s="96" t="s">
        <v>2</v>
      </c>
      <c r="B252" s="96" t="s">
        <v>231</v>
      </c>
      <c r="C252" s="96" t="s">
        <v>481</v>
      </c>
      <c r="D252" s="96" t="s">
        <v>14</v>
      </c>
      <c r="E252" s="43">
        <v>45988</v>
      </c>
      <c r="F252" s="43">
        <v>46097</v>
      </c>
      <c r="G252" s="96" t="s">
        <v>92</v>
      </c>
      <c r="H252" s="96" t="s">
        <v>3584</v>
      </c>
      <c r="I252" s="96" t="s">
        <v>225</v>
      </c>
      <c r="J252" s="96" t="s">
        <v>177</v>
      </c>
      <c r="K252" s="96" t="s">
        <v>157</v>
      </c>
      <c r="L252">
        <v>109</v>
      </c>
      <c r="M252" t="s">
        <v>28</v>
      </c>
      <c r="N252" t="s">
        <v>20</v>
      </c>
      <c r="O252" t="s">
        <v>170</v>
      </c>
      <c r="P252">
        <v>2025</v>
      </c>
    </row>
    <row r="253" spans="1:16" hidden="1" x14ac:dyDescent="0.25">
      <c r="A253" s="96" t="s">
        <v>2</v>
      </c>
      <c r="B253" s="96" t="s">
        <v>253</v>
      </c>
      <c r="C253" s="96" t="s">
        <v>482</v>
      </c>
      <c r="D253" s="96" t="s">
        <v>223</v>
      </c>
      <c r="E253" s="43">
        <v>45939</v>
      </c>
      <c r="F253" s="43">
        <v>45949</v>
      </c>
      <c r="G253" s="96" t="s">
        <v>92</v>
      </c>
      <c r="H253" s="96" t="s">
        <v>3585</v>
      </c>
      <c r="I253" s="96" t="s">
        <v>204</v>
      </c>
      <c r="J253" s="96" t="s">
        <v>173</v>
      </c>
      <c r="K253" s="96" t="s">
        <v>205</v>
      </c>
      <c r="L253">
        <v>10</v>
      </c>
      <c r="M253" t="s">
        <v>15</v>
      </c>
      <c r="N253" t="s">
        <v>16</v>
      </c>
      <c r="O253" t="s">
        <v>152</v>
      </c>
      <c r="P253">
        <v>2025</v>
      </c>
    </row>
    <row r="254" spans="1:16" x14ac:dyDescent="0.25">
      <c r="A254" s="96" t="s">
        <v>175</v>
      </c>
      <c r="B254" s="96" t="s">
        <v>218</v>
      </c>
      <c r="C254" s="96" t="s">
        <v>483</v>
      </c>
      <c r="D254" s="96" t="s">
        <v>40</v>
      </c>
      <c r="E254" s="43">
        <v>46066</v>
      </c>
      <c r="F254" s="43">
        <v>46067</v>
      </c>
      <c r="G254" s="96" t="s">
        <v>90</v>
      </c>
      <c r="H254" s="96" t="s">
        <v>3586</v>
      </c>
      <c r="I254" s="96" t="s">
        <v>157</v>
      </c>
      <c r="J254" s="96" t="s">
        <v>97</v>
      </c>
      <c r="K254" s="96" t="s">
        <v>210</v>
      </c>
      <c r="L254">
        <v>1</v>
      </c>
      <c r="M254" t="s">
        <v>11</v>
      </c>
      <c r="N254" t="s">
        <v>32</v>
      </c>
      <c r="O254" t="s">
        <v>152</v>
      </c>
      <c r="P254">
        <v>2026</v>
      </c>
    </row>
    <row r="255" spans="1:16" hidden="1" x14ac:dyDescent="0.25">
      <c r="A255" s="96" t="s">
        <v>2</v>
      </c>
      <c r="B255" s="96" t="s">
        <v>272</v>
      </c>
      <c r="C255" s="96" t="s">
        <v>485</v>
      </c>
      <c r="D255" s="96" t="s">
        <v>34</v>
      </c>
      <c r="E255" s="43">
        <v>45827</v>
      </c>
      <c r="F255" s="43">
        <v>45940</v>
      </c>
      <c r="G255" s="96" t="s">
        <v>90</v>
      </c>
      <c r="H255" s="96" t="s">
        <v>3587</v>
      </c>
      <c r="I255" s="96" t="s">
        <v>209</v>
      </c>
      <c r="J255" s="96" t="s">
        <v>165</v>
      </c>
      <c r="K255" s="96" t="s">
        <v>230</v>
      </c>
      <c r="L255">
        <v>113</v>
      </c>
      <c r="M255" t="s">
        <v>28</v>
      </c>
      <c r="N255" t="s">
        <v>184</v>
      </c>
      <c r="O255" t="s">
        <v>151</v>
      </c>
      <c r="P255">
        <v>2025</v>
      </c>
    </row>
    <row r="256" spans="1:16" x14ac:dyDescent="0.25">
      <c r="A256" s="96" t="s">
        <v>2</v>
      </c>
      <c r="B256" s="96" t="s">
        <v>244</v>
      </c>
      <c r="C256" s="96" t="s">
        <v>486</v>
      </c>
      <c r="D256" s="96" t="s">
        <v>10</v>
      </c>
      <c r="E256" s="43">
        <v>46058</v>
      </c>
      <c r="F256" s="43">
        <v>46147</v>
      </c>
      <c r="G256" s="96" t="s">
        <v>90</v>
      </c>
      <c r="H256" s="96" t="s">
        <v>3588</v>
      </c>
      <c r="I256" s="96" t="s">
        <v>157</v>
      </c>
      <c r="J256" s="96" t="s">
        <v>169</v>
      </c>
      <c r="K256" s="96" t="s">
        <v>195</v>
      </c>
      <c r="L256">
        <v>89</v>
      </c>
      <c r="M256" t="s">
        <v>28</v>
      </c>
      <c r="N256" t="s">
        <v>32</v>
      </c>
      <c r="O256" t="s">
        <v>150</v>
      </c>
      <c r="P256">
        <v>2026</v>
      </c>
    </row>
    <row r="257" spans="1:16" x14ac:dyDescent="0.25">
      <c r="A257" s="96" t="s">
        <v>2</v>
      </c>
      <c r="B257" s="96" t="s">
        <v>374</v>
      </c>
      <c r="C257" s="96" t="s">
        <v>3589</v>
      </c>
      <c r="D257" s="96" t="s">
        <v>34</v>
      </c>
      <c r="E257" s="43">
        <v>46126</v>
      </c>
      <c r="F257" s="43">
        <v>46147</v>
      </c>
      <c r="G257" s="96" t="s">
        <v>92</v>
      </c>
      <c r="H257" s="96" t="s">
        <v>3590</v>
      </c>
      <c r="I257" s="96" t="s">
        <v>204</v>
      </c>
      <c r="J257" s="96" t="s">
        <v>176</v>
      </c>
      <c r="K257" s="96" t="s">
        <v>205</v>
      </c>
      <c r="L257">
        <v>21</v>
      </c>
      <c r="M257" t="s">
        <v>19</v>
      </c>
      <c r="N257" t="s">
        <v>37</v>
      </c>
      <c r="O257" t="s">
        <v>150</v>
      </c>
      <c r="P257">
        <v>2026</v>
      </c>
    </row>
    <row r="258" spans="1:16" x14ac:dyDescent="0.25">
      <c r="A258" s="96" t="s">
        <v>2</v>
      </c>
      <c r="B258" s="96" t="s">
        <v>226</v>
      </c>
      <c r="C258" s="96" t="s">
        <v>487</v>
      </c>
      <c r="D258" s="96" t="s">
        <v>192</v>
      </c>
      <c r="E258" s="43">
        <v>46097</v>
      </c>
      <c r="F258" s="43">
        <v>46115</v>
      </c>
      <c r="G258" s="96" t="s">
        <v>92</v>
      </c>
      <c r="H258" s="96" t="s">
        <v>3591</v>
      </c>
      <c r="I258" s="96" t="s">
        <v>209</v>
      </c>
      <c r="J258" s="96" t="s">
        <v>229</v>
      </c>
      <c r="K258" s="96" t="s">
        <v>157</v>
      </c>
      <c r="L258">
        <v>18</v>
      </c>
      <c r="M258" t="s">
        <v>19</v>
      </c>
      <c r="N258" t="s">
        <v>35</v>
      </c>
      <c r="O258" t="s">
        <v>151</v>
      </c>
      <c r="P258">
        <v>2026</v>
      </c>
    </row>
    <row r="259" spans="1:16" hidden="1" x14ac:dyDescent="0.25">
      <c r="A259" s="96" t="s">
        <v>2</v>
      </c>
      <c r="B259" s="96" t="s">
        <v>190</v>
      </c>
      <c r="C259" s="96" t="s">
        <v>490</v>
      </c>
      <c r="D259" s="96" t="s">
        <v>34</v>
      </c>
      <c r="E259" s="43">
        <v>45903</v>
      </c>
      <c r="F259" s="43">
        <v>45965</v>
      </c>
      <c r="G259" s="96" t="s">
        <v>92</v>
      </c>
      <c r="H259" s="96" t="s">
        <v>480</v>
      </c>
      <c r="I259" s="96" t="s">
        <v>228</v>
      </c>
      <c r="J259" s="96" t="s">
        <v>229</v>
      </c>
      <c r="K259" s="96" t="s">
        <v>210</v>
      </c>
      <c r="L259">
        <v>62</v>
      </c>
      <c r="M259" t="s">
        <v>28</v>
      </c>
      <c r="N259" t="s">
        <v>12</v>
      </c>
      <c r="O259" t="s">
        <v>150</v>
      </c>
      <c r="P259">
        <v>2025</v>
      </c>
    </row>
    <row r="260" spans="1:16" hidden="1" x14ac:dyDescent="0.25">
      <c r="A260" s="96" t="s">
        <v>2</v>
      </c>
      <c r="B260" s="96" t="s">
        <v>231</v>
      </c>
      <c r="C260" s="96" t="s">
        <v>492</v>
      </c>
      <c r="D260" s="96" t="s">
        <v>237</v>
      </c>
      <c r="E260" s="43">
        <v>45678</v>
      </c>
      <c r="F260" s="43">
        <v>45793</v>
      </c>
      <c r="G260" s="96" t="s">
        <v>92</v>
      </c>
      <c r="H260" s="96" t="s">
        <v>3592</v>
      </c>
      <c r="I260" s="96" t="s">
        <v>228</v>
      </c>
      <c r="J260" s="96" t="s">
        <v>172</v>
      </c>
      <c r="K260" s="96" t="s">
        <v>230</v>
      </c>
      <c r="L260">
        <v>115</v>
      </c>
      <c r="M260" t="s">
        <v>28</v>
      </c>
      <c r="N260" t="s">
        <v>181</v>
      </c>
      <c r="O260" t="s">
        <v>170</v>
      </c>
      <c r="P260">
        <v>2025</v>
      </c>
    </row>
    <row r="261" spans="1:16" x14ac:dyDescent="0.25">
      <c r="A261" s="96" t="s">
        <v>21</v>
      </c>
      <c r="B261" s="96" t="s">
        <v>274</v>
      </c>
      <c r="C261" s="96" t="s">
        <v>3593</v>
      </c>
      <c r="D261" s="96" t="s">
        <v>192</v>
      </c>
      <c r="E261" s="43">
        <v>46078</v>
      </c>
      <c r="F261" s="43">
        <v>46136</v>
      </c>
      <c r="G261" s="96" t="s">
        <v>92</v>
      </c>
      <c r="H261" s="96" t="s">
        <v>3594</v>
      </c>
      <c r="I261" s="96" t="s">
        <v>157</v>
      </c>
      <c r="J261" s="96" t="s">
        <v>229</v>
      </c>
      <c r="K261" s="96" t="s">
        <v>157</v>
      </c>
      <c r="L261">
        <v>58</v>
      </c>
      <c r="M261" t="s">
        <v>24</v>
      </c>
      <c r="N261" t="s">
        <v>32</v>
      </c>
      <c r="O261" t="s">
        <v>170</v>
      </c>
      <c r="P261">
        <v>2026</v>
      </c>
    </row>
    <row r="262" spans="1:16" x14ac:dyDescent="0.25">
      <c r="A262" s="96" t="s">
        <v>21</v>
      </c>
      <c r="B262" s="96" t="s">
        <v>226</v>
      </c>
      <c r="C262" s="96" t="s">
        <v>494</v>
      </c>
      <c r="D262" s="96" t="s">
        <v>208</v>
      </c>
      <c r="E262" s="43">
        <v>46047</v>
      </c>
      <c r="F262" s="43">
        <v>46070</v>
      </c>
      <c r="G262" s="96" t="s">
        <v>92</v>
      </c>
      <c r="H262" s="96" t="s">
        <v>484</v>
      </c>
      <c r="I262" s="96" t="s">
        <v>209</v>
      </c>
      <c r="J262" s="96" t="s">
        <v>173</v>
      </c>
      <c r="K262" s="96" t="s">
        <v>157</v>
      </c>
      <c r="L262">
        <v>23</v>
      </c>
      <c r="M262" t="s">
        <v>19</v>
      </c>
      <c r="N262" t="s">
        <v>29</v>
      </c>
      <c r="O262" t="s">
        <v>151</v>
      </c>
      <c r="P262">
        <v>2026</v>
      </c>
    </row>
    <row r="263" spans="1:16" x14ac:dyDescent="0.25">
      <c r="A263" s="96" t="s">
        <v>2</v>
      </c>
      <c r="B263" s="96" t="s">
        <v>218</v>
      </c>
      <c r="C263" s="96" t="s">
        <v>3595</v>
      </c>
      <c r="D263" s="96" t="s">
        <v>223</v>
      </c>
      <c r="E263" s="43">
        <v>46133</v>
      </c>
      <c r="F263" s="43">
        <v>46148</v>
      </c>
      <c r="G263" s="96" t="s">
        <v>92</v>
      </c>
      <c r="H263" s="96" t="s">
        <v>3596</v>
      </c>
      <c r="I263" s="96" t="s">
        <v>228</v>
      </c>
      <c r="J263" s="96" t="s">
        <v>199</v>
      </c>
      <c r="K263" s="96" t="s">
        <v>217</v>
      </c>
      <c r="L263">
        <v>15</v>
      </c>
      <c r="M263" t="s">
        <v>19</v>
      </c>
      <c r="N263" t="s">
        <v>37</v>
      </c>
      <c r="O263" t="s">
        <v>152</v>
      </c>
      <c r="P263">
        <v>2026</v>
      </c>
    </row>
    <row r="264" spans="1:16" hidden="1" x14ac:dyDescent="0.25">
      <c r="A264" s="96" t="s">
        <v>2</v>
      </c>
      <c r="B264" s="96" t="s">
        <v>257</v>
      </c>
      <c r="C264" s="96" t="s">
        <v>497</v>
      </c>
      <c r="D264" s="96" t="s">
        <v>223</v>
      </c>
      <c r="E264" s="43">
        <v>45971</v>
      </c>
      <c r="F264" s="43">
        <v>46007</v>
      </c>
      <c r="G264" s="96" t="s">
        <v>90</v>
      </c>
      <c r="H264" s="96" t="s">
        <v>3597</v>
      </c>
      <c r="I264" s="96" t="s">
        <v>228</v>
      </c>
      <c r="J264" s="96" t="s">
        <v>98</v>
      </c>
      <c r="K264" s="96" t="s">
        <v>246</v>
      </c>
      <c r="L264">
        <v>36</v>
      </c>
      <c r="M264" t="s">
        <v>24</v>
      </c>
      <c r="N264" t="s">
        <v>20</v>
      </c>
      <c r="O264" t="s">
        <v>151</v>
      </c>
      <c r="P264">
        <v>2025</v>
      </c>
    </row>
    <row r="265" spans="1:16" x14ac:dyDescent="0.25">
      <c r="A265" s="96" t="s">
        <v>2</v>
      </c>
      <c r="B265" s="96" t="s">
        <v>226</v>
      </c>
      <c r="C265" s="96" t="s">
        <v>498</v>
      </c>
      <c r="D265" s="96" t="s">
        <v>237</v>
      </c>
      <c r="E265" s="43">
        <v>46143</v>
      </c>
      <c r="F265" s="43">
        <v>46147</v>
      </c>
      <c r="G265" s="96" t="s">
        <v>92</v>
      </c>
      <c r="H265" s="96" t="s">
        <v>3598</v>
      </c>
      <c r="I265" s="96" t="s">
        <v>194</v>
      </c>
      <c r="J265" s="96" t="s">
        <v>169</v>
      </c>
      <c r="K265" s="96" t="s">
        <v>230</v>
      </c>
      <c r="L265">
        <v>4</v>
      </c>
      <c r="M265" t="s">
        <v>11</v>
      </c>
      <c r="N265" t="s">
        <v>183</v>
      </c>
      <c r="O265" t="s">
        <v>151</v>
      </c>
      <c r="P265">
        <v>2026</v>
      </c>
    </row>
    <row r="266" spans="1:16" hidden="1" x14ac:dyDescent="0.25">
      <c r="A266" s="96" t="s">
        <v>2</v>
      </c>
      <c r="B266" s="96" t="s">
        <v>247</v>
      </c>
      <c r="C266" s="96" t="s">
        <v>499</v>
      </c>
      <c r="D266" s="96" t="s">
        <v>40</v>
      </c>
      <c r="E266" s="43">
        <v>45963</v>
      </c>
      <c r="F266" s="43">
        <v>45971</v>
      </c>
      <c r="G266" s="96" t="s">
        <v>92</v>
      </c>
      <c r="H266" s="96" t="s">
        <v>488</v>
      </c>
      <c r="I266" s="96" t="s">
        <v>225</v>
      </c>
      <c r="J266" s="96" t="s">
        <v>177</v>
      </c>
      <c r="K266" s="96" t="s">
        <v>157</v>
      </c>
      <c r="L266">
        <v>8</v>
      </c>
      <c r="M266" t="s">
        <v>15</v>
      </c>
      <c r="N266" t="s">
        <v>20</v>
      </c>
      <c r="O266" t="s">
        <v>150</v>
      </c>
      <c r="P266">
        <v>2025</v>
      </c>
    </row>
    <row r="267" spans="1:16" hidden="1" x14ac:dyDescent="0.25">
      <c r="A267" s="96" t="s">
        <v>2</v>
      </c>
      <c r="B267" s="96" t="s">
        <v>322</v>
      </c>
      <c r="C267" s="96" t="s">
        <v>3599</v>
      </c>
      <c r="D267" s="96" t="s">
        <v>40</v>
      </c>
      <c r="E267" s="43">
        <v>45776</v>
      </c>
      <c r="F267" s="43">
        <v>45855</v>
      </c>
      <c r="G267" s="96" t="s">
        <v>90</v>
      </c>
      <c r="H267" s="96" t="s">
        <v>489</v>
      </c>
      <c r="I267" s="96" t="s">
        <v>157</v>
      </c>
      <c r="J267" s="96" t="s">
        <v>176</v>
      </c>
      <c r="K267" s="96" t="s">
        <v>200</v>
      </c>
      <c r="L267">
        <v>79</v>
      </c>
      <c r="M267" t="s">
        <v>28</v>
      </c>
      <c r="N267" t="s">
        <v>185</v>
      </c>
      <c r="O267" t="s">
        <v>150</v>
      </c>
      <c r="P267">
        <v>2025</v>
      </c>
    </row>
    <row r="268" spans="1:16" hidden="1" x14ac:dyDescent="0.25">
      <c r="A268" s="96" t="s">
        <v>2</v>
      </c>
      <c r="B268" s="96" t="s">
        <v>322</v>
      </c>
      <c r="C268" s="96" t="s">
        <v>500</v>
      </c>
      <c r="D268" s="96" t="s">
        <v>203</v>
      </c>
      <c r="E268" s="43">
        <v>45865</v>
      </c>
      <c r="F268" s="43">
        <v>45941</v>
      </c>
      <c r="G268" s="96" t="s">
        <v>92</v>
      </c>
      <c r="H268" s="96" t="s">
        <v>491</v>
      </c>
      <c r="I268" s="96" t="s">
        <v>228</v>
      </c>
      <c r="J268" s="96" t="s">
        <v>97</v>
      </c>
      <c r="K268" s="96" t="s">
        <v>200</v>
      </c>
      <c r="L268">
        <v>76</v>
      </c>
      <c r="M268" t="s">
        <v>28</v>
      </c>
      <c r="N268" t="s">
        <v>187</v>
      </c>
      <c r="O268" t="s">
        <v>150</v>
      </c>
      <c r="P268">
        <v>2025</v>
      </c>
    </row>
    <row r="269" spans="1:16" x14ac:dyDescent="0.25">
      <c r="A269" s="96" t="s">
        <v>2</v>
      </c>
      <c r="B269" s="96" t="s">
        <v>288</v>
      </c>
      <c r="C269" s="96" t="s">
        <v>502</v>
      </c>
      <c r="D269" s="96" t="s">
        <v>34</v>
      </c>
      <c r="E269" s="43">
        <v>46093</v>
      </c>
      <c r="F269" s="43">
        <v>46122</v>
      </c>
      <c r="G269" s="96" t="s">
        <v>92</v>
      </c>
      <c r="H269" s="96" t="s">
        <v>3600</v>
      </c>
      <c r="I269" s="96" t="s">
        <v>194</v>
      </c>
      <c r="J269" s="96" t="s">
        <v>169</v>
      </c>
      <c r="K269" s="96" t="s">
        <v>233</v>
      </c>
      <c r="L269">
        <v>29</v>
      </c>
      <c r="M269" t="s">
        <v>19</v>
      </c>
      <c r="N269" t="s">
        <v>35</v>
      </c>
      <c r="O269" t="s">
        <v>170</v>
      </c>
      <c r="P269">
        <v>2026</v>
      </c>
    </row>
    <row r="270" spans="1:16" hidden="1" x14ac:dyDescent="0.25">
      <c r="A270" s="96" t="s">
        <v>175</v>
      </c>
      <c r="B270" s="96" t="s">
        <v>206</v>
      </c>
      <c r="C270" s="96" t="s">
        <v>3601</v>
      </c>
      <c r="D270" s="96" t="s">
        <v>208</v>
      </c>
      <c r="E270" s="43">
        <v>45915</v>
      </c>
      <c r="F270" s="43">
        <v>45953</v>
      </c>
      <c r="G270" s="96" t="s">
        <v>95</v>
      </c>
      <c r="H270" s="96" t="s">
        <v>3602</v>
      </c>
      <c r="I270" s="96" t="s">
        <v>194</v>
      </c>
      <c r="J270" s="96" t="s">
        <v>216</v>
      </c>
      <c r="K270" s="96" t="s">
        <v>205</v>
      </c>
      <c r="L270">
        <v>38</v>
      </c>
      <c r="M270" t="s">
        <v>24</v>
      </c>
      <c r="N270" t="s">
        <v>12</v>
      </c>
      <c r="O270" t="s">
        <v>152</v>
      </c>
      <c r="P270">
        <v>2025</v>
      </c>
    </row>
    <row r="271" spans="1:16" x14ac:dyDescent="0.25">
      <c r="A271" s="96" t="s">
        <v>2</v>
      </c>
      <c r="B271" s="96" t="s">
        <v>317</v>
      </c>
      <c r="C271" s="96" t="s">
        <v>3603</v>
      </c>
      <c r="D271" s="96" t="s">
        <v>215</v>
      </c>
      <c r="E271" s="43">
        <v>46140</v>
      </c>
      <c r="F271" s="43">
        <v>46148</v>
      </c>
      <c r="G271" s="96" t="s">
        <v>92</v>
      </c>
      <c r="H271" s="96" t="s">
        <v>493</v>
      </c>
      <c r="I271" s="96" t="s">
        <v>157</v>
      </c>
      <c r="J271" s="96" t="s">
        <v>174</v>
      </c>
      <c r="K271" s="96" t="s">
        <v>217</v>
      </c>
      <c r="L271">
        <v>8</v>
      </c>
      <c r="M271" t="s">
        <v>15</v>
      </c>
      <c r="N271" t="s">
        <v>37</v>
      </c>
      <c r="O271" t="s">
        <v>170</v>
      </c>
      <c r="P271">
        <v>2026</v>
      </c>
    </row>
    <row r="272" spans="1:16" x14ac:dyDescent="0.25">
      <c r="A272" s="96" t="s">
        <v>2</v>
      </c>
      <c r="B272" s="96" t="s">
        <v>218</v>
      </c>
      <c r="C272" s="96" t="s">
        <v>3604</v>
      </c>
      <c r="D272" s="96" t="s">
        <v>14</v>
      </c>
      <c r="E272" s="43">
        <v>46025</v>
      </c>
      <c r="F272" s="43">
        <v>46115</v>
      </c>
      <c r="G272" s="96" t="s">
        <v>92</v>
      </c>
      <c r="H272" s="96" t="s">
        <v>495</v>
      </c>
      <c r="I272" s="96" t="s">
        <v>228</v>
      </c>
      <c r="J272" s="96" t="s">
        <v>229</v>
      </c>
      <c r="K272" s="96" t="s">
        <v>246</v>
      </c>
      <c r="L272">
        <v>90</v>
      </c>
      <c r="M272" t="s">
        <v>28</v>
      </c>
      <c r="N272" t="s">
        <v>29</v>
      </c>
      <c r="O272" t="s">
        <v>152</v>
      </c>
      <c r="P272">
        <v>2026</v>
      </c>
    </row>
    <row r="273" spans="1:16" hidden="1" x14ac:dyDescent="0.25">
      <c r="A273" s="96" t="s">
        <v>2</v>
      </c>
      <c r="B273" s="96" t="s">
        <v>238</v>
      </c>
      <c r="C273" s="96" t="s">
        <v>3605</v>
      </c>
      <c r="D273" s="96" t="s">
        <v>215</v>
      </c>
      <c r="E273" s="43">
        <v>45769</v>
      </c>
      <c r="F273" s="43">
        <v>45884</v>
      </c>
      <c r="G273" s="96" t="s">
        <v>90</v>
      </c>
      <c r="H273" s="96" t="s">
        <v>3606</v>
      </c>
      <c r="I273" s="96" t="s">
        <v>225</v>
      </c>
      <c r="J273" s="96" t="s">
        <v>94</v>
      </c>
      <c r="K273" s="96" t="s">
        <v>230</v>
      </c>
      <c r="L273">
        <v>115</v>
      </c>
      <c r="M273" t="s">
        <v>28</v>
      </c>
      <c r="N273" t="s">
        <v>185</v>
      </c>
      <c r="O273" t="s">
        <v>170</v>
      </c>
      <c r="P273">
        <v>2025</v>
      </c>
    </row>
    <row r="274" spans="1:16" x14ac:dyDescent="0.25">
      <c r="A274" s="96" t="s">
        <v>2</v>
      </c>
      <c r="B274" s="96" t="s">
        <v>261</v>
      </c>
      <c r="C274" s="96" t="s">
        <v>3607</v>
      </c>
      <c r="D274" s="96" t="s">
        <v>237</v>
      </c>
      <c r="E274" s="43">
        <v>46118</v>
      </c>
      <c r="F274" s="43">
        <v>46149</v>
      </c>
      <c r="G274" s="96" t="s">
        <v>95</v>
      </c>
      <c r="H274" s="96" t="s">
        <v>496</v>
      </c>
      <c r="I274" s="96" t="s">
        <v>225</v>
      </c>
      <c r="J274" s="96" t="s">
        <v>173</v>
      </c>
      <c r="K274" s="96" t="s">
        <v>195</v>
      </c>
      <c r="L274">
        <v>31</v>
      </c>
      <c r="M274" t="s">
        <v>24</v>
      </c>
      <c r="N274" t="s">
        <v>37</v>
      </c>
      <c r="O274" t="s">
        <v>151</v>
      </c>
      <c r="P274">
        <v>2026</v>
      </c>
    </row>
    <row r="275" spans="1:16" hidden="1" x14ac:dyDescent="0.25">
      <c r="A275" s="96" t="s">
        <v>2</v>
      </c>
      <c r="B275" s="96" t="s">
        <v>221</v>
      </c>
      <c r="C275" s="96" t="s">
        <v>504</v>
      </c>
      <c r="D275" s="96" t="s">
        <v>208</v>
      </c>
      <c r="E275" s="43">
        <v>45874</v>
      </c>
      <c r="F275" s="43">
        <v>45936</v>
      </c>
      <c r="G275" s="96" t="s">
        <v>92</v>
      </c>
      <c r="H275" s="96" t="s">
        <v>3608</v>
      </c>
      <c r="I275" s="96" t="s">
        <v>9</v>
      </c>
      <c r="J275" s="96" t="s">
        <v>169</v>
      </c>
      <c r="K275" s="96" t="s">
        <v>246</v>
      </c>
      <c r="L275">
        <v>62</v>
      </c>
      <c r="M275" t="s">
        <v>28</v>
      </c>
      <c r="N275" t="s">
        <v>8</v>
      </c>
      <c r="O275" t="s">
        <v>170</v>
      </c>
      <c r="P275">
        <v>2025</v>
      </c>
    </row>
    <row r="276" spans="1:16" hidden="1" x14ac:dyDescent="0.25">
      <c r="A276" s="96" t="s">
        <v>2</v>
      </c>
      <c r="B276" s="96" t="s">
        <v>247</v>
      </c>
      <c r="C276" s="96" t="s">
        <v>505</v>
      </c>
      <c r="D276" s="96" t="s">
        <v>34</v>
      </c>
      <c r="E276" s="43">
        <v>45662</v>
      </c>
      <c r="F276" s="43">
        <v>45664</v>
      </c>
      <c r="G276" s="96" t="s">
        <v>92</v>
      </c>
      <c r="H276" s="96" t="s">
        <v>3609</v>
      </c>
      <c r="I276" s="96" t="s">
        <v>228</v>
      </c>
      <c r="J276" s="96" t="s">
        <v>168</v>
      </c>
      <c r="K276" s="96" t="s">
        <v>205</v>
      </c>
      <c r="L276">
        <v>2</v>
      </c>
      <c r="M276" t="s">
        <v>11</v>
      </c>
      <c r="N276" t="s">
        <v>181</v>
      </c>
      <c r="O276" t="s">
        <v>150</v>
      </c>
      <c r="P276">
        <v>2025</v>
      </c>
    </row>
    <row r="277" spans="1:16" hidden="1" x14ac:dyDescent="0.25">
      <c r="A277" s="96" t="s">
        <v>175</v>
      </c>
      <c r="B277" s="96" t="s">
        <v>231</v>
      </c>
      <c r="C277" s="96" t="s">
        <v>3610</v>
      </c>
      <c r="D277" s="96" t="s">
        <v>237</v>
      </c>
      <c r="E277" s="43">
        <v>45950</v>
      </c>
      <c r="F277" s="43">
        <v>45967</v>
      </c>
      <c r="G277" s="96" t="s">
        <v>90</v>
      </c>
      <c r="H277" s="96" t="s">
        <v>3611</v>
      </c>
      <c r="I277" s="96" t="s">
        <v>225</v>
      </c>
      <c r="J277" s="96" t="s">
        <v>173</v>
      </c>
      <c r="K277" s="96" t="s">
        <v>210</v>
      </c>
      <c r="L277">
        <v>17</v>
      </c>
      <c r="M277" t="s">
        <v>19</v>
      </c>
      <c r="N277" t="s">
        <v>16</v>
      </c>
      <c r="O277" t="s">
        <v>170</v>
      </c>
      <c r="P277">
        <v>2025</v>
      </c>
    </row>
    <row r="278" spans="1:16" hidden="1" x14ac:dyDescent="0.25">
      <c r="A278" s="96" t="s">
        <v>2</v>
      </c>
      <c r="B278" s="96" t="s">
        <v>272</v>
      </c>
      <c r="C278" s="96" t="s">
        <v>3612</v>
      </c>
      <c r="D278" s="96" t="s">
        <v>203</v>
      </c>
      <c r="E278" s="43">
        <v>45662</v>
      </c>
      <c r="F278" s="43">
        <v>45685</v>
      </c>
      <c r="G278" s="96" t="s">
        <v>90</v>
      </c>
      <c r="H278" s="96" t="s">
        <v>3613</v>
      </c>
      <c r="I278" s="96" t="s">
        <v>209</v>
      </c>
      <c r="J278" s="96" t="s">
        <v>174</v>
      </c>
      <c r="K278" s="96" t="s">
        <v>246</v>
      </c>
      <c r="L278">
        <v>23</v>
      </c>
      <c r="M278" t="s">
        <v>19</v>
      </c>
      <c r="N278" t="s">
        <v>181</v>
      </c>
      <c r="O278" t="s">
        <v>151</v>
      </c>
      <c r="P278">
        <v>2025</v>
      </c>
    </row>
    <row r="279" spans="1:16" hidden="1" x14ac:dyDescent="0.25">
      <c r="A279" s="96" t="s">
        <v>2</v>
      </c>
      <c r="B279" s="96" t="s">
        <v>221</v>
      </c>
      <c r="C279" s="96" t="s">
        <v>3614</v>
      </c>
      <c r="D279" s="96" t="s">
        <v>40</v>
      </c>
      <c r="E279" s="43">
        <v>45945</v>
      </c>
      <c r="F279" s="43">
        <v>46055</v>
      </c>
      <c r="G279" s="96" t="s">
        <v>90</v>
      </c>
      <c r="H279" s="96" t="s">
        <v>3615</v>
      </c>
      <c r="I279" s="96" t="s">
        <v>194</v>
      </c>
      <c r="J279" s="96" t="s">
        <v>199</v>
      </c>
      <c r="K279" s="96" t="s">
        <v>246</v>
      </c>
      <c r="L279">
        <v>110</v>
      </c>
      <c r="M279" t="s">
        <v>28</v>
      </c>
      <c r="N279" t="s">
        <v>16</v>
      </c>
      <c r="O279" t="s">
        <v>170</v>
      </c>
      <c r="P279">
        <v>2025</v>
      </c>
    </row>
    <row r="280" spans="1:16" hidden="1" x14ac:dyDescent="0.25">
      <c r="A280" s="96" t="s">
        <v>2</v>
      </c>
      <c r="B280" s="96" t="s">
        <v>253</v>
      </c>
      <c r="C280" s="96" t="s">
        <v>506</v>
      </c>
      <c r="D280" s="96" t="s">
        <v>237</v>
      </c>
      <c r="E280" s="43">
        <v>45791</v>
      </c>
      <c r="F280" s="43">
        <v>45838</v>
      </c>
      <c r="G280" s="96" t="s">
        <v>90</v>
      </c>
      <c r="H280" s="96" t="s">
        <v>3616</v>
      </c>
      <c r="I280" s="96" t="s">
        <v>9</v>
      </c>
      <c r="J280" s="96" t="s">
        <v>97</v>
      </c>
      <c r="K280" s="96" t="s">
        <v>205</v>
      </c>
      <c r="L280">
        <v>47</v>
      </c>
      <c r="M280" t="s">
        <v>24</v>
      </c>
      <c r="N280" t="s">
        <v>182</v>
      </c>
      <c r="O280" t="s">
        <v>152</v>
      </c>
      <c r="P280">
        <v>2025</v>
      </c>
    </row>
    <row r="281" spans="1:16" hidden="1" x14ac:dyDescent="0.25">
      <c r="A281" s="96" t="s">
        <v>171</v>
      </c>
      <c r="B281" s="96" t="s">
        <v>231</v>
      </c>
      <c r="C281" s="96" t="s">
        <v>507</v>
      </c>
      <c r="D281" s="96" t="s">
        <v>208</v>
      </c>
      <c r="E281" s="43">
        <v>45990</v>
      </c>
      <c r="F281" s="43">
        <v>46074</v>
      </c>
      <c r="G281" s="96" t="s">
        <v>92</v>
      </c>
      <c r="H281" s="96" t="s">
        <v>501</v>
      </c>
      <c r="I281" s="96" t="s">
        <v>157</v>
      </c>
      <c r="J281" s="96" t="s">
        <v>93</v>
      </c>
      <c r="K281" s="96" t="s">
        <v>233</v>
      </c>
      <c r="L281">
        <v>84</v>
      </c>
      <c r="M281" t="s">
        <v>28</v>
      </c>
      <c r="N281" t="s">
        <v>20</v>
      </c>
      <c r="O281" t="s">
        <v>170</v>
      </c>
      <c r="P281">
        <v>2025</v>
      </c>
    </row>
    <row r="282" spans="1:16" hidden="1" x14ac:dyDescent="0.25">
      <c r="A282" s="96" t="s">
        <v>2</v>
      </c>
      <c r="B282" s="96" t="s">
        <v>190</v>
      </c>
      <c r="C282" s="96" t="s">
        <v>508</v>
      </c>
      <c r="D282" s="96" t="s">
        <v>14</v>
      </c>
      <c r="E282" s="43">
        <v>45804</v>
      </c>
      <c r="F282" s="43">
        <v>45864</v>
      </c>
      <c r="G282" s="96" t="s">
        <v>95</v>
      </c>
      <c r="H282" s="96" t="s">
        <v>503</v>
      </c>
      <c r="I282" s="96" t="s">
        <v>9</v>
      </c>
      <c r="J282" s="96" t="s">
        <v>229</v>
      </c>
      <c r="K282" s="96" t="s">
        <v>200</v>
      </c>
      <c r="L282">
        <v>60</v>
      </c>
      <c r="M282" t="s">
        <v>24</v>
      </c>
      <c r="N282" t="s">
        <v>182</v>
      </c>
      <c r="O282" t="s">
        <v>150</v>
      </c>
      <c r="P282">
        <v>2025</v>
      </c>
    </row>
    <row r="283" spans="1:16" hidden="1" x14ac:dyDescent="0.25">
      <c r="A283" s="96" t="s">
        <v>2</v>
      </c>
      <c r="B283" s="96" t="s">
        <v>211</v>
      </c>
      <c r="C283" s="96" t="s">
        <v>3617</v>
      </c>
      <c r="D283" s="96" t="s">
        <v>215</v>
      </c>
      <c r="E283" s="43">
        <v>45752</v>
      </c>
      <c r="F283" s="43">
        <v>45862</v>
      </c>
      <c r="G283" s="96" t="s">
        <v>90</v>
      </c>
      <c r="H283" s="96" t="s">
        <v>3618</v>
      </c>
      <c r="I283" s="96" t="s">
        <v>225</v>
      </c>
      <c r="J283" s="96" t="s">
        <v>176</v>
      </c>
      <c r="K283" s="96" t="s">
        <v>233</v>
      </c>
      <c r="L283">
        <v>110</v>
      </c>
      <c r="M283" t="s">
        <v>28</v>
      </c>
      <c r="N283" t="s">
        <v>185</v>
      </c>
      <c r="O283" t="s">
        <v>170</v>
      </c>
      <c r="P283">
        <v>2025</v>
      </c>
    </row>
    <row r="284" spans="1:16" hidden="1" x14ac:dyDescent="0.25">
      <c r="A284" s="96" t="s">
        <v>2</v>
      </c>
      <c r="B284" s="96" t="s">
        <v>190</v>
      </c>
      <c r="C284" s="96" t="s">
        <v>509</v>
      </c>
      <c r="D284" s="96" t="s">
        <v>203</v>
      </c>
      <c r="E284" s="43">
        <v>45857</v>
      </c>
      <c r="F284" s="43">
        <v>45897</v>
      </c>
      <c r="G284" s="96" t="s">
        <v>92</v>
      </c>
      <c r="H284" s="96" t="s">
        <v>3619</v>
      </c>
      <c r="I284" s="96" t="s">
        <v>157</v>
      </c>
      <c r="J284" s="96" t="s">
        <v>229</v>
      </c>
      <c r="K284" s="96" t="s">
        <v>195</v>
      </c>
      <c r="L284">
        <v>40</v>
      </c>
      <c r="M284" t="s">
        <v>24</v>
      </c>
      <c r="N284" t="s">
        <v>187</v>
      </c>
      <c r="O284" t="s">
        <v>150</v>
      </c>
      <c r="P284">
        <v>2025</v>
      </c>
    </row>
    <row r="285" spans="1:16" hidden="1" x14ac:dyDescent="0.25">
      <c r="A285" s="96" t="s">
        <v>2</v>
      </c>
      <c r="B285" s="96" t="s">
        <v>280</v>
      </c>
      <c r="C285" s="96" t="s">
        <v>510</v>
      </c>
      <c r="D285" s="96" t="s">
        <v>208</v>
      </c>
      <c r="E285" s="43">
        <v>45891</v>
      </c>
      <c r="F285" s="43">
        <v>45972</v>
      </c>
      <c r="G285" s="96" t="s">
        <v>90</v>
      </c>
      <c r="H285" s="96" t="s">
        <v>3620</v>
      </c>
      <c r="I285" s="96" t="s">
        <v>228</v>
      </c>
      <c r="J285" s="96" t="s">
        <v>94</v>
      </c>
      <c r="K285" s="96" t="s">
        <v>233</v>
      </c>
      <c r="L285">
        <v>81</v>
      </c>
      <c r="M285" t="s">
        <v>28</v>
      </c>
      <c r="N285" t="s">
        <v>8</v>
      </c>
      <c r="O285" t="s">
        <v>170</v>
      </c>
      <c r="P285">
        <v>2025</v>
      </c>
    </row>
    <row r="286" spans="1:16" hidden="1" x14ac:dyDescent="0.25">
      <c r="A286" s="96" t="s">
        <v>2</v>
      </c>
      <c r="B286" s="96" t="s">
        <v>206</v>
      </c>
      <c r="C286" s="96" t="s">
        <v>3621</v>
      </c>
      <c r="D286" s="96" t="s">
        <v>40</v>
      </c>
      <c r="E286" s="43">
        <v>45845</v>
      </c>
      <c r="F286" s="43">
        <v>45898</v>
      </c>
      <c r="G286" s="96" t="s">
        <v>92</v>
      </c>
      <c r="H286" s="96" t="s">
        <v>3622</v>
      </c>
      <c r="I286" s="96" t="s">
        <v>194</v>
      </c>
      <c r="J286" s="96" t="s">
        <v>98</v>
      </c>
      <c r="K286" s="96" t="s">
        <v>195</v>
      </c>
      <c r="L286">
        <v>53</v>
      </c>
      <c r="M286" t="s">
        <v>24</v>
      </c>
      <c r="N286" t="s">
        <v>187</v>
      </c>
      <c r="O286" t="s">
        <v>152</v>
      </c>
      <c r="P286">
        <v>2025</v>
      </c>
    </row>
    <row r="287" spans="1:16" hidden="1" x14ac:dyDescent="0.25">
      <c r="A287" s="96" t="s">
        <v>2</v>
      </c>
      <c r="B287" s="96" t="s">
        <v>272</v>
      </c>
      <c r="C287" s="96" t="s">
        <v>3623</v>
      </c>
      <c r="D287" s="96" t="s">
        <v>10</v>
      </c>
      <c r="E287" s="43">
        <v>45909</v>
      </c>
      <c r="F287" s="43">
        <v>46006</v>
      </c>
      <c r="G287" s="96" t="s">
        <v>92</v>
      </c>
      <c r="H287" s="96" t="s">
        <v>3624</v>
      </c>
      <c r="I287" s="96" t="s">
        <v>228</v>
      </c>
      <c r="J287" s="96" t="s">
        <v>97</v>
      </c>
      <c r="K287" s="96" t="s">
        <v>205</v>
      </c>
      <c r="L287">
        <v>97</v>
      </c>
      <c r="M287" t="s">
        <v>28</v>
      </c>
      <c r="N287" t="s">
        <v>12</v>
      </c>
      <c r="O287" t="s">
        <v>151</v>
      </c>
      <c r="P287">
        <v>2025</v>
      </c>
    </row>
    <row r="288" spans="1:16" hidden="1" x14ac:dyDescent="0.25">
      <c r="A288" s="96" t="s">
        <v>2</v>
      </c>
      <c r="B288" s="96" t="s">
        <v>257</v>
      </c>
      <c r="C288" s="96" t="s">
        <v>3625</v>
      </c>
      <c r="D288" s="96" t="s">
        <v>215</v>
      </c>
      <c r="E288" s="43">
        <v>45945</v>
      </c>
      <c r="F288" s="43">
        <v>46001</v>
      </c>
      <c r="G288" s="96" t="s">
        <v>90</v>
      </c>
      <c r="H288" s="96" t="s">
        <v>3626</v>
      </c>
      <c r="I288" s="96" t="s">
        <v>204</v>
      </c>
      <c r="J288" s="96" t="s">
        <v>165</v>
      </c>
      <c r="K288" s="96" t="s">
        <v>217</v>
      </c>
      <c r="L288">
        <v>56</v>
      </c>
      <c r="M288" t="s">
        <v>24</v>
      </c>
      <c r="N288" t="s">
        <v>16</v>
      </c>
      <c r="O288" t="s">
        <v>151</v>
      </c>
      <c r="P288">
        <v>2025</v>
      </c>
    </row>
    <row r="289" spans="1:16" hidden="1" x14ac:dyDescent="0.25">
      <c r="A289" s="96" t="s">
        <v>2</v>
      </c>
      <c r="B289" s="96" t="s">
        <v>238</v>
      </c>
      <c r="C289" s="96" t="s">
        <v>511</v>
      </c>
      <c r="D289" s="96" t="s">
        <v>215</v>
      </c>
      <c r="E289" s="43">
        <v>45922</v>
      </c>
      <c r="F289" s="43">
        <v>46020</v>
      </c>
      <c r="G289" s="96" t="s">
        <v>90</v>
      </c>
      <c r="H289" s="96" t="s">
        <v>3627</v>
      </c>
      <c r="I289" s="96" t="s">
        <v>157</v>
      </c>
      <c r="J289" s="96" t="s">
        <v>165</v>
      </c>
      <c r="K289" s="96" t="s">
        <v>210</v>
      </c>
      <c r="L289">
        <v>98</v>
      </c>
      <c r="M289" t="s">
        <v>28</v>
      </c>
      <c r="N289" t="s">
        <v>12</v>
      </c>
      <c r="O289" t="s">
        <v>170</v>
      </c>
      <c r="P289">
        <v>2025</v>
      </c>
    </row>
    <row r="290" spans="1:16" hidden="1" x14ac:dyDescent="0.25">
      <c r="A290" s="96" t="s">
        <v>2</v>
      </c>
      <c r="B290" s="96" t="s">
        <v>272</v>
      </c>
      <c r="C290" s="96" t="s">
        <v>512</v>
      </c>
      <c r="D290" s="96" t="s">
        <v>34</v>
      </c>
      <c r="E290" s="43">
        <v>45817</v>
      </c>
      <c r="F290" s="43">
        <v>45918</v>
      </c>
      <c r="G290" s="96" t="s">
        <v>90</v>
      </c>
      <c r="H290" s="96" t="s">
        <v>3628</v>
      </c>
      <c r="I290" s="96" t="s">
        <v>9</v>
      </c>
      <c r="J290" s="96" t="s">
        <v>168</v>
      </c>
      <c r="K290" s="96" t="s">
        <v>217</v>
      </c>
      <c r="L290">
        <v>101</v>
      </c>
      <c r="M290" t="s">
        <v>28</v>
      </c>
      <c r="N290" t="s">
        <v>184</v>
      </c>
      <c r="O290" t="s">
        <v>151</v>
      </c>
      <c r="P290">
        <v>2025</v>
      </c>
    </row>
    <row r="291" spans="1:16" hidden="1" x14ac:dyDescent="0.25">
      <c r="A291" s="96" t="s">
        <v>2</v>
      </c>
      <c r="B291" s="96" t="s">
        <v>257</v>
      </c>
      <c r="C291" s="96" t="s">
        <v>3629</v>
      </c>
      <c r="D291" s="96" t="s">
        <v>40</v>
      </c>
      <c r="E291" s="43">
        <v>45675</v>
      </c>
      <c r="F291" s="43">
        <v>45701</v>
      </c>
      <c r="G291" s="96" t="s">
        <v>95</v>
      </c>
      <c r="H291" s="96" t="s">
        <v>3630</v>
      </c>
      <c r="I291" s="96" t="s">
        <v>204</v>
      </c>
      <c r="J291" s="96" t="s">
        <v>229</v>
      </c>
      <c r="K291" s="96" t="s">
        <v>195</v>
      </c>
      <c r="L291">
        <v>26</v>
      </c>
      <c r="M291" t="s">
        <v>19</v>
      </c>
      <c r="N291" t="s">
        <v>181</v>
      </c>
      <c r="O291" t="s">
        <v>151</v>
      </c>
      <c r="P291">
        <v>2025</v>
      </c>
    </row>
    <row r="292" spans="1:16" hidden="1" x14ac:dyDescent="0.25">
      <c r="A292" s="96" t="s">
        <v>2</v>
      </c>
      <c r="B292" s="96" t="s">
        <v>213</v>
      </c>
      <c r="C292" s="96" t="s">
        <v>3631</v>
      </c>
      <c r="D292" s="96" t="s">
        <v>215</v>
      </c>
      <c r="E292" s="43">
        <v>45939</v>
      </c>
      <c r="F292" s="43">
        <v>46006</v>
      </c>
      <c r="G292" s="96" t="s">
        <v>92</v>
      </c>
      <c r="H292" s="96" t="s">
        <v>3632</v>
      </c>
      <c r="I292" s="96" t="s">
        <v>9</v>
      </c>
      <c r="J292" s="96" t="s">
        <v>94</v>
      </c>
      <c r="K292" s="96" t="s">
        <v>217</v>
      </c>
      <c r="L292">
        <v>67</v>
      </c>
      <c r="M292" t="s">
        <v>28</v>
      </c>
      <c r="N292" t="s">
        <v>16</v>
      </c>
      <c r="O292" t="s">
        <v>149</v>
      </c>
      <c r="P292">
        <v>2025</v>
      </c>
    </row>
    <row r="293" spans="1:16" hidden="1" x14ac:dyDescent="0.25">
      <c r="A293" s="96" t="s">
        <v>2</v>
      </c>
      <c r="B293" s="96" t="s">
        <v>253</v>
      </c>
      <c r="C293" s="96" t="s">
        <v>3633</v>
      </c>
      <c r="D293" s="96" t="s">
        <v>192</v>
      </c>
      <c r="E293" s="43">
        <v>45743</v>
      </c>
      <c r="F293" s="43">
        <v>45845</v>
      </c>
      <c r="G293" s="96" t="s">
        <v>90</v>
      </c>
      <c r="H293" s="96" t="s">
        <v>3634</v>
      </c>
      <c r="I293" s="96" t="s">
        <v>157</v>
      </c>
      <c r="J293" s="96" t="s">
        <v>216</v>
      </c>
      <c r="K293" s="96" t="s">
        <v>210</v>
      </c>
      <c r="L293">
        <v>102</v>
      </c>
      <c r="M293" t="s">
        <v>28</v>
      </c>
      <c r="N293" t="s">
        <v>186</v>
      </c>
      <c r="O293" t="s">
        <v>152</v>
      </c>
      <c r="P293">
        <v>2025</v>
      </c>
    </row>
    <row r="294" spans="1:16" hidden="1" x14ac:dyDescent="0.25">
      <c r="A294" s="96" t="s">
        <v>2</v>
      </c>
      <c r="B294" s="96" t="s">
        <v>247</v>
      </c>
      <c r="C294" s="96" t="s">
        <v>3635</v>
      </c>
      <c r="D294" s="96" t="s">
        <v>10</v>
      </c>
      <c r="E294" s="43">
        <v>45703</v>
      </c>
      <c r="F294" s="43">
        <v>45735</v>
      </c>
      <c r="G294" s="96" t="s">
        <v>92</v>
      </c>
      <c r="H294" s="96" t="s">
        <v>3636</v>
      </c>
      <c r="I294" s="96" t="s">
        <v>204</v>
      </c>
      <c r="J294" s="96" t="s">
        <v>173</v>
      </c>
      <c r="K294" s="96" t="s">
        <v>157</v>
      </c>
      <c r="L294">
        <v>32</v>
      </c>
      <c r="M294" t="s">
        <v>24</v>
      </c>
      <c r="N294" t="s">
        <v>188</v>
      </c>
      <c r="O294" t="s">
        <v>150</v>
      </c>
      <c r="P294">
        <v>2025</v>
      </c>
    </row>
    <row r="295" spans="1:16" x14ac:dyDescent="0.25">
      <c r="A295" s="96" t="s">
        <v>171</v>
      </c>
      <c r="B295" s="96" t="s">
        <v>244</v>
      </c>
      <c r="C295" s="96" t="s">
        <v>3637</v>
      </c>
      <c r="D295" s="96" t="s">
        <v>215</v>
      </c>
      <c r="E295" s="43">
        <v>46055</v>
      </c>
      <c r="F295" s="43">
        <v>46118</v>
      </c>
      <c r="G295" s="96" t="s">
        <v>90</v>
      </c>
      <c r="H295" s="96" t="s">
        <v>3638</v>
      </c>
      <c r="I295" s="96" t="s">
        <v>9</v>
      </c>
      <c r="J295" s="96" t="s">
        <v>176</v>
      </c>
      <c r="K295" s="96" t="s">
        <v>200</v>
      </c>
      <c r="L295">
        <v>63</v>
      </c>
      <c r="M295" t="s">
        <v>28</v>
      </c>
      <c r="N295" t="s">
        <v>32</v>
      </c>
      <c r="O295" t="s">
        <v>150</v>
      </c>
      <c r="P295">
        <v>2026</v>
      </c>
    </row>
    <row r="296" spans="1:16" hidden="1" x14ac:dyDescent="0.25">
      <c r="A296" s="96" t="s">
        <v>2</v>
      </c>
      <c r="B296" s="96" t="s">
        <v>251</v>
      </c>
      <c r="C296" s="96" t="s">
        <v>513</v>
      </c>
      <c r="D296" s="96" t="s">
        <v>215</v>
      </c>
      <c r="E296" s="43">
        <v>45786</v>
      </c>
      <c r="F296" s="43">
        <v>45902</v>
      </c>
      <c r="G296" s="96" t="s">
        <v>92</v>
      </c>
      <c r="H296" s="96" t="s">
        <v>3639</v>
      </c>
      <c r="I296" s="96" t="s">
        <v>228</v>
      </c>
      <c r="J296" s="96" t="s">
        <v>229</v>
      </c>
      <c r="K296" s="96" t="s">
        <v>157</v>
      </c>
      <c r="L296">
        <v>116</v>
      </c>
      <c r="M296" t="s">
        <v>28</v>
      </c>
      <c r="N296" t="s">
        <v>182</v>
      </c>
      <c r="O296" t="s">
        <v>170</v>
      </c>
      <c r="P296">
        <v>2025</v>
      </c>
    </row>
    <row r="297" spans="1:16" hidden="1" x14ac:dyDescent="0.25">
      <c r="A297" s="96" t="s">
        <v>2</v>
      </c>
      <c r="B297" s="96" t="s">
        <v>231</v>
      </c>
      <c r="C297" s="96" t="s">
        <v>3640</v>
      </c>
      <c r="D297" s="96" t="s">
        <v>203</v>
      </c>
      <c r="E297" s="43">
        <v>45897</v>
      </c>
      <c r="F297" s="43">
        <v>45933</v>
      </c>
      <c r="G297" s="96" t="s">
        <v>92</v>
      </c>
      <c r="H297" s="96" t="s">
        <v>3641</v>
      </c>
      <c r="I297" s="96" t="s">
        <v>204</v>
      </c>
      <c r="J297" s="96" t="s">
        <v>93</v>
      </c>
      <c r="K297" s="96" t="s">
        <v>195</v>
      </c>
      <c r="L297">
        <v>36</v>
      </c>
      <c r="M297" t="s">
        <v>24</v>
      </c>
      <c r="N297" t="s">
        <v>8</v>
      </c>
      <c r="O297" t="s">
        <v>170</v>
      </c>
      <c r="P297">
        <v>2025</v>
      </c>
    </row>
    <row r="298" spans="1:16" x14ac:dyDescent="0.25">
      <c r="A298" s="96" t="s">
        <v>2</v>
      </c>
      <c r="B298" s="96" t="s">
        <v>290</v>
      </c>
      <c r="C298" s="96" t="s">
        <v>514</v>
      </c>
      <c r="D298" s="96" t="s">
        <v>203</v>
      </c>
      <c r="E298" s="43">
        <v>46120</v>
      </c>
      <c r="F298" s="43">
        <v>46150</v>
      </c>
      <c r="G298" s="96" t="s">
        <v>92</v>
      </c>
      <c r="H298" s="96" t="s">
        <v>3642</v>
      </c>
      <c r="I298" s="96" t="s">
        <v>157</v>
      </c>
      <c r="J298" s="96" t="s">
        <v>176</v>
      </c>
      <c r="K298" s="96" t="s">
        <v>205</v>
      </c>
      <c r="L298">
        <v>30</v>
      </c>
      <c r="M298" t="s">
        <v>19</v>
      </c>
      <c r="N298" t="s">
        <v>37</v>
      </c>
      <c r="O298" t="s">
        <v>149</v>
      </c>
      <c r="P298">
        <v>2026</v>
      </c>
    </row>
    <row r="299" spans="1:16" hidden="1" x14ac:dyDescent="0.25">
      <c r="A299" s="96" t="s">
        <v>2</v>
      </c>
      <c r="B299" s="96" t="s">
        <v>231</v>
      </c>
      <c r="C299" s="96" t="s">
        <v>515</v>
      </c>
      <c r="D299" s="96" t="s">
        <v>14</v>
      </c>
      <c r="E299" s="43">
        <v>45912</v>
      </c>
      <c r="F299" s="43">
        <v>46011</v>
      </c>
      <c r="G299" s="96" t="s">
        <v>92</v>
      </c>
      <c r="H299" s="96" t="s">
        <v>3643</v>
      </c>
      <c r="I299" s="96" t="s">
        <v>9</v>
      </c>
      <c r="J299" s="96" t="s">
        <v>169</v>
      </c>
      <c r="K299" s="96" t="s">
        <v>233</v>
      </c>
      <c r="L299">
        <v>99</v>
      </c>
      <c r="M299" t="s">
        <v>28</v>
      </c>
      <c r="N299" t="s">
        <v>12</v>
      </c>
      <c r="O299" t="s">
        <v>170</v>
      </c>
      <c r="P299">
        <v>2025</v>
      </c>
    </row>
    <row r="300" spans="1:16" hidden="1" x14ac:dyDescent="0.25">
      <c r="A300" s="96" t="s">
        <v>189</v>
      </c>
      <c r="B300" s="96" t="s">
        <v>240</v>
      </c>
      <c r="C300" s="96" t="s">
        <v>516</v>
      </c>
      <c r="D300" s="96" t="s">
        <v>208</v>
      </c>
      <c r="E300" s="43">
        <v>45968</v>
      </c>
      <c r="F300" s="43">
        <v>46060</v>
      </c>
      <c r="G300" s="96" t="s">
        <v>92</v>
      </c>
      <c r="H300" s="96" t="s">
        <v>3644</v>
      </c>
      <c r="I300" s="96" t="s">
        <v>157</v>
      </c>
      <c r="J300" s="96" t="s">
        <v>177</v>
      </c>
      <c r="K300" s="96" t="s">
        <v>200</v>
      </c>
      <c r="L300">
        <v>92</v>
      </c>
      <c r="M300" t="s">
        <v>28</v>
      </c>
      <c r="N300" t="s">
        <v>20</v>
      </c>
      <c r="O300" t="s">
        <v>149</v>
      </c>
      <c r="P300">
        <v>2025</v>
      </c>
    </row>
    <row r="301" spans="1:16" hidden="1" x14ac:dyDescent="0.25">
      <c r="A301" s="96" t="s">
        <v>2</v>
      </c>
      <c r="B301" s="96" t="s">
        <v>253</v>
      </c>
      <c r="C301" s="96" t="s">
        <v>517</v>
      </c>
      <c r="D301" s="96" t="s">
        <v>14</v>
      </c>
      <c r="E301" s="43">
        <v>45870</v>
      </c>
      <c r="F301" s="43">
        <v>45976</v>
      </c>
      <c r="G301" s="96" t="s">
        <v>92</v>
      </c>
      <c r="H301" s="96" t="s">
        <v>3645</v>
      </c>
      <c r="I301" s="96" t="s">
        <v>157</v>
      </c>
      <c r="J301" s="96" t="s">
        <v>96</v>
      </c>
      <c r="K301" s="96" t="s">
        <v>233</v>
      </c>
      <c r="L301">
        <v>106</v>
      </c>
      <c r="M301" t="s">
        <v>28</v>
      </c>
      <c r="N301" t="s">
        <v>8</v>
      </c>
      <c r="O301" t="s">
        <v>152</v>
      </c>
      <c r="P301">
        <v>2025</v>
      </c>
    </row>
    <row r="302" spans="1:16" x14ac:dyDescent="0.25">
      <c r="A302" s="96" t="s">
        <v>2</v>
      </c>
      <c r="B302" s="96" t="s">
        <v>302</v>
      </c>
      <c r="C302" s="96" t="s">
        <v>518</v>
      </c>
      <c r="D302" s="96" t="s">
        <v>203</v>
      </c>
      <c r="E302" s="43">
        <v>46047</v>
      </c>
      <c r="F302" s="43">
        <v>46060</v>
      </c>
      <c r="G302" s="96" t="s">
        <v>92</v>
      </c>
      <c r="H302" s="96" t="s">
        <v>3646</v>
      </c>
      <c r="I302" s="96" t="s">
        <v>209</v>
      </c>
      <c r="J302" s="96" t="s">
        <v>98</v>
      </c>
      <c r="K302" s="96" t="s">
        <v>217</v>
      </c>
      <c r="L302">
        <v>13</v>
      </c>
      <c r="M302" t="s">
        <v>15</v>
      </c>
      <c r="N302" t="s">
        <v>29</v>
      </c>
      <c r="O302" t="s">
        <v>150</v>
      </c>
      <c r="P302">
        <v>2026</v>
      </c>
    </row>
    <row r="303" spans="1:16" hidden="1" x14ac:dyDescent="0.25">
      <c r="A303" s="96" t="s">
        <v>2</v>
      </c>
      <c r="B303" s="96" t="s">
        <v>253</v>
      </c>
      <c r="C303" s="96" t="s">
        <v>519</v>
      </c>
      <c r="D303" s="96" t="s">
        <v>34</v>
      </c>
      <c r="E303" s="43">
        <v>45984</v>
      </c>
      <c r="F303" s="43">
        <v>46058</v>
      </c>
      <c r="G303" s="96" t="s">
        <v>90</v>
      </c>
      <c r="H303" s="96" t="s">
        <v>3647</v>
      </c>
      <c r="I303" s="96" t="s">
        <v>228</v>
      </c>
      <c r="J303" s="96" t="s">
        <v>176</v>
      </c>
      <c r="K303" s="96" t="s">
        <v>157</v>
      </c>
      <c r="L303">
        <v>74</v>
      </c>
      <c r="M303" t="s">
        <v>28</v>
      </c>
      <c r="N303" t="s">
        <v>20</v>
      </c>
      <c r="O303" t="s">
        <v>152</v>
      </c>
      <c r="P303">
        <v>2025</v>
      </c>
    </row>
    <row r="304" spans="1:16" hidden="1" x14ac:dyDescent="0.25">
      <c r="A304" s="96" t="s">
        <v>189</v>
      </c>
      <c r="B304" s="96" t="s">
        <v>280</v>
      </c>
      <c r="C304" s="96" t="s">
        <v>520</v>
      </c>
      <c r="D304" s="96" t="s">
        <v>223</v>
      </c>
      <c r="E304" s="43">
        <v>45738</v>
      </c>
      <c r="F304" s="43">
        <v>45807</v>
      </c>
      <c r="G304" s="96" t="s">
        <v>90</v>
      </c>
      <c r="H304" s="96" t="s">
        <v>3648</v>
      </c>
      <c r="I304" s="96" t="s">
        <v>194</v>
      </c>
      <c r="J304" s="96" t="s">
        <v>283</v>
      </c>
      <c r="K304" s="96" t="s">
        <v>200</v>
      </c>
      <c r="L304">
        <v>69</v>
      </c>
      <c r="M304" t="s">
        <v>28</v>
      </c>
      <c r="N304" t="s">
        <v>186</v>
      </c>
      <c r="O304" t="s">
        <v>170</v>
      </c>
      <c r="P304">
        <v>2025</v>
      </c>
    </row>
    <row r="305" spans="1:16" hidden="1" x14ac:dyDescent="0.25">
      <c r="A305" s="96" t="s">
        <v>2</v>
      </c>
      <c r="B305" s="96" t="s">
        <v>247</v>
      </c>
      <c r="C305" s="96" t="s">
        <v>3649</v>
      </c>
      <c r="D305" s="96" t="s">
        <v>208</v>
      </c>
      <c r="E305" s="43">
        <v>45946</v>
      </c>
      <c r="F305" s="43">
        <v>46016</v>
      </c>
      <c r="G305" s="96" t="s">
        <v>95</v>
      </c>
      <c r="H305" s="96" t="s">
        <v>3650</v>
      </c>
      <c r="I305" s="96" t="s">
        <v>194</v>
      </c>
      <c r="J305" s="96" t="s">
        <v>176</v>
      </c>
      <c r="K305" s="96" t="s">
        <v>195</v>
      </c>
      <c r="L305">
        <v>70</v>
      </c>
      <c r="M305" t="s">
        <v>28</v>
      </c>
      <c r="N305" t="s">
        <v>16</v>
      </c>
      <c r="O305" t="s">
        <v>150</v>
      </c>
      <c r="P305">
        <v>2025</v>
      </c>
    </row>
    <row r="306" spans="1:16" hidden="1" x14ac:dyDescent="0.25">
      <c r="A306" s="96" t="s">
        <v>171</v>
      </c>
      <c r="B306" s="96" t="s">
        <v>211</v>
      </c>
      <c r="C306" s="96" t="s">
        <v>3651</v>
      </c>
      <c r="D306" s="96" t="s">
        <v>215</v>
      </c>
      <c r="E306" s="43">
        <v>45803</v>
      </c>
      <c r="F306" s="43">
        <v>45880</v>
      </c>
      <c r="G306" s="96" t="s">
        <v>92</v>
      </c>
      <c r="H306" s="96" t="s">
        <v>3652</v>
      </c>
      <c r="I306" s="96" t="s">
        <v>157</v>
      </c>
      <c r="J306" s="96" t="s">
        <v>174</v>
      </c>
      <c r="K306" s="96" t="s">
        <v>195</v>
      </c>
      <c r="L306">
        <v>77</v>
      </c>
      <c r="M306" t="s">
        <v>28</v>
      </c>
      <c r="N306" t="s">
        <v>182</v>
      </c>
      <c r="O306" t="s">
        <v>170</v>
      </c>
      <c r="P306">
        <v>2025</v>
      </c>
    </row>
    <row r="307" spans="1:16" x14ac:dyDescent="0.25">
      <c r="A307" s="96" t="s">
        <v>2</v>
      </c>
      <c r="B307" s="96" t="s">
        <v>288</v>
      </c>
      <c r="C307" s="96" t="s">
        <v>521</v>
      </c>
      <c r="D307" s="96" t="s">
        <v>40</v>
      </c>
      <c r="E307" s="43">
        <v>46093</v>
      </c>
      <c r="F307" s="43">
        <v>46147</v>
      </c>
      <c r="G307" s="96" t="s">
        <v>92</v>
      </c>
      <c r="H307" s="96" t="s">
        <v>3653</v>
      </c>
      <c r="I307" s="96" t="s">
        <v>204</v>
      </c>
      <c r="J307" s="96" t="s">
        <v>94</v>
      </c>
      <c r="K307" s="96" t="s">
        <v>205</v>
      </c>
      <c r="L307">
        <v>54</v>
      </c>
      <c r="M307" t="s">
        <v>24</v>
      </c>
      <c r="N307" t="s">
        <v>35</v>
      </c>
      <c r="O307" t="s">
        <v>170</v>
      </c>
      <c r="P307">
        <v>2026</v>
      </c>
    </row>
    <row r="308" spans="1:16" hidden="1" x14ac:dyDescent="0.25">
      <c r="A308" s="96" t="s">
        <v>2</v>
      </c>
      <c r="B308" s="96" t="s">
        <v>280</v>
      </c>
      <c r="C308" s="96" t="s">
        <v>3654</v>
      </c>
      <c r="D308" s="96" t="s">
        <v>237</v>
      </c>
      <c r="E308" s="43">
        <v>45811</v>
      </c>
      <c r="F308" s="43">
        <v>45816</v>
      </c>
      <c r="G308" s="96" t="s">
        <v>92</v>
      </c>
      <c r="H308" s="96" t="s">
        <v>3655</v>
      </c>
      <c r="I308" s="96" t="s">
        <v>194</v>
      </c>
      <c r="J308" s="96" t="s">
        <v>199</v>
      </c>
      <c r="K308" s="96" t="s">
        <v>205</v>
      </c>
      <c r="L308">
        <v>5</v>
      </c>
      <c r="M308" t="s">
        <v>11</v>
      </c>
      <c r="N308" t="s">
        <v>184</v>
      </c>
      <c r="O308" t="s">
        <v>170</v>
      </c>
      <c r="P308">
        <v>2025</v>
      </c>
    </row>
    <row r="309" spans="1:16" hidden="1" x14ac:dyDescent="0.25">
      <c r="A309" s="96" t="s">
        <v>2</v>
      </c>
      <c r="B309" s="96" t="s">
        <v>251</v>
      </c>
      <c r="C309" s="96" t="s">
        <v>3656</v>
      </c>
      <c r="D309" s="96" t="s">
        <v>223</v>
      </c>
      <c r="E309" s="43">
        <v>45966</v>
      </c>
      <c r="F309" s="43">
        <v>46085</v>
      </c>
      <c r="G309" s="96" t="s">
        <v>92</v>
      </c>
      <c r="H309" s="96" t="s">
        <v>3657</v>
      </c>
      <c r="I309" s="96" t="s">
        <v>228</v>
      </c>
      <c r="J309" s="96" t="s">
        <v>94</v>
      </c>
      <c r="K309" s="96" t="s">
        <v>210</v>
      </c>
      <c r="L309">
        <v>119</v>
      </c>
      <c r="M309" t="s">
        <v>28</v>
      </c>
      <c r="N309" t="s">
        <v>20</v>
      </c>
      <c r="O309" t="s">
        <v>170</v>
      </c>
      <c r="P309">
        <v>2025</v>
      </c>
    </row>
    <row r="310" spans="1:16" hidden="1" x14ac:dyDescent="0.25">
      <c r="A310" s="96" t="s">
        <v>2</v>
      </c>
      <c r="B310" s="96" t="s">
        <v>272</v>
      </c>
      <c r="C310" s="96" t="s">
        <v>523</v>
      </c>
      <c r="D310" s="96" t="s">
        <v>34</v>
      </c>
      <c r="E310" s="43">
        <v>45683</v>
      </c>
      <c r="F310" s="43">
        <v>45754</v>
      </c>
      <c r="G310" s="96" t="s">
        <v>92</v>
      </c>
      <c r="H310" s="96" t="s">
        <v>3658</v>
      </c>
      <c r="I310" s="96" t="s">
        <v>194</v>
      </c>
      <c r="J310" s="96" t="s">
        <v>98</v>
      </c>
      <c r="K310" s="96" t="s">
        <v>205</v>
      </c>
      <c r="L310">
        <v>71</v>
      </c>
      <c r="M310" t="s">
        <v>28</v>
      </c>
      <c r="N310" t="s">
        <v>181</v>
      </c>
      <c r="O310" t="s">
        <v>151</v>
      </c>
      <c r="P310">
        <v>2025</v>
      </c>
    </row>
    <row r="311" spans="1:16" hidden="1" x14ac:dyDescent="0.25">
      <c r="A311" s="96" t="s">
        <v>2</v>
      </c>
      <c r="B311" s="96" t="s">
        <v>190</v>
      </c>
      <c r="C311" s="96" t="s">
        <v>525</v>
      </c>
      <c r="D311" s="96" t="s">
        <v>192</v>
      </c>
      <c r="E311" s="43">
        <v>45991</v>
      </c>
      <c r="F311" s="43">
        <v>46065</v>
      </c>
      <c r="G311" s="96" t="s">
        <v>92</v>
      </c>
      <c r="H311" s="96" t="s">
        <v>3659</v>
      </c>
      <c r="I311" s="96" t="s">
        <v>9</v>
      </c>
      <c r="J311" s="96" t="s">
        <v>199</v>
      </c>
      <c r="K311" s="96" t="s">
        <v>217</v>
      </c>
      <c r="L311">
        <v>74</v>
      </c>
      <c r="M311" t="s">
        <v>28</v>
      </c>
      <c r="N311" t="s">
        <v>20</v>
      </c>
      <c r="O311" t="s">
        <v>150</v>
      </c>
      <c r="P311">
        <v>2025</v>
      </c>
    </row>
    <row r="312" spans="1:16" hidden="1" x14ac:dyDescent="0.25">
      <c r="A312" s="96" t="s">
        <v>2</v>
      </c>
      <c r="B312" s="96" t="s">
        <v>264</v>
      </c>
      <c r="C312" s="96" t="s">
        <v>527</v>
      </c>
      <c r="D312" s="96" t="s">
        <v>223</v>
      </c>
      <c r="E312" s="43">
        <v>45836</v>
      </c>
      <c r="F312" s="43">
        <v>45861</v>
      </c>
      <c r="G312" s="96" t="s">
        <v>92</v>
      </c>
      <c r="H312" s="96" t="s">
        <v>3660</v>
      </c>
      <c r="I312" s="96" t="s">
        <v>228</v>
      </c>
      <c r="J312" s="96" t="s">
        <v>93</v>
      </c>
      <c r="K312" s="96" t="s">
        <v>210</v>
      </c>
      <c r="L312">
        <v>25</v>
      </c>
      <c r="M312" t="s">
        <v>19</v>
      </c>
      <c r="N312" t="s">
        <v>184</v>
      </c>
      <c r="O312" t="s">
        <v>152</v>
      </c>
      <c r="P312">
        <v>2025</v>
      </c>
    </row>
    <row r="313" spans="1:16" hidden="1" x14ac:dyDescent="0.25">
      <c r="A313" s="96" t="s">
        <v>2</v>
      </c>
      <c r="B313" s="96" t="s">
        <v>206</v>
      </c>
      <c r="C313" s="96" t="s">
        <v>528</v>
      </c>
      <c r="D313" s="96" t="s">
        <v>215</v>
      </c>
      <c r="E313" s="43">
        <v>45777</v>
      </c>
      <c r="F313" s="43">
        <v>45803</v>
      </c>
      <c r="G313" s="96" t="s">
        <v>90</v>
      </c>
      <c r="H313" s="96" t="s">
        <v>3661</v>
      </c>
      <c r="I313" s="96" t="s">
        <v>228</v>
      </c>
      <c r="J313" s="96" t="s">
        <v>173</v>
      </c>
      <c r="K313" s="96" t="s">
        <v>230</v>
      </c>
      <c r="L313">
        <v>26</v>
      </c>
      <c r="M313" t="s">
        <v>19</v>
      </c>
      <c r="N313" t="s">
        <v>185</v>
      </c>
      <c r="O313" t="s">
        <v>152</v>
      </c>
      <c r="P313">
        <v>2025</v>
      </c>
    </row>
    <row r="314" spans="1:16" hidden="1" x14ac:dyDescent="0.25">
      <c r="A314" s="96" t="s">
        <v>2</v>
      </c>
      <c r="B314" s="96" t="s">
        <v>322</v>
      </c>
      <c r="C314" s="96" t="s">
        <v>530</v>
      </c>
      <c r="D314" s="96" t="s">
        <v>40</v>
      </c>
      <c r="E314" s="43">
        <v>45976</v>
      </c>
      <c r="F314" s="43">
        <v>46070</v>
      </c>
      <c r="G314" s="96" t="s">
        <v>90</v>
      </c>
      <c r="H314" s="96" t="s">
        <v>3662</v>
      </c>
      <c r="I314" s="96" t="s">
        <v>225</v>
      </c>
      <c r="J314" s="96" t="s">
        <v>177</v>
      </c>
      <c r="K314" s="96" t="s">
        <v>230</v>
      </c>
      <c r="L314">
        <v>94</v>
      </c>
      <c r="M314" t="s">
        <v>28</v>
      </c>
      <c r="N314" t="s">
        <v>20</v>
      </c>
      <c r="O314" t="s">
        <v>150</v>
      </c>
      <c r="P314">
        <v>2025</v>
      </c>
    </row>
    <row r="315" spans="1:16" hidden="1" x14ac:dyDescent="0.25">
      <c r="A315" s="96" t="s">
        <v>171</v>
      </c>
      <c r="B315" s="96" t="s">
        <v>206</v>
      </c>
      <c r="C315" s="96" t="s">
        <v>531</v>
      </c>
      <c r="D315" s="96" t="s">
        <v>40</v>
      </c>
      <c r="E315" s="43">
        <v>45838</v>
      </c>
      <c r="F315" s="43">
        <v>45884</v>
      </c>
      <c r="G315" s="96" t="s">
        <v>95</v>
      </c>
      <c r="H315" s="96" t="s">
        <v>3663</v>
      </c>
      <c r="I315" s="96" t="s">
        <v>194</v>
      </c>
      <c r="J315" s="96" t="s">
        <v>172</v>
      </c>
      <c r="K315" s="96" t="s">
        <v>157</v>
      </c>
      <c r="L315">
        <v>46</v>
      </c>
      <c r="M315" t="s">
        <v>24</v>
      </c>
      <c r="N315" t="s">
        <v>184</v>
      </c>
      <c r="O315" t="s">
        <v>152</v>
      </c>
      <c r="P315">
        <v>2025</v>
      </c>
    </row>
    <row r="316" spans="1:16" x14ac:dyDescent="0.25">
      <c r="A316" s="96" t="s">
        <v>2</v>
      </c>
      <c r="B316" s="96" t="s">
        <v>196</v>
      </c>
      <c r="C316" s="96" t="s">
        <v>3664</v>
      </c>
      <c r="D316" s="96" t="s">
        <v>192</v>
      </c>
      <c r="E316" s="43">
        <v>46080</v>
      </c>
      <c r="F316" s="43">
        <v>46100</v>
      </c>
      <c r="G316" s="96" t="s">
        <v>92</v>
      </c>
      <c r="H316" s="96" t="s">
        <v>3665</v>
      </c>
      <c r="I316" s="96" t="s">
        <v>157</v>
      </c>
      <c r="J316" s="96" t="s">
        <v>94</v>
      </c>
      <c r="K316" s="96" t="s">
        <v>217</v>
      </c>
      <c r="L316">
        <v>20</v>
      </c>
      <c r="M316" t="s">
        <v>19</v>
      </c>
      <c r="N316" t="s">
        <v>32</v>
      </c>
      <c r="O316" t="s">
        <v>152</v>
      </c>
      <c r="P316">
        <v>2026</v>
      </c>
    </row>
    <row r="317" spans="1:16" hidden="1" x14ac:dyDescent="0.25">
      <c r="A317" s="96" t="s">
        <v>2</v>
      </c>
      <c r="B317" s="96" t="s">
        <v>231</v>
      </c>
      <c r="C317" s="96" t="s">
        <v>532</v>
      </c>
      <c r="D317" s="96" t="s">
        <v>223</v>
      </c>
      <c r="E317" s="43">
        <v>46019</v>
      </c>
      <c r="F317" s="43">
        <v>46135</v>
      </c>
      <c r="G317" s="96" t="s">
        <v>90</v>
      </c>
      <c r="H317" s="96" t="s">
        <v>3666</v>
      </c>
      <c r="I317" s="96" t="s">
        <v>9</v>
      </c>
      <c r="J317" s="96" t="s">
        <v>98</v>
      </c>
      <c r="K317" s="96" t="s">
        <v>157</v>
      </c>
      <c r="L317">
        <v>116</v>
      </c>
      <c r="M317" t="s">
        <v>28</v>
      </c>
      <c r="N317" t="s">
        <v>25</v>
      </c>
      <c r="O317" t="s">
        <v>170</v>
      </c>
      <c r="P317">
        <v>2025</v>
      </c>
    </row>
    <row r="318" spans="1:16" x14ac:dyDescent="0.25">
      <c r="A318" s="96" t="s">
        <v>2</v>
      </c>
      <c r="B318" s="96" t="s">
        <v>218</v>
      </c>
      <c r="C318" s="96" t="s">
        <v>533</v>
      </c>
      <c r="D318" s="96" t="s">
        <v>40</v>
      </c>
      <c r="E318" s="43">
        <v>46053</v>
      </c>
      <c r="F318" s="43">
        <v>46077</v>
      </c>
      <c r="G318" s="96" t="s">
        <v>90</v>
      </c>
      <c r="H318" s="96" t="s">
        <v>522</v>
      </c>
      <c r="I318" s="96" t="s">
        <v>194</v>
      </c>
      <c r="J318" s="96" t="s">
        <v>168</v>
      </c>
      <c r="K318" s="96" t="s">
        <v>210</v>
      </c>
      <c r="L318">
        <v>24</v>
      </c>
      <c r="M318" t="s">
        <v>19</v>
      </c>
      <c r="N318" t="s">
        <v>29</v>
      </c>
      <c r="O318" t="s">
        <v>152</v>
      </c>
      <c r="P318">
        <v>2026</v>
      </c>
    </row>
    <row r="319" spans="1:16" x14ac:dyDescent="0.25">
      <c r="A319" s="96" t="s">
        <v>2</v>
      </c>
      <c r="B319" s="96" t="s">
        <v>374</v>
      </c>
      <c r="C319" s="96" t="s">
        <v>534</v>
      </c>
      <c r="D319" s="96" t="s">
        <v>192</v>
      </c>
      <c r="E319" s="43">
        <v>46050</v>
      </c>
      <c r="F319" s="43">
        <v>46067</v>
      </c>
      <c r="G319" s="96" t="s">
        <v>92</v>
      </c>
      <c r="H319" s="96" t="s">
        <v>3667</v>
      </c>
      <c r="I319" s="96" t="s">
        <v>225</v>
      </c>
      <c r="J319" s="96" t="s">
        <v>94</v>
      </c>
      <c r="K319" s="96" t="s">
        <v>195</v>
      </c>
      <c r="L319">
        <v>17</v>
      </c>
      <c r="M319" t="s">
        <v>19</v>
      </c>
      <c r="N319" t="s">
        <v>29</v>
      </c>
      <c r="O319" t="s">
        <v>150</v>
      </c>
      <c r="P319">
        <v>2026</v>
      </c>
    </row>
    <row r="320" spans="1:16" hidden="1" x14ac:dyDescent="0.25">
      <c r="A320" s="96" t="s">
        <v>2</v>
      </c>
      <c r="B320" s="96" t="s">
        <v>257</v>
      </c>
      <c r="C320" s="96" t="s">
        <v>536</v>
      </c>
      <c r="D320" s="96" t="s">
        <v>34</v>
      </c>
      <c r="E320" s="43">
        <v>46010</v>
      </c>
      <c r="F320" s="43">
        <v>46110</v>
      </c>
      <c r="G320" s="96" t="s">
        <v>92</v>
      </c>
      <c r="H320" s="96" t="s">
        <v>3668</v>
      </c>
      <c r="I320" s="96" t="s">
        <v>157</v>
      </c>
      <c r="J320" s="96" t="s">
        <v>176</v>
      </c>
      <c r="K320" s="96" t="s">
        <v>246</v>
      </c>
      <c r="L320">
        <v>100</v>
      </c>
      <c r="M320" t="s">
        <v>28</v>
      </c>
      <c r="N320" t="s">
        <v>25</v>
      </c>
      <c r="O320" t="s">
        <v>151</v>
      </c>
      <c r="P320">
        <v>2025</v>
      </c>
    </row>
    <row r="321" spans="1:16" hidden="1" x14ac:dyDescent="0.25">
      <c r="A321" s="96" t="s">
        <v>2</v>
      </c>
      <c r="B321" s="96" t="s">
        <v>322</v>
      </c>
      <c r="C321" s="96" t="s">
        <v>537</v>
      </c>
      <c r="D321" s="96" t="s">
        <v>215</v>
      </c>
      <c r="E321" s="43">
        <v>45741</v>
      </c>
      <c r="F321" s="43">
        <v>45766</v>
      </c>
      <c r="G321" s="96" t="s">
        <v>95</v>
      </c>
      <c r="H321" s="96" t="s">
        <v>3669</v>
      </c>
      <c r="I321" s="96" t="s">
        <v>209</v>
      </c>
      <c r="J321" s="96" t="s">
        <v>91</v>
      </c>
      <c r="K321" s="96" t="s">
        <v>205</v>
      </c>
      <c r="L321">
        <v>25</v>
      </c>
      <c r="M321" t="s">
        <v>19</v>
      </c>
      <c r="N321" t="s">
        <v>186</v>
      </c>
      <c r="O321" t="s">
        <v>150</v>
      </c>
      <c r="P321">
        <v>2025</v>
      </c>
    </row>
    <row r="322" spans="1:16" hidden="1" x14ac:dyDescent="0.25">
      <c r="A322" s="96" t="s">
        <v>2</v>
      </c>
      <c r="B322" s="96" t="s">
        <v>221</v>
      </c>
      <c r="C322" s="96" t="s">
        <v>538</v>
      </c>
      <c r="D322" s="96" t="s">
        <v>203</v>
      </c>
      <c r="E322" s="43">
        <v>45859</v>
      </c>
      <c r="F322" s="43">
        <v>45938</v>
      </c>
      <c r="G322" s="96" t="s">
        <v>92</v>
      </c>
      <c r="H322" s="96" t="s">
        <v>524</v>
      </c>
      <c r="I322" s="96" t="s">
        <v>228</v>
      </c>
      <c r="J322" s="96" t="s">
        <v>176</v>
      </c>
      <c r="K322" s="96" t="s">
        <v>195</v>
      </c>
      <c r="L322">
        <v>79</v>
      </c>
      <c r="M322" t="s">
        <v>28</v>
      </c>
      <c r="N322" t="s">
        <v>187</v>
      </c>
      <c r="O322" t="s">
        <v>170</v>
      </c>
      <c r="P322">
        <v>2025</v>
      </c>
    </row>
    <row r="323" spans="1:16" hidden="1" x14ac:dyDescent="0.25">
      <c r="A323" s="96" t="s">
        <v>2</v>
      </c>
      <c r="B323" s="96" t="s">
        <v>211</v>
      </c>
      <c r="C323" s="96" t="s">
        <v>539</v>
      </c>
      <c r="D323" s="96" t="s">
        <v>208</v>
      </c>
      <c r="E323" s="43">
        <v>45922</v>
      </c>
      <c r="F323" s="43">
        <v>46020</v>
      </c>
      <c r="G323" s="96" t="s">
        <v>92</v>
      </c>
      <c r="H323" s="96" t="s">
        <v>526</v>
      </c>
      <c r="I323" s="96" t="s">
        <v>225</v>
      </c>
      <c r="J323" s="96" t="s">
        <v>283</v>
      </c>
      <c r="K323" s="96" t="s">
        <v>230</v>
      </c>
      <c r="L323">
        <v>98</v>
      </c>
      <c r="M323" t="s">
        <v>28</v>
      </c>
      <c r="N323" t="s">
        <v>12</v>
      </c>
      <c r="O323" t="s">
        <v>170</v>
      </c>
      <c r="P323">
        <v>2025</v>
      </c>
    </row>
    <row r="324" spans="1:16" hidden="1" x14ac:dyDescent="0.25">
      <c r="A324" s="96" t="s">
        <v>2</v>
      </c>
      <c r="B324" s="96" t="s">
        <v>231</v>
      </c>
      <c r="C324" s="96" t="s">
        <v>540</v>
      </c>
      <c r="D324" s="96" t="s">
        <v>14</v>
      </c>
      <c r="E324" s="43">
        <v>45685</v>
      </c>
      <c r="F324" s="43">
        <v>45774</v>
      </c>
      <c r="G324" s="96" t="s">
        <v>90</v>
      </c>
      <c r="H324" s="96" t="s">
        <v>3670</v>
      </c>
      <c r="I324" s="96" t="s">
        <v>225</v>
      </c>
      <c r="J324" s="96" t="s">
        <v>98</v>
      </c>
      <c r="K324" s="96" t="s">
        <v>210</v>
      </c>
      <c r="L324">
        <v>89</v>
      </c>
      <c r="M324" t="s">
        <v>28</v>
      </c>
      <c r="N324" t="s">
        <v>181</v>
      </c>
      <c r="O324" t="s">
        <v>170</v>
      </c>
      <c r="P324">
        <v>2025</v>
      </c>
    </row>
    <row r="325" spans="1:16" hidden="1" x14ac:dyDescent="0.25">
      <c r="A325" s="96" t="s">
        <v>2</v>
      </c>
      <c r="B325" s="96" t="s">
        <v>211</v>
      </c>
      <c r="C325" s="96" t="s">
        <v>541</v>
      </c>
      <c r="D325" s="96" t="s">
        <v>14</v>
      </c>
      <c r="E325" s="43">
        <v>45823</v>
      </c>
      <c r="F325" s="43">
        <v>45881</v>
      </c>
      <c r="G325" s="96" t="s">
        <v>90</v>
      </c>
      <c r="H325" s="96" t="s">
        <v>529</v>
      </c>
      <c r="I325" s="96" t="s">
        <v>204</v>
      </c>
      <c r="J325" s="96" t="s">
        <v>174</v>
      </c>
      <c r="K325" s="96" t="s">
        <v>210</v>
      </c>
      <c r="L325">
        <v>58</v>
      </c>
      <c r="M325" t="s">
        <v>24</v>
      </c>
      <c r="N325" t="s">
        <v>184</v>
      </c>
      <c r="O325" t="s">
        <v>170</v>
      </c>
      <c r="P325">
        <v>2025</v>
      </c>
    </row>
    <row r="326" spans="1:16" hidden="1" x14ac:dyDescent="0.25">
      <c r="A326" s="96" t="s">
        <v>2</v>
      </c>
      <c r="B326" s="96" t="s">
        <v>251</v>
      </c>
      <c r="C326" s="96" t="s">
        <v>542</v>
      </c>
      <c r="D326" s="96" t="s">
        <v>203</v>
      </c>
      <c r="E326" s="43">
        <v>45721</v>
      </c>
      <c r="F326" s="43">
        <v>45733</v>
      </c>
      <c r="G326" s="96" t="s">
        <v>92</v>
      </c>
      <c r="H326" s="96" t="s">
        <v>3671</v>
      </c>
      <c r="I326" s="96" t="s">
        <v>228</v>
      </c>
      <c r="J326" s="96" t="s">
        <v>229</v>
      </c>
      <c r="K326" s="96" t="s">
        <v>217</v>
      </c>
      <c r="L326">
        <v>12</v>
      </c>
      <c r="M326" t="s">
        <v>15</v>
      </c>
      <c r="N326" t="s">
        <v>186</v>
      </c>
      <c r="O326" t="s">
        <v>170</v>
      </c>
      <c r="P326">
        <v>2025</v>
      </c>
    </row>
    <row r="327" spans="1:16" hidden="1" x14ac:dyDescent="0.25">
      <c r="A327" s="96" t="s">
        <v>2</v>
      </c>
      <c r="B327" s="96" t="s">
        <v>255</v>
      </c>
      <c r="C327" s="96" t="s">
        <v>543</v>
      </c>
      <c r="D327" s="96" t="s">
        <v>34</v>
      </c>
      <c r="E327" s="43">
        <v>45680</v>
      </c>
      <c r="F327" s="43">
        <v>45779</v>
      </c>
      <c r="G327" s="96" t="s">
        <v>90</v>
      </c>
      <c r="H327" s="96" t="s">
        <v>3672</v>
      </c>
      <c r="I327" s="96" t="s">
        <v>225</v>
      </c>
      <c r="J327" s="96" t="s">
        <v>177</v>
      </c>
      <c r="K327" s="96" t="s">
        <v>217</v>
      </c>
      <c r="L327">
        <v>99</v>
      </c>
      <c r="M327" t="s">
        <v>28</v>
      </c>
      <c r="N327" t="s">
        <v>181</v>
      </c>
      <c r="O327" t="s">
        <v>150</v>
      </c>
      <c r="P327">
        <v>2025</v>
      </c>
    </row>
    <row r="328" spans="1:16" hidden="1" x14ac:dyDescent="0.25">
      <c r="A328" s="96" t="s">
        <v>21</v>
      </c>
      <c r="B328" s="96" t="s">
        <v>322</v>
      </c>
      <c r="C328" s="96" t="s">
        <v>544</v>
      </c>
      <c r="D328" s="96" t="s">
        <v>10</v>
      </c>
      <c r="E328" s="43">
        <v>45886</v>
      </c>
      <c r="F328" s="43">
        <v>45923</v>
      </c>
      <c r="G328" s="96" t="s">
        <v>95</v>
      </c>
      <c r="H328" s="96" t="s">
        <v>3673</v>
      </c>
      <c r="I328" s="96" t="s">
        <v>194</v>
      </c>
      <c r="J328" s="96" t="s">
        <v>216</v>
      </c>
      <c r="K328" s="96" t="s">
        <v>246</v>
      </c>
      <c r="L328">
        <v>37</v>
      </c>
      <c r="M328" t="s">
        <v>24</v>
      </c>
      <c r="N328" t="s">
        <v>8</v>
      </c>
      <c r="O328" t="s">
        <v>150</v>
      </c>
      <c r="P328">
        <v>2025</v>
      </c>
    </row>
    <row r="329" spans="1:16" hidden="1" x14ac:dyDescent="0.25">
      <c r="A329" s="96" t="s">
        <v>2</v>
      </c>
      <c r="B329" s="96" t="s">
        <v>257</v>
      </c>
      <c r="C329" s="96" t="s">
        <v>3674</v>
      </c>
      <c r="D329" s="96" t="s">
        <v>208</v>
      </c>
      <c r="E329" s="43">
        <v>45660</v>
      </c>
      <c r="F329" s="43">
        <v>45738</v>
      </c>
      <c r="G329" s="96" t="s">
        <v>90</v>
      </c>
      <c r="H329" s="96" t="s">
        <v>3675</v>
      </c>
      <c r="I329" s="96" t="s">
        <v>9</v>
      </c>
      <c r="J329" s="96" t="s">
        <v>172</v>
      </c>
      <c r="K329" s="96" t="s">
        <v>205</v>
      </c>
      <c r="L329">
        <v>78</v>
      </c>
      <c r="M329" t="s">
        <v>28</v>
      </c>
      <c r="N329" t="s">
        <v>181</v>
      </c>
      <c r="O329" t="s">
        <v>151</v>
      </c>
      <c r="P329">
        <v>2025</v>
      </c>
    </row>
    <row r="330" spans="1:16" x14ac:dyDescent="0.25">
      <c r="A330" s="96" t="s">
        <v>2</v>
      </c>
      <c r="B330" s="96" t="s">
        <v>288</v>
      </c>
      <c r="C330" s="96" t="s">
        <v>545</v>
      </c>
      <c r="D330" s="96" t="s">
        <v>10</v>
      </c>
      <c r="E330" s="43">
        <v>46094</v>
      </c>
      <c r="F330" s="43">
        <v>46146</v>
      </c>
      <c r="G330" s="96" t="s">
        <v>92</v>
      </c>
      <c r="H330" s="96" t="s">
        <v>3676</v>
      </c>
      <c r="I330" s="96" t="s">
        <v>225</v>
      </c>
      <c r="J330" s="96" t="s">
        <v>177</v>
      </c>
      <c r="K330" s="96" t="s">
        <v>230</v>
      </c>
      <c r="L330">
        <v>52</v>
      </c>
      <c r="M330" t="s">
        <v>24</v>
      </c>
      <c r="N330" t="s">
        <v>35</v>
      </c>
      <c r="O330" t="s">
        <v>170</v>
      </c>
      <c r="P330">
        <v>2026</v>
      </c>
    </row>
    <row r="331" spans="1:16" hidden="1" x14ac:dyDescent="0.25">
      <c r="A331" s="96" t="s">
        <v>171</v>
      </c>
      <c r="B331" s="96" t="s">
        <v>251</v>
      </c>
      <c r="C331" s="96" t="s">
        <v>546</v>
      </c>
      <c r="D331" s="96" t="s">
        <v>208</v>
      </c>
      <c r="E331" s="43">
        <v>45702</v>
      </c>
      <c r="F331" s="43">
        <v>45709</v>
      </c>
      <c r="G331" s="96" t="s">
        <v>92</v>
      </c>
      <c r="H331" s="96" t="s">
        <v>3677</v>
      </c>
      <c r="I331" s="96" t="s">
        <v>209</v>
      </c>
      <c r="J331" s="96" t="s">
        <v>97</v>
      </c>
      <c r="K331" s="96" t="s">
        <v>195</v>
      </c>
      <c r="L331">
        <v>7</v>
      </c>
      <c r="M331" t="s">
        <v>11</v>
      </c>
      <c r="N331" t="s">
        <v>188</v>
      </c>
      <c r="O331" t="s">
        <v>170</v>
      </c>
      <c r="P331">
        <v>2025</v>
      </c>
    </row>
    <row r="332" spans="1:16" hidden="1" x14ac:dyDescent="0.25">
      <c r="A332" s="96" t="s">
        <v>2</v>
      </c>
      <c r="B332" s="96" t="s">
        <v>280</v>
      </c>
      <c r="C332" s="96" t="s">
        <v>547</v>
      </c>
      <c r="D332" s="96" t="s">
        <v>14</v>
      </c>
      <c r="E332" s="43">
        <v>45798</v>
      </c>
      <c r="F332" s="43">
        <v>45841</v>
      </c>
      <c r="G332" s="96" t="s">
        <v>90</v>
      </c>
      <c r="H332" s="96" t="s">
        <v>3678</v>
      </c>
      <c r="I332" s="96" t="s">
        <v>228</v>
      </c>
      <c r="J332" s="96" t="s">
        <v>169</v>
      </c>
      <c r="K332" s="96" t="s">
        <v>233</v>
      </c>
      <c r="L332">
        <v>43</v>
      </c>
      <c r="M332" t="s">
        <v>24</v>
      </c>
      <c r="N332" t="s">
        <v>182</v>
      </c>
      <c r="O332" t="s">
        <v>170</v>
      </c>
      <c r="P332">
        <v>2025</v>
      </c>
    </row>
    <row r="333" spans="1:16" hidden="1" x14ac:dyDescent="0.25">
      <c r="A333" s="96" t="s">
        <v>2</v>
      </c>
      <c r="B333" s="96" t="s">
        <v>264</v>
      </c>
      <c r="C333" s="96" t="s">
        <v>548</v>
      </c>
      <c r="D333" s="96" t="s">
        <v>34</v>
      </c>
      <c r="E333" s="43">
        <v>46010</v>
      </c>
      <c r="F333" s="43">
        <v>46088</v>
      </c>
      <c r="G333" s="96" t="s">
        <v>92</v>
      </c>
      <c r="H333" s="96" t="s">
        <v>3679</v>
      </c>
      <c r="I333" s="96" t="s">
        <v>228</v>
      </c>
      <c r="J333" s="96" t="s">
        <v>216</v>
      </c>
      <c r="K333" s="96" t="s">
        <v>157</v>
      </c>
      <c r="L333">
        <v>78</v>
      </c>
      <c r="M333" t="s">
        <v>28</v>
      </c>
      <c r="N333" t="s">
        <v>25</v>
      </c>
      <c r="O333" t="s">
        <v>152</v>
      </c>
      <c r="P333">
        <v>2025</v>
      </c>
    </row>
    <row r="334" spans="1:16" hidden="1" x14ac:dyDescent="0.25">
      <c r="A334" s="96" t="s">
        <v>2</v>
      </c>
      <c r="B334" s="96" t="s">
        <v>190</v>
      </c>
      <c r="C334" s="96" t="s">
        <v>549</v>
      </c>
      <c r="D334" s="96" t="s">
        <v>10</v>
      </c>
      <c r="E334" s="43">
        <v>45912</v>
      </c>
      <c r="F334" s="43">
        <v>45976</v>
      </c>
      <c r="G334" s="96" t="s">
        <v>95</v>
      </c>
      <c r="H334" s="96" t="s">
        <v>3680</v>
      </c>
      <c r="I334" s="96" t="s">
        <v>194</v>
      </c>
      <c r="J334" s="96" t="s">
        <v>199</v>
      </c>
      <c r="K334" s="96" t="s">
        <v>205</v>
      </c>
      <c r="L334">
        <v>64</v>
      </c>
      <c r="M334" t="s">
        <v>28</v>
      </c>
      <c r="N334" t="s">
        <v>12</v>
      </c>
      <c r="O334" t="s">
        <v>150</v>
      </c>
      <c r="P334">
        <v>2025</v>
      </c>
    </row>
    <row r="335" spans="1:16" x14ac:dyDescent="0.25">
      <c r="A335" s="96" t="s">
        <v>2</v>
      </c>
      <c r="B335" s="96" t="s">
        <v>196</v>
      </c>
      <c r="C335" s="96" t="s">
        <v>3681</v>
      </c>
      <c r="D335" s="96" t="s">
        <v>40</v>
      </c>
      <c r="E335" s="43">
        <v>46129</v>
      </c>
      <c r="F335" s="43">
        <v>46151</v>
      </c>
      <c r="G335" s="96" t="s">
        <v>90</v>
      </c>
      <c r="H335" s="96" t="s">
        <v>3682</v>
      </c>
      <c r="I335" s="96" t="s">
        <v>204</v>
      </c>
      <c r="J335" s="96" t="s">
        <v>165</v>
      </c>
      <c r="K335" s="96" t="s">
        <v>230</v>
      </c>
      <c r="L335">
        <v>22</v>
      </c>
      <c r="M335" t="s">
        <v>19</v>
      </c>
      <c r="N335" t="s">
        <v>37</v>
      </c>
      <c r="O335" t="s">
        <v>152</v>
      </c>
      <c r="P335">
        <v>2026</v>
      </c>
    </row>
    <row r="336" spans="1:16" hidden="1" x14ac:dyDescent="0.25">
      <c r="A336" s="96" t="s">
        <v>2</v>
      </c>
      <c r="B336" s="96" t="s">
        <v>240</v>
      </c>
      <c r="C336" s="96" t="s">
        <v>550</v>
      </c>
      <c r="D336" s="96" t="s">
        <v>34</v>
      </c>
      <c r="E336" s="43">
        <v>45939</v>
      </c>
      <c r="F336" s="43">
        <v>45981</v>
      </c>
      <c r="G336" s="96" t="s">
        <v>92</v>
      </c>
      <c r="H336" s="96" t="s">
        <v>3683</v>
      </c>
      <c r="I336" s="96" t="s">
        <v>225</v>
      </c>
      <c r="J336" s="96" t="s">
        <v>174</v>
      </c>
      <c r="K336" s="96" t="s">
        <v>200</v>
      </c>
      <c r="L336">
        <v>42</v>
      </c>
      <c r="M336" t="s">
        <v>24</v>
      </c>
      <c r="N336" t="s">
        <v>16</v>
      </c>
      <c r="O336" t="s">
        <v>149</v>
      </c>
      <c r="P336">
        <v>2025</v>
      </c>
    </row>
    <row r="337" spans="1:16" x14ac:dyDescent="0.25">
      <c r="A337" s="96" t="s">
        <v>2</v>
      </c>
      <c r="B337" s="96" t="s">
        <v>305</v>
      </c>
      <c r="C337" s="96" t="s">
        <v>551</v>
      </c>
      <c r="D337" s="96" t="s">
        <v>208</v>
      </c>
      <c r="E337" s="43">
        <v>46145</v>
      </c>
      <c r="F337" s="43">
        <v>46148</v>
      </c>
      <c r="G337" s="96" t="s">
        <v>90</v>
      </c>
      <c r="H337" s="96" t="s">
        <v>3684</v>
      </c>
      <c r="I337" s="96" t="s">
        <v>157</v>
      </c>
      <c r="J337" s="96" t="s">
        <v>283</v>
      </c>
      <c r="K337" s="96" t="s">
        <v>195</v>
      </c>
      <c r="L337">
        <v>3</v>
      </c>
      <c r="M337" t="s">
        <v>11</v>
      </c>
      <c r="N337" t="s">
        <v>183</v>
      </c>
      <c r="O337" t="s">
        <v>170</v>
      </c>
      <c r="P337">
        <v>2026</v>
      </c>
    </row>
    <row r="338" spans="1:16" x14ac:dyDescent="0.25">
      <c r="A338" s="96" t="s">
        <v>2</v>
      </c>
      <c r="B338" s="96" t="s">
        <v>269</v>
      </c>
      <c r="C338" s="96" t="s">
        <v>552</v>
      </c>
      <c r="D338" s="96" t="s">
        <v>223</v>
      </c>
      <c r="E338" s="43">
        <v>46099</v>
      </c>
      <c r="F338" s="43">
        <v>46146</v>
      </c>
      <c r="G338" s="96" t="s">
        <v>92</v>
      </c>
      <c r="H338" s="96" t="s">
        <v>3685</v>
      </c>
      <c r="I338" s="96" t="s">
        <v>9</v>
      </c>
      <c r="J338" s="96" t="s">
        <v>173</v>
      </c>
      <c r="K338" s="96" t="s">
        <v>230</v>
      </c>
      <c r="L338">
        <v>47</v>
      </c>
      <c r="M338" t="s">
        <v>24</v>
      </c>
      <c r="N338" t="s">
        <v>35</v>
      </c>
      <c r="O338" t="s">
        <v>152</v>
      </c>
      <c r="P338">
        <v>2026</v>
      </c>
    </row>
    <row r="339" spans="1:16" x14ac:dyDescent="0.25">
      <c r="A339" s="96" t="s">
        <v>2</v>
      </c>
      <c r="B339" s="96" t="s">
        <v>288</v>
      </c>
      <c r="C339" s="96" t="s">
        <v>553</v>
      </c>
      <c r="D339" s="96" t="s">
        <v>40</v>
      </c>
      <c r="E339" s="43">
        <v>46109</v>
      </c>
      <c r="F339" s="43">
        <v>46146</v>
      </c>
      <c r="G339" s="96" t="s">
        <v>92</v>
      </c>
      <c r="H339" s="96" t="s">
        <v>3686</v>
      </c>
      <c r="I339" s="96" t="s">
        <v>209</v>
      </c>
      <c r="J339" s="96" t="s">
        <v>174</v>
      </c>
      <c r="K339" s="96" t="s">
        <v>195</v>
      </c>
      <c r="L339">
        <v>37</v>
      </c>
      <c r="M339" t="s">
        <v>24</v>
      </c>
      <c r="N339" t="s">
        <v>35</v>
      </c>
      <c r="O339" t="s">
        <v>170</v>
      </c>
      <c r="P339">
        <v>2026</v>
      </c>
    </row>
    <row r="340" spans="1:16" x14ac:dyDescent="0.25">
      <c r="A340" s="96" t="s">
        <v>175</v>
      </c>
      <c r="B340" s="96" t="s">
        <v>226</v>
      </c>
      <c r="C340" s="96" t="s">
        <v>554</v>
      </c>
      <c r="D340" s="96" t="s">
        <v>223</v>
      </c>
      <c r="E340" s="43">
        <v>46074</v>
      </c>
      <c r="F340" s="43">
        <v>46151</v>
      </c>
      <c r="G340" s="96" t="s">
        <v>90</v>
      </c>
      <c r="H340" s="96" t="s">
        <v>3687</v>
      </c>
      <c r="I340" s="96" t="s">
        <v>194</v>
      </c>
      <c r="J340" s="96" t="s">
        <v>169</v>
      </c>
      <c r="K340" s="96" t="s">
        <v>230</v>
      </c>
      <c r="L340">
        <v>77</v>
      </c>
      <c r="M340" t="s">
        <v>28</v>
      </c>
      <c r="N340" t="s">
        <v>32</v>
      </c>
      <c r="O340" t="s">
        <v>151</v>
      </c>
      <c r="P340">
        <v>2026</v>
      </c>
    </row>
    <row r="341" spans="1:16" x14ac:dyDescent="0.25">
      <c r="A341" s="96" t="s">
        <v>2</v>
      </c>
      <c r="B341" s="96" t="s">
        <v>288</v>
      </c>
      <c r="C341" s="96" t="s">
        <v>3688</v>
      </c>
      <c r="D341" s="96" t="s">
        <v>14</v>
      </c>
      <c r="E341" s="43">
        <v>46059</v>
      </c>
      <c r="F341" s="43">
        <v>46151</v>
      </c>
      <c r="G341" s="96" t="s">
        <v>92</v>
      </c>
      <c r="H341" s="96" t="s">
        <v>3689</v>
      </c>
      <c r="I341" s="96" t="s">
        <v>9</v>
      </c>
      <c r="J341" s="96" t="s">
        <v>96</v>
      </c>
      <c r="K341" s="96" t="s">
        <v>195</v>
      </c>
      <c r="L341">
        <v>92</v>
      </c>
      <c r="M341" t="s">
        <v>28</v>
      </c>
      <c r="N341" t="s">
        <v>32</v>
      </c>
      <c r="O341" t="s">
        <v>170</v>
      </c>
      <c r="P341">
        <v>2026</v>
      </c>
    </row>
    <row r="342" spans="1:16" hidden="1" x14ac:dyDescent="0.25">
      <c r="A342" s="96" t="s">
        <v>2</v>
      </c>
      <c r="B342" s="96" t="s">
        <v>213</v>
      </c>
      <c r="C342" s="96" t="s">
        <v>556</v>
      </c>
      <c r="D342" s="96" t="s">
        <v>10</v>
      </c>
      <c r="E342" s="43">
        <v>45962</v>
      </c>
      <c r="F342" s="43">
        <v>46074</v>
      </c>
      <c r="G342" s="96" t="s">
        <v>92</v>
      </c>
      <c r="H342" s="96" t="s">
        <v>3690</v>
      </c>
      <c r="I342" s="96" t="s">
        <v>228</v>
      </c>
      <c r="J342" s="96" t="s">
        <v>96</v>
      </c>
      <c r="K342" s="96" t="s">
        <v>205</v>
      </c>
      <c r="L342">
        <v>112</v>
      </c>
      <c r="M342" t="s">
        <v>28</v>
      </c>
      <c r="N342" t="s">
        <v>20</v>
      </c>
      <c r="O342" t="s">
        <v>149</v>
      </c>
      <c r="P342">
        <v>2025</v>
      </c>
    </row>
    <row r="343" spans="1:16" hidden="1" x14ac:dyDescent="0.25">
      <c r="A343" s="96" t="s">
        <v>2</v>
      </c>
      <c r="B343" s="96" t="s">
        <v>253</v>
      </c>
      <c r="C343" s="96" t="s">
        <v>557</v>
      </c>
      <c r="D343" s="96" t="s">
        <v>34</v>
      </c>
      <c r="E343" s="43">
        <v>45756</v>
      </c>
      <c r="F343" s="43">
        <v>45793</v>
      </c>
      <c r="G343" s="96" t="s">
        <v>92</v>
      </c>
      <c r="H343" s="96" t="s">
        <v>3691</v>
      </c>
      <c r="I343" s="96" t="s">
        <v>225</v>
      </c>
      <c r="J343" s="96" t="s">
        <v>168</v>
      </c>
      <c r="K343" s="96" t="s">
        <v>233</v>
      </c>
      <c r="L343">
        <v>37</v>
      </c>
      <c r="M343" t="s">
        <v>24</v>
      </c>
      <c r="N343" t="s">
        <v>185</v>
      </c>
      <c r="O343" t="s">
        <v>152</v>
      </c>
      <c r="P343">
        <v>2025</v>
      </c>
    </row>
    <row r="344" spans="1:16" hidden="1" x14ac:dyDescent="0.25">
      <c r="A344" s="96" t="s">
        <v>2</v>
      </c>
      <c r="B344" s="96" t="s">
        <v>280</v>
      </c>
      <c r="C344" s="96" t="s">
        <v>558</v>
      </c>
      <c r="D344" s="96" t="s">
        <v>14</v>
      </c>
      <c r="E344" s="43">
        <v>45749</v>
      </c>
      <c r="F344" s="43">
        <v>45840</v>
      </c>
      <c r="G344" s="96" t="s">
        <v>92</v>
      </c>
      <c r="H344" s="96" t="s">
        <v>3692</v>
      </c>
      <c r="I344" s="96" t="s">
        <v>157</v>
      </c>
      <c r="J344" s="96" t="s">
        <v>93</v>
      </c>
      <c r="K344" s="96" t="s">
        <v>210</v>
      </c>
      <c r="L344">
        <v>91</v>
      </c>
      <c r="M344" t="s">
        <v>28</v>
      </c>
      <c r="N344" t="s">
        <v>185</v>
      </c>
      <c r="O344" t="s">
        <v>170</v>
      </c>
      <c r="P344">
        <v>2025</v>
      </c>
    </row>
    <row r="345" spans="1:16" x14ac:dyDescent="0.25">
      <c r="A345" s="96" t="s">
        <v>2</v>
      </c>
      <c r="B345" s="96" t="s">
        <v>196</v>
      </c>
      <c r="C345" s="96" t="s">
        <v>3693</v>
      </c>
      <c r="D345" s="96" t="s">
        <v>223</v>
      </c>
      <c r="E345" s="43">
        <v>46123</v>
      </c>
      <c r="F345" s="43">
        <v>46147</v>
      </c>
      <c r="G345" s="96" t="s">
        <v>92</v>
      </c>
      <c r="H345" s="96" t="s">
        <v>3694</v>
      </c>
      <c r="I345" s="96" t="s">
        <v>194</v>
      </c>
      <c r="J345" s="96" t="s">
        <v>93</v>
      </c>
      <c r="K345" s="96" t="s">
        <v>210</v>
      </c>
      <c r="L345">
        <v>24</v>
      </c>
      <c r="M345" t="s">
        <v>19</v>
      </c>
      <c r="N345" t="s">
        <v>37</v>
      </c>
      <c r="O345" t="s">
        <v>152</v>
      </c>
      <c r="P345">
        <v>2026</v>
      </c>
    </row>
    <row r="346" spans="1:16" hidden="1" x14ac:dyDescent="0.25">
      <c r="A346" s="96" t="s">
        <v>2</v>
      </c>
      <c r="B346" s="96" t="s">
        <v>257</v>
      </c>
      <c r="C346" s="96" t="s">
        <v>3695</v>
      </c>
      <c r="D346" s="96" t="s">
        <v>14</v>
      </c>
      <c r="E346" s="43">
        <v>45863</v>
      </c>
      <c r="F346" s="43">
        <v>45939</v>
      </c>
      <c r="G346" s="96" t="s">
        <v>92</v>
      </c>
      <c r="H346" s="96" t="s">
        <v>3696</v>
      </c>
      <c r="I346" s="96" t="s">
        <v>204</v>
      </c>
      <c r="J346" s="96" t="s">
        <v>91</v>
      </c>
      <c r="K346" s="96" t="s">
        <v>217</v>
      </c>
      <c r="L346">
        <v>76</v>
      </c>
      <c r="M346" t="s">
        <v>28</v>
      </c>
      <c r="N346" t="s">
        <v>187</v>
      </c>
      <c r="O346" t="s">
        <v>151</v>
      </c>
      <c r="P346">
        <v>2025</v>
      </c>
    </row>
    <row r="347" spans="1:16" x14ac:dyDescent="0.25">
      <c r="A347" s="96" t="s">
        <v>2</v>
      </c>
      <c r="B347" s="96" t="s">
        <v>288</v>
      </c>
      <c r="C347" s="96" t="s">
        <v>3697</v>
      </c>
      <c r="D347" s="96" t="s">
        <v>14</v>
      </c>
      <c r="E347" s="43">
        <v>46134</v>
      </c>
      <c r="F347" s="43">
        <v>46149</v>
      </c>
      <c r="G347" s="96" t="s">
        <v>90</v>
      </c>
      <c r="H347" s="96" t="s">
        <v>3698</v>
      </c>
      <c r="I347" s="96" t="s">
        <v>228</v>
      </c>
      <c r="J347" s="96" t="s">
        <v>93</v>
      </c>
      <c r="K347" s="96" t="s">
        <v>200</v>
      </c>
      <c r="L347">
        <v>15</v>
      </c>
      <c r="M347" t="s">
        <v>19</v>
      </c>
      <c r="N347" t="s">
        <v>37</v>
      </c>
      <c r="O347" t="s">
        <v>170</v>
      </c>
      <c r="P347">
        <v>2026</v>
      </c>
    </row>
    <row r="348" spans="1:16" hidden="1" x14ac:dyDescent="0.25">
      <c r="A348" s="96" t="s">
        <v>2</v>
      </c>
      <c r="B348" s="96" t="s">
        <v>264</v>
      </c>
      <c r="C348" s="96" t="s">
        <v>561</v>
      </c>
      <c r="D348" s="96" t="s">
        <v>223</v>
      </c>
      <c r="E348" s="43">
        <v>45885</v>
      </c>
      <c r="F348" s="43">
        <v>45908</v>
      </c>
      <c r="G348" s="96" t="s">
        <v>92</v>
      </c>
      <c r="H348" s="96" t="s">
        <v>3699</v>
      </c>
      <c r="I348" s="96" t="s">
        <v>194</v>
      </c>
      <c r="J348" s="96" t="s">
        <v>177</v>
      </c>
      <c r="K348" s="96" t="s">
        <v>233</v>
      </c>
      <c r="L348">
        <v>23</v>
      </c>
      <c r="M348" t="s">
        <v>19</v>
      </c>
      <c r="N348" t="s">
        <v>8</v>
      </c>
      <c r="O348" t="s">
        <v>152</v>
      </c>
      <c r="P348">
        <v>2025</v>
      </c>
    </row>
    <row r="349" spans="1:16" hidden="1" x14ac:dyDescent="0.25">
      <c r="A349" s="96" t="s">
        <v>2</v>
      </c>
      <c r="B349" s="96" t="s">
        <v>206</v>
      </c>
      <c r="C349" s="96" t="s">
        <v>3700</v>
      </c>
      <c r="D349" s="96" t="s">
        <v>203</v>
      </c>
      <c r="E349" s="43">
        <v>45723</v>
      </c>
      <c r="F349" s="43">
        <v>45833</v>
      </c>
      <c r="G349" s="96" t="s">
        <v>92</v>
      </c>
      <c r="H349" s="96" t="s">
        <v>3701</v>
      </c>
      <c r="I349" s="96" t="s">
        <v>157</v>
      </c>
      <c r="J349" s="96" t="s">
        <v>97</v>
      </c>
      <c r="K349" s="96" t="s">
        <v>233</v>
      </c>
      <c r="L349">
        <v>110</v>
      </c>
      <c r="M349" t="s">
        <v>28</v>
      </c>
      <c r="N349" t="s">
        <v>186</v>
      </c>
      <c r="O349" t="s">
        <v>152</v>
      </c>
      <c r="P349">
        <v>2025</v>
      </c>
    </row>
    <row r="350" spans="1:16" x14ac:dyDescent="0.25">
      <c r="A350" s="96" t="s">
        <v>2</v>
      </c>
      <c r="B350" s="96" t="s">
        <v>261</v>
      </c>
      <c r="C350" s="96" t="s">
        <v>564</v>
      </c>
      <c r="D350" s="96" t="s">
        <v>237</v>
      </c>
      <c r="E350" s="43">
        <v>46030</v>
      </c>
      <c r="F350" s="43">
        <v>46061</v>
      </c>
      <c r="G350" s="96" t="s">
        <v>90</v>
      </c>
      <c r="H350" s="96" t="s">
        <v>3702</v>
      </c>
      <c r="I350" s="96" t="s">
        <v>228</v>
      </c>
      <c r="J350" s="96" t="s">
        <v>91</v>
      </c>
      <c r="K350" s="96" t="s">
        <v>210</v>
      </c>
      <c r="L350">
        <v>31</v>
      </c>
      <c r="M350" t="s">
        <v>24</v>
      </c>
      <c r="N350" t="s">
        <v>29</v>
      </c>
      <c r="O350" t="s">
        <v>151</v>
      </c>
      <c r="P350">
        <v>2026</v>
      </c>
    </row>
    <row r="351" spans="1:16" hidden="1" x14ac:dyDescent="0.25">
      <c r="A351" s="96" t="s">
        <v>175</v>
      </c>
      <c r="B351" s="96" t="s">
        <v>272</v>
      </c>
      <c r="C351" s="96" t="s">
        <v>566</v>
      </c>
      <c r="D351" s="96" t="s">
        <v>34</v>
      </c>
      <c r="E351" s="43">
        <v>45754</v>
      </c>
      <c r="F351" s="43">
        <v>45826</v>
      </c>
      <c r="G351" s="96" t="s">
        <v>92</v>
      </c>
      <c r="H351" s="96" t="s">
        <v>3703</v>
      </c>
      <c r="I351" s="96" t="s">
        <v>9</v>
      </c>
      <c r="J351" s="96" t="s">
        <v>165</v>
      </c>
      <c r="K351" s="96" t="s">
        <v>195</v>
      </c>
      <c r="L351">
        <v>72</v>
      </c>
      <c r="M351" t="s">
        <v>28</v>
      </c>
      <c r="N351" t="s">
        <v>185</v>
      </c>
      <c r="O351" t="s">
        <v>151</v>
      </c>
      <c r="P351">
        <v>2025</v>
      </c>
    </row>
    <row r="352" spans="1:16" hidden="1" x14ac:dyDescent="0.25">
      <c r="A352" s="96" t="s">
        <v>2</v>
      </c>
      <c r="B352" s="96" t="s">
        <v>272</v>
      </c>
      <c r="C352" s="96" t="s">
        <v>567</v>
      </c>
      <c r="D352" s="96" t="s">
        <v>192</v>
      </c>
      <c r="E352" s="43">
        <v>45940</v>
      </c>
      <c r="F352" s="43">
        <v>46045</v>
      </c>
      <c r="G352" s="96" t="s">
        <v>92</v>
      </c>
      <c r="H352" s="96" t="s">
        <v>555</v>
      </c>
      <c r="I352" s="96" t="s">
        <v>194</v>
      </c>
      <c r="J352" s="96" t="s">
        <v>94</v>
      </c>
      <c r="K352" s="96" t="s">
        <v>157</v>
      </c>
      <c r="L352">
        <v>105</v>
      </c>
      <c r="M352" t="s">
        <v>28</v>
      </c>
      <c r="N352" t="s">
        <v>16</v>
      </c>
      <c r="O352" t="s">
        <v>151</v>
      </c>
      <c r="P352">
        <v>2025</v>
      </c>
    </row>
    <row r="353" spans="1:16" x14ac:dyDescent="0.25">
      <c r="A353" s="96" t="s">
        <v>2</v>
      </c>
      <c r="B353" s="96" t="s">
        <v>269</v>
      </c>
      <c r="C353" s="96" t="s">
        <v>568</v>
      </c>
      <c r="D353" s="96" t="s">
        <v>192</v>
      </c>
      <c r="E353" s="43">
        <v>46102</v>
      </c>
      <c r="F353" s="43">
        <v>46151</v>
      </c>
      <c r="G353" s="96" t="s">
        <v>92</v>
      </c>
      <c r="H353" s="96" t="s">
        <v>3704</v>
      </c>
      <c r="I353" s="96" t="s">
        <v>209</v>
      </c>
      <c r="J353" s="96" t="s">
        <v>174</v>
      </c>
      <c r="K353" s="96" t="s">
        <v>217</v>
      </c>
      <c r="L353">
        <v>49</v>
      </c>
      <c r="M353" t="s">
        <v>24</v>
      </c>
      <c r="N353" t="s">
        <v>35</v>
      </c>
      <c r="O353" t="s">
        <v>152</v>
      </c>
      <c r="P353">
        <v>2026</v>
      </c>
    </row>
    <row r="354" spans="1:16" hidden="1" x14ac:dyDescent="0.25">
      <c r="A354" s="96" t="s">
        <v>2</v>
      </c>
      <c r="B354" s="96" t="s">
        <v>322</v>
      </c>
      <c r="C354" s="96" t="s">
        <v>569</v>
      </c>
      <c r="D354" s="96" t="s">
        <v>10</v>
      </c>
      <c r="E354" s="43">
        <v>45808</v>
      </c>
      <c r="F354" s="43">
        <v>45846</v>
      </c>
      <c r="G354" s="96" t="s">
        <v>92</v>
      </c>
      <c r="H354" s="96" t="s">
        <v>3705</v>
      </c>
      <c r="I354" s="96" t="s">
        <v>209</v>
      </c>
      <c r="J354" s="96" t="s">
        <v>216</v>
      </c>
      <c r="K354" s="96" t="s">
        <v>210</v>
      </c>
      <c r="L354">
        <v>38</v>
      </c>
      <c r="M354" t="s">
        <v>24</v>
      </c>
      <c r="N354" t="s">
        <v>182</v>
      </c>
      <c r="O354" t="s">
        <v>150</v>
      </c>
      <c r="P354">
        <v>2025</v>
      </c>
    </row>
    <row r="355" spans="1:16" hidden="1" x14ac:dyDescent="0.25">
      <c r="A355" s="96" t="s">
        <v>2</v>
      </c>
      <c r="B355" s="96" t="s">
        <v>221</v>
      </c>
      <c r="C355" s="96" t="s">
        <v>570</v>
      </c>
      <c r="D355" s="96" t="s">
        <v>40</v>
      </c>
      <c r="E355" s="43">
        <v>45994</v>
      </c>
      <c r="F355" s="43">
        <v>46032</v>
      </c>
      <c r="G355" s="96" t="s">
        <v>92</v>
      </c>
      <c r="H355" s="96" t="s">
        <v>3706</v>
      </c>
      <c r="I355" s="96" t="s">
        <v>204</v>
      </c>
      <c r="J355" s="96" t="s">
        <v>173</v>
      </c>
      <c r="K355" s="96" t="s">
        <v>230</v>
      </c>
      <c r="L355">
        <v>38</v>
      </c>
      <c r="M355" t="s">
        <v>24</v>
      </c>
      <c r="N355" t="s">
        <v>25</v>
      </c>
      <c r="O355" t="s">
        <v>170</v>
      </c>
      <c r="P355">
        <v>2025</v>
      </c>
    </row>
    <row r="356" spans="1:16" x14ac:dyDescent="0.25">
      <c r="A356" s="96" t="s">
        <v>2</v>
      </c>
      <c r="B356" s="96" t="s">
        <v>374</v>
      </c>
      <c r="C356" s="96" t="s">
        <v>571</v>
      </c>
      <c r="D356" s="96" t="s">
        <v>208</v>
      </c>
      <c r="E356" s="43">
        <v>46083</v>
      </c>
      <c r="F356" s="43">
        <v>46146</v>
      </c>
      <c r="G356" s="96" t="s">
        <v>92</v>
      </c>
      <c r="H356" s="96" t="s">
        <v>559</v>
      </c>
      <c r="I356" s="96" t="s">
        <v>157</v>
      </c>
      <c r="J356" s="96" t="s">
        <v>283</v>
      </c>
      <c r="K356" s="96" t="s">
        <v>217</v>
      </c>
      <c r="L356">
        <v>63</v>
      </c>
      <c r="M356" t="s">
        <v>28</v>
      </c>
      <c r="N356" t="s">
        <v>35</v>
      </c>
      <c r="O356" t="s">
        <v>150</v>
      </c>
      <c r="P356">
        <v>2026</v>
      </c>
    </row>
    <row r="357" spans="1:16" hidden="1" x14ac:dyDescent="0.25">
      <c r="A357" s="96" t="s">
        <v>2</v>
      </c>
      <c r="B357" s="96" t="s">
        <v>231</v>
      </c>
      <c r="C357" s="96" t="s">
        <v>3707</v>
      </c>
      <c r="D357" s="96" t="s">
        <v>34</v>
      </c>
      <c r="E357" s="43">
        <v>45812</v>
      </c>
      <c r="F357" s="43">
        <v>45873</v>
      </c>
      <c r="G357" s="96" t="s">
        <v>90</v>
      </c>
      <c r="H357" s="96" t="s">
        <v>560</v>
      </c>
      <c r="I357" s="96" t="s">
        <v>228</v>
      </c>
      <c r="J357" s="96" t="s">
        <v>283</v>
      </c>
      <c r="K357" s="96" t="s">
        <v>195</v>
      </c>
      <c r="L357">
        <v>61</v>
      </c>
      <c r="M357" t="s">
        <v>28</v>
      </c>
      <c r="N357" t="s">
        <v>184</v>
      </c>
      <c r="O357" t="s">
        <v>170</v>
      </c>
      <c r="P357">
        <v>2025</v>
      </c>
    </row>
    <row r="358" spans="1:16" hidden="1" x14ac:dyDescent="0.25">
      <c r="A358" s="96" t="s">
        <v>2</v>
      </c>
      <c r="B358" s="96" t="s">
        <v>240</v>
      </c>
      <c r="C358" s="96" t="s">
        <v>3708</v>
      </c>
      <c r="D358" s="96" t="s">
        <v>223</v>
      </c>
      <c r="E358" s="43">
        <v>46002</v>
      </c>
      <c r="F358" s="43">
        <v>46004</v>
      </c>
      <c r="G358" s="96" t="s">
        <v>92</v>
      </c>
      <c r="H358" s="96" t="s">
        <v>562</v>
      </c>
      <c r="I358" s="96" t="s">
        <v>225</v>
      </c>
      <c r="J358" s="96" t="s">
        <v>96</v>
      </c>
      <c r="K358" s="96" t="s">
        <v>230</v>
      </c>
      <c r="L358">
        <v>2</v>
      </c>
      <c r="M358" t="s">
        <v>11</v>
      </c>
      <c r="N358" t="s">
        <v>25</v>
      </c>
      <c r="O358" t="s">
        <v>149</v>
      </c>
      <c r="P358">
        <v>2025</v>
      </c>
    </row>
    <row r="359" spans="1:16" hidden="1" x14ac:dyDescent="0.25">
      <c r="A359" s="96" t="s">
        <v>2</v>
      </c>
      <c r="B359" s="96" t="s">
        <v>322</v>
      </c>
      <c r="C359" s="96" t="s">
        <v>572</v>
      </c>
      <c r="D359" s="96" t="s">
        <v>208</v>
      </c>
      <c r="E359" s="43">
        <v>45989</v>
      </c>
      <c r="F359" s="43">
        <v>46062</v>
      </c>
      <c r="G359" s="96" t="s">
        <v>92</v>
      </c>
      <c r="H359" s="96" t="s">
        <v>563</v>
      </c>
      <c r="I359" s="96" t="s">
        <v>204</v>
      </c>
      <c r="J359" s="96" t="s">
        <v>283</v>
      </c>
      <c r="K359" s="96" t="s">
        <v>200</v>
      </c>
      <c r="L359">
        <v>73</v>
      </c>
      <c r="M359" t="s">
        <v>28</v>
      </c>
      <c r="N359" t="s">
        <v>20</v>
      </c>
      <c r="O359" t="s">
        <v>150</v>
      </c>
      <c r="P359">
        <v>2025</v>
      </c>
    </row>
    <row r="360" spans="1:16" x14ac:dyDescent="0.25">
      <c r="A360" s="96" t="s">
        <v>2</v>
      </c>
      <c r="B360" s="96" t="s">
        <v>302</v>
      </c>
      <c r="C360" s="96" t="s">
        <v>573</v>
      </c>
      <c r="D360" s="96" t="s">
        <v>192</v>
      </c>
      <c r="E360" s="43">
        <v>46074</v>
      </c>
      <c r="F360" s="43">
        <v>46148</v>
      </c>
      <c r="G360" s="96" t="s">
        <v>92</v>
      </c>
      <c r="H360" s="96" t="s">
        <v>565</v>
      </c>
      <c r="I360" s="96" t="s">
        <v>209</v>
      </c>
      <c r="J360" s="96" t="s">
        <v>199</v>
      </c>
      <c r="K360" s="96" t="s">
        <v>246</v>
      </c>
      <c r="L360">
        <v>74</v>
      </c>
      <c r="M360" t="s">
        <v>28</v>
      </c>
      <c r="N360" t="s">
        <v>32</v>
      </c>
      <c r="O360" t="s">
        <v>150</v>
      </c>
      <c r="P360">
        <v>2026</v>
      </c>
    </row>
    <row r="361" spans="1:16" hidden="1" x14ac:dyDescent="0.25">
      <c r="A361" s="96" t="s">
        <v>2</v>
      </c>
      <c r="B361" s="96" t="s">
        <v>240</v>
      </c>
      <c r="C361" s="96" t="s">
        <v>3709</v>
      </c>
      <c r="D361" s="96" t="s">
        <v>208</v>
      </c>
      <c r="E361" s="43">
        <v>45710</v>
      </c>
      <c r="F361" s="43">
        <v>45715</v>
      </c>
      <c r="G361" s="96" t="s">
        <v>92</v>
      </c>
      <c r="H361" s="96" t="s">
        <v>3710</v>
      </c>
      <c r="I361" s="96" t="s">
        <v>225</v>
      </c>
      <c r="J361" s="96" t="s">
        <v>172</v>
      </c>
      <c r="K361" s="96" t="s">
        <v>195</v>
      </c>
      <c r="L361">
        <v>5</v>
      </c>
      <c r="M361" t="s">
        <v>11</v>
      </c>
      <c r="N361" t="s">
        <v>188</v>
      </c>
      <c r="O361" t="s">
        <v>149</v>
      </c>
      <c r="P361">
        <v>2025</v>
      </c>
    </row>
    <row r="362" spans="1:16" hidden="1" x14ac:dyDescent="0.25">
      <c r="A362" s="96" t="s">
        <v>2</v>
      </c>
      <c r="B362" s="96" t="s">
        <v>264</v>
      </c>
      <c r="C362" s="96" t="s">
        <v>574</v>
      </c>
      <c r="D362" s="96" t="s">
        <v>237</v>
      </c>
      <c r="E362" s="43">
        <v>45794</v>
      </c>
      <c r="F362" s="43">
        <v>45814</v>
      </c>
      <c r="G362" s="96" t="s">
        <v>92</v>
      </c>
      <c r="H362" s="96" t="s">
        <v>3711</v>
      </c>
      <c r="I362" s="96" t="s">
        <v>194</v>
      </c>
      <c r="J362" s="96" t="s">
        <v>165</v>
      </c>
      <c r="K362" s="96" t="s">
        <v>157</v>
      </c>
      <c r="L362">
        <v>20</v>
      </c>
      <c r="M362" t="s">
        <v>19</v>
      </c>
      <c r="N362" t="s">
        <v>182</v>
      </c>
      <c r="O362" t="s">
        <v>152</v>
      </c>
      <c r="P362">
        <v>2025</v>
      </c>
    </row>
    <row r="363" spans="1:16" hidden="1" x14ac:dyDescent="0.25">
      <c r="A363" s="96" t="s">
        <v>2</v>
      </c>
      <c r="B363" s="96" t="s">
        <v>272</v>
      </c>
      <c r="C363" s="96" t="s">
        <v>575</v>
      </c>
      <c r="D363" s="96" t="s">
        <v>215</v>
      </c>
      <c r="E363" s="43">
        <v>45832</v>
      </c>
      <c r="F363" s="43">
        <v>45843</v>
      </c>
      <c r="G363" s="96" t="s">
        <v>92</v>
      </c>
      <c r="H363" s="96" t="s">
        <v>3712</v>
      </c>
      <c r="I363" s="96" t="s">
        <v>204</v>
      </c>
      <c r="J363" s="96" t="s">
        <v>176</v>
      </c>
      <c r="K363" s="96" t="s">
        <v>233</v>
      </c>
      <c r="L363">
        <v>11</v>
      </c>
      <c r="M363" t="s">
        <v>15</v>
      </c>
      <c r="N363" t="s">
        <v>184</v>
      </c>
      <c r="O363" t="s">
        <v>151</v>
      </c>
      <c r="P363">
        <v>2025</v>
      </c>
    </row>
    <row r="364" spans="1:16" hidden="1" x14ac:dyDescent="0.25">
      <c r="A364" s="96" t="s">
        <v>2</v>
      </c>
      <c r="B364" s="96" t="s">
        <v>251</v>
      </c>
      <c r="C364" s="96" t="s">
        <v>3713</v>
      </c>
      <c r="D364" s="96" t="s">
        <v>192</v>
      </c>
      <c r="E364" s="43">
        <v>45841</v>
      </c>
      <c r="F364" s="43">
        <v>45904</v>
      </c>
      <c r="G364" s="96" t="s">
        <v>92</v>
      </c>
      <c r="H364" s="96" t="s">
        <v>3714</v>
      </c>
      <c r="I364" s="96" t="s">
        <v>225</v>
      </c>
      <c r="J364" s="96" t="s">
        <v>216</v>
      </c>
      <c r="K364" s="96" t="s">
        <v>217</v>
      </c>
      <c r="L364">
        <v>63</v>
      </c>
      <c r="M364" t="s">
        <v>28</v>
      </c>
      <c r="N364" t="s">
        <v>187</v>
      </c>
      <c r="O364" t="s">
        <v>170</v>
      </c>
      <c r="P364">
        <v>2025</v>
      </c>
    </row>
    <row r="365" spans="1:16" x14ac:dyDescent="0.25">
      <c r="A365" s="96" t="s">
        <v>175</v>
      </c>
      <c r="B365" s="96" t="s">
        <v>305</v>
      </c>
      <c r="C365" s="96" t="s">
        <v>576</v>
      </c>
      <c r="D365" s="96" t="s">
        <v>192</v>
      </c>
      <c r="E365" s="43">
        <v>46033</v>
      </c>
      <c r="F365" s="43">
        <v>46085</v>
      </c>
      <c r="G365" s="96" t="s">
        <v>90</v>
      </c>
      <c r="H365" s="96" t="s">
        <v>3715</v>
      </c>
      <c r="I365" s="96" t="s">
        <v>225</v>
      </c>
      <c r="J365" s="96" t="s">
        <v>165</v>
      </c>
      <c r="K365" s="96" t="s">
        <v>195</v>
      </c>
      <c r="L365">
        <v>52</v>
      </c>
      <c r="M365" t="s">
        <v>24</v>
      </c>
      <c r="N365" t="s">
        <v>29</v>
      </c>
      <c r="O365" t="s">
        <v>170</v>
      </c>
      <c r="P365">
        <v>2026</v>
      </c>
    </row>
    <row r="366" spans="1:16" hidden="1" x14ac:dyDescent="0.25">
      <c r="A366" s="96" t="s">
        <v>21</v>
      </c>
      <c r="B366" s="96" t="s">
        <v>251</v>
      </c>
      <c r="C366" s="96" t="s">
        <v>578</v>
      </c>
      <c r="D366" s="96" t="s">
        <v>10</v>
      </c>
      <c r="E366" s="43">
        <v>45908</v>
      </c>
      <c r="F366" s="43">
        <v>45992</v>
      </c>
      <c r="G366" s="96" t="s">
        <v>92</v>
      </c>
      <c r="H366" s="96" t="s">
        <v>3716</v>
      </c>
      <c r="I366" s="96" t="s">
        <v>225</v>
      </c>
      <c r="J366" s="96" t="s">
        <v>177</v>
      </c>
      <c r="K366" s="96" t="s">
        <v>230</v>
      </c>
      <c r="L366">
        <v>84</v>
      </c>
      <c r="M366" t="s">
        <v>28</v>
      </c>
      <c r="N366" t="s">
        <v>12</v>
      </c>
      <c r="O366" t="s">
        <v>170</v>
      </c>
      <c r="P366">
        <v>2025</v>
      </c>
    </row>
    <row r="367" spans="1:16" x14ac:dyDescent="0.25">
      <c r="A367" s="96" t="s">
        <v>175</v>
      </c>
      <c r="B367" s="96" t="s">
        <v>288</v>
      </c>
      <c r="C367" s="96" t="s">
        <v>579</v>
      </c>
      <c r="D367" s="96" t="s">
        <v>208</v>
      </c>
      <c r="E367" s="43">
        <v>46047</v>
      </c>
      <c r="F367" s="43">
        <v>46106</v>
      </c>
      <c r="G367" s="96" t="s">
        <v>92</v>
      </c>
      <c r="H367" s="96" t="s">
        <v>3717</v>
      </c>
      <c r="I367" s="96" t="s">
        <v>228</v>
      </c>
      <c r="J367" s="96" t="s">
        <v>94</v>
      </c>
      <c r="K367" s="96" t="s">
        <v>233</v>
      </c>
      <c r="L367">
        <v>59</v>
      </c>
      <c r="M367" t="s">
        <v>24</v>
      </c>
      <c r="N367" t="s">
        <v>29</v>
      </c>
      <c r="O367" t="s">
        <v>170</v>
      </c>
      <c r="P367">
        <v>2026</v>
      </c>
    </row>
    <row r="368" spans="1:16" x14ac:dyDescent="0.25">
      <c r="A368" s="96" t="s">
        <v>2</v>
      </c>
      <c r="B368" s="96" t="s">
        <v>261</v>
      </c>
      <c r="C368" s="96" t="s">
        <v>580</v>
      </c>
      <c r="D368" s="96" t="s">
        <v>223</v>
      </c>
      <c r="E368" s="43">
        <v>46132</v>
      </c>
      <c r="F368" s="43">
        <v>46146</v>
      </c>
      <c r="G368" s="96" t="s">
        <v>90</v>
      </c>
      <c r="H368" s="96" t="s">
        <v>3718</v>
      </c>
      <c r="I368" s="96" t="s">
        <v>157</v>
      </c>
      <c r="J368" s="96" t="s">
        <v>91</v>
      </c>
      <c r="K368" s="96" t="s">
        <v>195</v>
      </c>
      <c r="L368">
        <v>14</v>
      </c>
      <c r="M368" t="s">
        <v>15</v>
      </c>
      <c r="N368" t="s">
        <v>37</v>
      </c>
      <c r="O368" t="s">
        <v>151</v>
      </c>
      <c r="P368">
        <v>2026</v>
      </c>
    </row>
    <row r="369" spans="1:16" hidden="1" x14ac:dyDescent="0.25">
      <c r="A369" s="96" t="s">
        <v>2</v>
      </c>
      <c r="B369" s="96" t="s">
        <v>213</v>
      </c>
      <c r="C369" s="96" t="s">
        <v>3719</v>
      </c>
      <c r="D369" s="96" t="s">
        <v>203</v>
      </c>
      <c r="E369" s="43">
        <v>45829</v>
      </c>
      <c r="F369" s="43">
        <v>45838</v>
      </c>
      <c r="G369" s="96" t="s">
        <v>92</v>
      </c>
      <c r="H369" s="96" t="s">
        <v>3720</v>
      </c>
      <c r="I369" s="96" t="s">
        <v>225</v>
      </c>
      <c r="J369" s="96" t="s">
        <v>93</v>
      </c>
      <c r="K369" s="96" t="s">
        <v>205</v>
      </c>
      <c r="L369">
        <v>9</v>
      </c>
      <c r="M369" t="s">
        <v>15</v>
      </c>
      <c r="N369" t="s">
        <v>184</v>
      </c>
      <c r="O369" t="s">
        <v>149</v>
      </c>
      <c r="P369">
        <v>2025</v>
      </c>
    </row>
    <row r="370" spans="1:16" x14ac:dyDescent="0.25">
      <c r="A370" s="96" t="s">
        <v>2</v>
      </c>
      <c r="B370" s="96" t="s">
        <v>201</v>
      </c>
      <c r="C370" s="96" t="s">
        <v>3721</v>
      </c>
      <c r="D370" s="96" t="s">
        <v>10</v>
      </c>
      <c r="E370" s="43">
        <v>46033</v>
      </c>
      <c r="F370" s="43">
        <v>46051</v>
      </c>
      <c r="G370" s="96" t="s">
        <v>92</v>
      </c>
      <c r="H370" s="96" t="s">
        <v>3722</v>
      </c>
      <c r="I370" s="96" t="s">
        <v>9</v>
      </c>
      <c r="J370" s="96" t="s">
        <v>229</v>
      </c>
      <c r="K370" s="96" t="s">
        <v>233</v>
      </c>
      <c r="L370">
        <v>18</v>
      </c>
      <c r="M370" t="s">
        <v>19</v>
      </c>
      <c r="N370" t="s">
        <v>29</v>
      </c>
      <c r="O370" t="s">
        <v>170</v>
      </c>
      <c r="P370">
        <v>2026</v>
      </c>
    </row>
    <row r="371" spans="1:16" hidden="1" x14ac:dyDescent="0.25">
      <c r="A371" s="96" t="s">
        <v>2</v>
      </c>
      <c r="B371" s="96" t="s">
        <v>264</v>
      </c>
      <c r="C371" s="96" t="s">
        <v>3723</v>
      </c>
      <c r="D371" s="96" t="s">
        <v>215</v>
      </c>
      <c r="E371" s="43">
        <v>45961</v>
      </c>
      <c r="F371" s="43">
        <v>46075</v>
      </c>
      <c r="G371" s="96" t="s">
        <v>90</v>
      </c>
      <c r="H371" s="96" t="s">
        <v>3724</v>
      </c>
      <c r="I371" s="96" t="s">
        <v>225</v>
      </c>
      <c r="J371" s="96" t="s">
        <v>168</v>
      </c>
      <c r="K371" s="96" t="s">
        <v>157</v>
      </c>
      <c r="L371">
        <v>114</v>
      </c>
      <c r="M371" t="s">
        <v>28</v>
      </c>
      <c r="N371" t="s">
        <v>16</v>
      </c>
      <c r="O371" t="s">
        <v>152</v>
      </c>
      <c r="P371">
        <v>2025</v>
      </c>
    </row>
    <row r="372" spans="1:16" hidden="1" x14ac:dyDescent="0.25">
      <c r="A372" s="96" t="s">
        <v>2</v>
      </c>
      <c r="B372" s="96" t="s">
        <v>221</v>
      </c>
      <c r="C372" s="96" t="s">
        <v>581</v>
      </c>
      <c r="D372" s="96" t="s">
        <v>40</v>
      </c>
      <c r="E372" s="43">
        <v>45780</v>
      </c>
      <c r="F372" s="43">
        <v>45803</v>
      </c>
      <c r="G372" s="96" t="s">
        <v>90</v>
      </c>
      <c r="H372" s="96" t="s">
        <v>3725</v>
      </c>
      <c r="I372" s="96" t="s">
        <v>204</v>
      </c>
      <c r="J372" s="96" t="s">
        <v>283</v>
      </c>
      <c r="K372" s="96" t="s">
        <v>195</v>
      </c>
      <c r="L372">
        <v>23</v>
      </c>
      <c r="M372" t="s">
        <v>19</v>
      </c>
      <c r="N372" t="s">
        <v>182</v>
      </c>
      <c r="O372" t="s">
        <v>170</v>
      </c>
      <c r="P372">
        <v>2025</v>
      </c>
    </row>
    <row r="373" spans="1:16" hidden="1" x14ac:dyDescent="0.25">
      <c r="A373" s="96" t="s">
        <v>2</v>
      </c>
      <c r="B373" s="96" t="s">
        <v>221</v>
      </c>
      <c r="C373" s="96" t="s">
        <v>582</v>
      </c>
      <c r="D373" s="96" t="s">
        <v>215</v>
      </c>
      <c r="E373" s="43">
        <v>45756</v>
      </c>
      <c r="F373" s="43">
        <v>45772</v>
      </c>
      <c r="G373" s="96" t="s">
        <v>90</v>
      </c>
      <c r="H373" s="96" t="s">
        <v>3726</v>
      </c>
      <c r="I373" s="96" t="s">
        <v>194</v>
      </c>
      <c r="J373" s="96" t="s">
        <v>91</v>
      </c>
      <c r="K373" s="96" t="s">
        <v>230</v>
      </c>
      <c r="L373">
        <v>16</v>
      </c>
      <c r="M373" t="s">
        <v>19</v>
      </c>
      <c r="N373" t="s">
        <v>185</v>
      </c>
      <c r="O373" t="s">
        <v>170</v>
      </c>
      <c r="P373">
        <v>2025</v>
      </c>
    </row>
    <row r="374" spans="1:16" hidden="1" x14ac:dyDescent="0.25">
      <c r="A374" s="96" t="s">
        <v>2</v>
      </c>
      <c r="B374" s="96" t="s">
        <v>247</v>
      </c>
      <c r="C374" s="96" t="s">
        <v>583</v>
      </c>
      <c r="D374" s="96" t="s">
        <v>215</v>
      </c>
      <c r="E374" s="43">
        <v>45694</v>
      </c>
      <c r="F374" s="43">
        <v>45809</v>
      </c>
      <c r="G374" s="96" t="s">
        <v>92</v>
      </c>
      <c r="H374" s="96" t="s">
        <v>3727</v>
      </c>
      <c r="I374" s="96" t="s">
        <v>157</v>
      </c>
      <c r="J374" s="96" t="s">
        <v>199</v>
      </c>
      <c r="K374" s="96" t="s">
        <v>200</v>
      </c>
      <c r="L374">
        <v>115</v>
      </c>
      <c r="M374" t="s">
        <v>28</v>
      </c>
      <c r="N374" t="s">
        <v>188</v>
      </c>
      <c r="O374" t="s">
        <v>150</v>
      </c>
      <c r="P374">
        <v>2025</v>
      </c>
    </row>
    <row r="375" spans="1:16" x14ac:dyDescent="0.25">
      <c r="A375" s="96" t="s">
        <v>2</v>
      </c>
      <c r="B375" s="96" t="s">
        <v>218</v>
      </c>
      <c r="C375" s="96" t="s">
        <v>585</v>
      </c>
      <c r="D375" s="96" t="s">
        <v>215</v>
      </c>
      <c r="E375" s="43">
        <v>46139</v>
      </c>
      <c r="F375" s="43">
        <v>46148</v>
      </c>
      <c r="G375" s="96" t="s">
        <v>92</v>
      </c>
      <c r="H375" s="96" t="s">
        <v>3728</v>
      </c>
      <c r="I375" s="96" t="s">
        <v>204</v>
      </c>
      <c r="J375" s="96" t="s">
        <v>173</v>
      </c>
      <c r="K375" s="96" t="s">
        <v>195</v>
      </c>
      <c r="L375">
        <v>9</v>
      </c>
      <c r="M375" t="s">
        <v>15</v>
      </c>
      <c r="N375" t="s">
        <v>37</v>
      </c>
      <c r="O375" t="s">
        <v>152</v>
      </c>
      <c r="P375">
        <v>2026</v>
      </c>
    </row>
    <row r="376" spans="1:16" hidden="1" x14ac:dyDescent="0.25">
      <c r="A376" s="96" t="s">
        <v>175</v>
      </c>
      <c r="B376" s="96" t="s">
        <v>322</v>
      </c>
      <c r="C376" s="96" t="s">
        <v>586</v>
      </c>
      <c r="D376" s="96" t="s">
        <v>215</v>
      </c>
      <c r="E376" s="43">
        <v>45688</v>
      </c>
      <c r="F376" s="43">
        <v>45724</v>
      </c>
      <c r="G376" s="96" t="s">
        <v>92</v>
      </c>
      <c r="H376" s="96" t="s">
        <v>3729</v>
      </c>
      <c r="I376" s="96" t="s">
        <v>204</v>
      </c>
      <c r="J376" s="96" t="s">
        <v>229</v>
      </c>
      <c r="K376" s="96" t="s">
        <v>210</v>
      </c>
      <c r="L376">
        <v>36</v>
      </c>
      <c r="M376" t="s">
        <v>24</v>
      </c>
      <c r="N376" t="s">
        <v>181</v>
      </c>
      <c r="O376" t="s">
        <v>150</v>
      </c>
      <c r="P376">
        <v>2025</v>
      </c>
    </row>
    <row r="377" spans="1:16" hidden="1" x14ac:dyDescent="0.25">
      <c r="A377" s="96" t="s">
        <v>2</v>
      </c>
      <c r="B377" s="96" t="s">
        <v>322</v>
      </c>
      <c r="C377" s="96" t="s">
        <v>587</v>
      </c>
      <c r="D377" s="96" t="s">
        <v>208</v>
      </c>
      <c r="E377" s="43">
        <v>45941</v>
      </c>
      <c r="F377" s="43">
        <v>46051</v>
      </c>
      <c r="G377" s="96" t="s">
        <v>92</v>
      </c>
      <c r="H377" s="96" t="s">
        <v>3730</v>
      </c>
      <c r="I377" s="96" t="s">
        <v>204</v>
      </c>
      <c r="J377" s="96" t="s">
        <v>172</v>
      </c>
      <c r="K377" s="96" t="s">
        <v>217</v>
      </c>
      <c r="L377">
        <v>110</v>
      </c>
      <c r="M377" t="s">
        <v>28</v>
      </c>
      <c r="N377" t="s">
        <v>16</v>
      </c>
      <c r="O377" t="s">
        <v>150</v>
      </c>
      <c r="P377">
        <v>2025</v>
      </c>
    </row>
    <row r="378" spans="1:16" hidden="1" x14ac:dyDescent="0.25">
      <c r="A378" s="96" t="s">
        <v>2</v>
      </c>
      <c r="B378" s="96" t="s">
        <v>264</v>
      </c>
      <c r="C378" s="96" t="s">
        <v>3731</v>
      </c>
      <c r="D378" s="96" t="s">
        <v>192</v>
      </c>
      <c r="E378" s="43">
        <v>45784</v>
      </c>
      <c r="F378" s="43">
        <v>45816</v>
      </c>
      <c r="G378" s="96" t="s">
        <v>90</v>
      </c>
      <c r="H378" s="96" t="s">
        <v>3732</v>
      </c>
      <c r="I378" s="96" t="s">
        <v>9</v>
      </c>
      <c r="J378" s="96" t="s">
        <v>283</v>
      </c>
      <c r="K378" s="96" t="s">
        <v>195</v>
      </c>
      <c r="L378">
        <v>32</v>
      </c>
      <c r="M378" t="s">
        <v>24</v>
      </c>
      <c r="N378" t="s">
        <v>182</v>
      </c>
      <c r="O378" t="s">
        <v>152</v>
      </c>
      <c r="P378">
        <v>2025</v>
      </c>
    </row>
    <row r="379" spans="1:16" hidden="1" x14ac:dyDescent="0.25">
      <c r="A379" s="96" t="s">
        <v>2</v>
      </c>
      <c r="B379" s="96" t="s">
        <v>257</v>
      </c>
      <c r="C379" s="96" t="s">
        <v>3733</v>
      </c>
      <c r="D379" s="96" t="s">
        <v>10</v>
      </c>
      <c r="E379" s="43">
        <v>45664</v>
      </c>
      <c r="F379" s="43">
        <v>45753</v>
      </c>
      <c r="G379" s="96" t="s">
        <v>92</v>
      </c>
      <c r="H379" s="96" t="s">
        <v>3734</v>
      </c>
      <c r="I379" s="96" t="s">
        <v>194</v>
      </c>
      <c r="J379" s="96" t="s">
        <v>96</v>
      </c>
      <c r="K379" s="96" t="s">
        <v>210</v>
      </c>
      <c r="L379">
        <v>89</v>
      </c>
      <c r="M379" t="s">
        <v>28</v>
      </c>
      <c r="N379" t="s">
        <v>181</v>
      </c>
      <c r="O379" t="s">
        <v>151</v>
      </c>
      <c r="P379">
        <v>2025</v>
      </c>
    </row>
    <row r="380" spans="1:16" hidden="1" x14ac:dyDescent="0.25">
      <c r="A380" s="96" t="s">
        <v>171</v>
      </c>
      <c r="B380" s="96" t="s">
        <v>221</v>
      </c>
      <c r="C380" s="96" t="s">
        <v>3735</v>
      </c>
      <c r="D380" s="96" t="s">
        <v>34</v>
      </c>
      <c r="E380" s="43">
        <v>45950</v>
      </c>
      <c r="F380" s="43">
        <v>46046</v>
      </c>
      <c r="G380" s="96" t="s">
        <v>92</v>
      </c>
      <c r="H380" s="96" t="s">
        <v>3736</v>
      </c>
      <c r="I380" s="96" t="s">
        <v>157</v>
      </c>
      <c r="J380" s="96" t="s">
        <v>97</v>
      </c>
      <c r="K380" s="96" t="s">
        <v>246</v>
      </c>
      <c r="L380">
        <v>96</v>
      </c>
      <c r="M380" t="s">
        <v>28</v>
      </c>
      <c r="N380" t="s">
        <v>16</v>
      </c>
      <c r="O380" t="s">
        <v>170</v>
      </c>
      <c r="P380">
        <v>2025</v>
      </c>
    </row>
    <row r="381" spans="1:16" hidden="1" x14ac:dyDescent="0.25">
      <c r="A381" s="96" t="s">
        <v>21</v>
      </c>
      <c r="B381" s="96" t="s">
        <v>251</v>
      </c>
      <c r="C381" s="96" t="s">
        <v>3737</v>
      </c>
      <c r="D381" s="96" t="s">
        <v>237</v>
      </c>
      <c r="E381" s="43">
        <v>45658</v>
      </c>
      <c r="F381" s="43">
        <v>45769</v>
      </c>
      <c r="G381" s="96" t="s">
        <v>92</v>
      </c>
      <c r="H381" s="96" t="s">
        <v>3738</v>
      </c>
      <c r="I381" s="96" t="s">
        <v>157</v>
      </c>
      <c r="J381" s="96" t="s">
        <v>168</v>
      </c>
      <c r="K381" s="96" t="s">
        <v>157</v>
      </c>
      <c r="L381">
        <v>111</v>
      </c>
      <c r="M381" t="s">
        <v>28</v>
      </c>
      <c r="N381" t="s">
        <v>181</v>
      </c>
      <c r="O381" t="s">
        <v>170</v>
      </c>
      <c r="P381">
        <v>2025</v>
      </c>
    </row>
    <row r="382" spans="1:16" hidden="1" x14ac:dyDescent="0.25">
      <c r="A382" s="96" t="s">
        <v>2</v>
      </c>
      <c r="B382" s="96" t="s">
        <v>213</v>
      </c>
      <c r="C382" s="96" t="s">
        <v>588</v>
      </c>
      <c r="D382" s="96" t="s">
        <v>10</v>
      </c>
      <c r="E382" s="43">
        <v>45764</v>
      </c>
      <c r="F382" s="43">
        <v>45865</v>
      </c>
      <c r="G382" s="96" t="s">
        <v>92</v>
      </c>
      <c r="H382" s="96" t="s">
        <v>577</v>
      </c>
      <c r="I382" s="96" t="s">
        <v>9</v>
      </c>
      <c r="J382" s="96" t="s">
        <v>176</v>
      </c>
      <c r="K382" s="96" t="s">
        <v>200</v>
      </c>
      <c r="L382">
        <v>101</v>
      </c>
      <c r="M382" t="s">
        <v>28</v>
      </c>
      <c r="N382" t="s">
        <v>185</v>
      </c>
      <c r="O382" t="s">
        <v>149</v>
      </c>
      <c r="P382">
        <v>2025</v>
      </c>
    </row>
    <row r="383" spans="1:16" hidden="1" x14ac:dyDescent="0.25">
      <c r="A383" s="96" t="s">
        <v>2</v>
      </c>
      <c r="B383" s="96" t="s">
        <v>206</v>
      </c>
      <c r="C383" s="96" t="s">
        <v>589</v>
      </c>
      <c r="D383" s="96" t="s">
        <v>34</v>
      </c>
      <c r="E383" s="43">
        <v>45678</v>
      </c>
      <c r="F383" s="43">
        <v>45725</v>
      </c>
      <c r="G383" s="96" t="s">
        <v>90</v>
      </c>
      <c r="H383" s="96" t="s">
        <v>3739</v>
      </c>
      <c r="I383" s="96" t="s">
        <v>204</v>
      </c>
      <c r="J383" s="96" t="s">
        <v>94</v>
      </c>
      <c r="K383" s="96" t="s">
        <v>157</v>
      </c>
      <c r="L383">
        <v>47</v>
      </c>
      <c r="M383" t="s">
        <v>24</v>
      </c>
      <c r="N383" t="s">
        <v>181</v>
      </c>
      <c r="O383" t="s">
        <v>152</v>
      </c>
      <c r="P383">
        <v>2025</v>
      </c>
    </row>
    <row r="384" spans="1:16" x14ac:dyDescent="0.25">
      <c r="A384" s="96" t="s">
        <v>2</v>
      </c>
      <c r="B384" s="96" t="s">
        <v>226</v>
      </c>
      <c r="C384" s="96" t="s">
        <v>590</v>
      </c>
      <c r="D384" s="96" t="s">
        <v>14</v>
      </c>
      <c r="E384" s="43">
        <v>46039</v>
      </c>
      <c r="F384" s="43">
        <v>46064</v>
      </c>
      <c r="G384" s="96" t="s">
        <v>90</v>
      </c>
      <c r="H384" s="96" t="s">
        <v>3740</v>
      </c>
      <c r="I384" s="96" t="s">
        <v>225</v>
      </c>
      <c r="J384" s="96" t="s">
        <v>168</v>
      </c>
      <c r="K384" s="96" t="s">
        <v>233</v>
      </c>
      <c r="L384">
        <v>25</v>
      </c>
      <c r="M384" t="s">
        <v>19</v>
      </c>
      <c r="N384" t="s">
        <v>29</v>
      </c>
      <c r="O384" t="s">
        <v>151</v>
      </c>
      <c r="P384">
        <v>2026</v>
      </c>
    </row>
    <row r="385" spans="1:16" hidden="1" x14ac:dyDescent="0.25">
      <c r="A385" s="96" t="s">
        <v>2</v>
      </c>
      <c r="B385" s="96" t="s">
        <v>322</v>
      </c>
      <c r="C385" s="96" t="s">
        <v>591</v>
      </c>
      <c r="D385" s="96" t="s">
        <v>208</v>
      </c>
      <c r="E385" s="43">
        <v>45912</v>
      </c>
      <c r="F385" s="43">
        <v>45932</v>
      </c>
      <c r="G385" s="96" t="s">
        <v>95</v>
      </c>
      <c r="H385" s="96" t="s">
        <v>3741</v>
      </c>
      <c r="I385" s="96" t="s">
        <v>204</v>
      </c>
      <c r="J385" s="96" t="s">
        <v>283</v>
      </c>
      <c r="K385" s="96" t="s">
        <v>246</v>
      </c>
      <c r="L385">
        <v>20</v>
      </c>
      <c r="M385" t="s">
        <v>19</v>
      </c>
      <c r="N385" t="s">
        <v>12</v>
      </c>
      <c r="O385" t="s">
        <v>150</v>
      </c>
      <c r="P385">
        <v>2025</v>
      </c>
    </row>
    <row r="386" spans="1:16" hidden="1" x14ac:dyDescent="0.25">
      <c r="A386" s="96" t="s">
        <v>2</v>
      </c>
      <c r="B386" s="96" t="s">
        <v>322</v>
      </c>
      <c r="C386" s="96" t="s">
        <v>3742</v>
      </c>
      <c r="D386" s="96" t="s">
        <v>237</v>
      </c>
      <c r="E386" s="43">
        <v>45668</v>
      </c>
      <c r="F386" s="43">
        <v>45706</v>
      </c>
      <c r="G386" s="96" t="s">
        <v>90</v>
      </c>
      <c r="H386" s="96" t="s">
        <v>3743</v>
      </c>
      <c r="I386" s="96" t="s">
        <v>228</v>
      </c>
      <c r="J386" s="96" t="s">
        <v>174</v>
      </c>
      <c r="K386" s="96" t="s">
        <v>200</v>
      </c>
      <c r="L386">
        <v>38</v>
      </c>
      <c r="M386" t="s">
        <v>24</v>
      </c>
      <c r="N386" t="s">
        <v>181</v>
      </c>
      <c r="O386" t="s">
        <v>150</v>
      </c>
      <c r="P386">
        <v>2025</v>
      </c>
    </row>
    <row r="387" spans="1:16" hidden="1" x14ac:dyDescent="0.25">
      <c r="A387" s="96" t="s">
        <v>2</v>
      </c>
      <c r="B387" s="96" t="s">
        <v>280</v>
      </c>
      <c r="C387" s="96" t="s">
        <v>592</v>
      </c>
      <c r="D387" s="96" t="s">
        <v>40</v>
      </c>
      <c r="E387" s="43">
        <v>45998</v>
      </c>
      <c r="F387" s="43">
        <v>46088</v>
      </c>
      <c r="G387" s="96" t="s">
        <v>92</v>
      </c>
      <c r="H387" s="96" t="s">
        <v>3744</v>
      </c>
      <c r="I387" s="96" t="s">
        <v>225</v>
      </c>
      <c r="J387" s="96" t="s">
        <v>216</v>
      </c>
      <c r="K387" s="96" t="s">
        <v>200</v>
      </c>
      <c r="L387">
        <v>90</v>
      </c>
      <c r="M387" t="s">
        <v>28</v>
      </c>
      <c r="N387" t="s">
        <v>25</v>
      </c>
      <c r="O387" t="s">
        <v>170</v>
      </c>
      <c r="P387">
        <v>2025</v>
      </c>
    </row>
    <row r="388" spans="1:16" x14ac:dyDescent="0.25">
      <c r="A388" s="96" t="s">
        <v>2</v>
      </c>
      <c r="B388" s="96" t="s">
        <v>196</v>
      </c>
      <c r="C388" s="96" t="s">
        <v>593</v>
      </c>
      <c r="D388" s="96" t="s">
        <v>40</v>
      </c>
      <c r="E388" s="43">
        <v>46035</v>
      </c>
      <c r="F388" s="43">
        <v>46054</v>
      </c>
      <c r="G388" s="96" t="s">
        <v>92</v>
      </c>
      <c r="H388" s="96" t="s">
        <v>3745</v>
      </c>
      <c r="I388" s="96" t="s">
        <v>225</v>
      </c>
      <c r="J388" s="96" t="s">
        <v>229</v>
      </c>
      <c r="K388" s="96" t="s">
        <v>210</v>
      </c>
      <c r="L388">
        <v>19</v>
      </c>
      <c r="M388" t="s">
        <v>19</v>
      </c>
      <c r="N388" t="s">
        <v>29</v>
      </c>
      <c r="O388" t="s">
        <v>152</v>
      </c>
      <c r="P388">
        <v>2026</v>
      </c>
    </row>
    <row r="389" spans="1:16" x14ac:dyDescent="0.25">
      <c r="A389" s="96" t="s">
        <v>2</v>
      </c>
      <c r="B389" s="96" t="s">
        <v>226</v>
      </c>
      <c r="C389" s="96" t="s">
        <v>594</v>
      </c>
      <c r="D389" s="96" t="s">
        <v>208</v>
      </c>
      <c r="E389" s="43">
        <v>46060</v>
      </c>
      <c r="F389" s="43">
        <v>46108</v>
      </c>
      <c r="G389" s="96" t="s">
        <v>92</v>
      </c>
      <c r="H389" s="96" t="s">
        <v>3746</v>
      </c>
      <c r="I389" s="96" t="s">
        <v>157</v>
      </c>
      <c r="J389" s="96" t="s">
        <v>173</v>
      </c>
      <c r="K389" s="96" t="s">
        <v>246</v>
      </c>
      <c r="L389">
        <v>48</v>
      </c>
      <c r="M389" t="s">
        <v>24</v>
      </c>
      <c r="N389" t="s">
        <v>32</v>
      </c>
      <c r="O389" t="s">
        <v>151</v>
      </c>
      <c r="P389">
        <v>2026</v>
      </c>
    </row>
    <row r="390" spans="1:16" x14ac:dyDescent="0.25">
      <c r="A390" s="96" t="s">
        <v>2</v>
      </c>
      <c r="B390" s="96" t="s">
        <v>249</v>
      </c>
      <c r="C390" s="96" t="s">
        <v>595</v>
      </c>
      <c r="D390" s="96" t="s">
        <v>192</v>
      </c>
      <c r="E390" s="43">
        <v>46062</v>
      </c>
      <c r="F390" s="43">
        <v>46063</v>
      </c>
      <c r="G390" s="96" t="s">
        <v>92</v>
      </c>
      <c r="H390" s="96" t="s">
        <v>3747</v>
      </c>
      <c r="I390" s="96" t="s">
        <v>209</v>
      </c>
      <c r="J390" s="96" t="s">
        <v>93</v>
      </c>
      <c r="K390" s="96" t="s">
        <v>200</v>
      </c>
      <c r="L390">
        <v>1</v>
      </c>
      <c r="M390" t="s">
        <v>11</v>
      </c>
      <c r="N390" t="s">
        <v>32</v>
      </c>
      <c r="O390" t="s">
        <v>170</v>
      </c>
      <c r="P390">
        <v>2026</v>
      </c>
    </row>
    <row r="391" spans="1:16" hidden="1" x14ac:dyDescent="0.25">
      <c r="A391" s="96" t="s">
        <v>2</v>
      </c>
      <c r="B391" s="96" t="s">
        <v>211</v>
      </c>
      <c r="C391" s="96" t="s">
        <v>596</v>
      </c>
      <c r="D391" s="96" t="s">
        <v>192</v>
      </c>
      <c r="E391" s="43">
        <v>45903</v>
      </c>
      <c r="F391" s="43">
        <v>46019</v>
      </c>
      <c r="G391" s="96" t="s">
        <v>92</v>
      </c>
      <c r="H391" s="96" t="s">
        <v>584</v>
      </c>
      <c r="I391" s="96" t="s">
        <v>157</v>
      </c>
      <c r="J391" s="96" t="s">
        <v>94</v>
      </c>
      <c r="K391" s="96" t="s">
        <v>246</v>
      </c>
      <c r="L391">
        <v>116</v>
      </c>
      <c r="M391" t="s">
        <v>28</v>
      </c>
      <c r="N391" t="s">
        <v>12</v>
      </c>
      <c r="O391" t="s">
        <v>170</v>
      </c>
      <c r="P391">
        <v>2025</v>
      </c>
    </row>
    <row r="392" spans="1:16" hidden="1" x14ac:dyDescent="0.25">
      <c r="A392" s="96" t="s">
        <v>2</v>
      </c>
      <c r="B392" s="96" t="s">
        <v>231</v>
      </c>
      <c r="C392" s="96" t="s">
        <v>597</v>
      </c>
      <c r="D392" s="96" t="s">
        <v>10</v>
      </c>
      <c r="E392" s="43">
        <v>45825</v>
      </c>
      <c r="F392" s="43">
        <v>45833</v>
      </c>
      <c r="G392" s="96" t="s">
        <v>92</v>
      </c>
      <c r="H392" s="96" t="s">
        <v>3748</v>
      </c>
      <c r="I392" s="96" t="s">
        <v>9</v>
      </c>
      <c r="J392" s="96" t="s">
        <v>98</v>
      </c>
      <c r="K392" s="96" t="s">
        <v>246</v>
      </c>
      <c r="L392">
        <v>8</v>
      </c>
      <c r="M392" t="s">
        <v>15</v>
      </c>
      <c r="N392" t="s">
        <v>184</v>
      </c>
      <c r="O392" t="s">
        <v>170</v>
      </c>
      <c r="P392">
        <v>2025</v>
      </c>
    </row>
    <row r="393" spans="1:16" hidden="1" x14ac:dyDescent="0.25">
      <c r="A393" s="96" t="s">
        <v>2</v>
      </c>
      <c r="B393" s="96" t="s">
        <v>257</v>
      </c>
      <c r="C393" s="96" t="s">
        <v>3749</v>
      </c>
      <c r="D393" s="96" t="s">
        <v>223</v>
      </c>
      <c r="E393" s="43">
        <v>45702</v>
      </c>
      <c r="F393" s="43">
        <v>45768</v>
      </c>
      <c r="G393" s="96" t="s">
        <v>92</v>
      </c>
      <c r="H393" s="96" t="s">
        <v>3750</v>
      </c>
      <c r="I393" s="96" t="s">
        <v>194</v>
      </c>
      <c r="J393" s="96" t="s">
        <v>173</v>
      </c>
      <c r="K393" s="96" t="s">
        <v>217</v>
      </c>
      <c r="L393">
        <v>66</v>
      </c>
      <c r="M393" t="s">
        <v>28</v>
      </c>
      <c r="N393" t="s">
        <v>188</v>
      </c>
      <c r="O393" t="s">
        <v>151</v>
      </c>
      <c r="P393">
        <v>2025</v>
      </c>
    </row>
    <row r="394" spans="1:16" hidden="1" x14ac:dyDescent="0.25">
      <c r="A394" s="96" t="s">
        <v>2</v>
      </c>
      <c r="B394" s="96" t="s">
        <v>264</v>
      </c>
      <c r="C394" s="96" t="s">
        <v>3751</v>
      </c>
      <c r="D394" s="96" t="s">
        <v>215</v>
      </c>
      <c r="E394" s="43">
        <v>45848</v>
      </c>
      <c r="F394" s="43">
        <v>45850</v>
      </c>
      <c r="G394" s="96" t="s">
        <v>95</v>
      </c>
      <c r="H394" s="96" t="s">
        <v>3752</v>
      </c>
      <c r="I394" s="96" t="s">
        <v>209</v>
      </c>
      <c r="J394" s="96" t="s">
        <v>93</v>
      </c>
      <c r="K394" s="96" t="s">
        <v>217</v>
      </c>
      <c r="L394">
        <v>2</v>
      </c>
      <c r="M394" t="s">
        <v>11</v>
      </c>
      <c r="N394" t="s">
        <v>187</v>
      </c>
      <c r="O394" t="s">
        <v>152</v>
      </c>
      <c r="P394">
        <v>2025</v>
      </c>
    </row>
    <row r="395" spans="1:16" x14ac:dyDescent="0.25">
      <c r="A395" s="96" t="s">
        <v>2</v>
      </c>
      <c r="B395" s="96" t="s">
        <v>261</v>
      </c>
      <c r="C395" s="96" t="s">
        <v>598</v>
      </c>
      <c r="D395" s="96" t="s">
        <v>215</v>
      </c>
      <c r="E395" s="43">
        <v>46096</v>
      </c>
      <c r="F395" s="43">
        <v>46117</v>
      </c>
      <c r="G395" s="96" t="s">
        <v>92</v>
      </c>
      <c r="H395" s="96" t="s">
        <v>3753</v>
      </c>
      <c r="I395" s="96" t="s">
        <v>204</v>
      </c>
      <c r="J395" s="96" t="s">
        <v>216</v>
      </c>
      <c r="K395" s="96" t="s">
        <v>157</v>
      </c>
      <c r="L395">
        <v>21</v>
      </c>
      <c r="M395" t="s">
        <v>19</v>
      </c>
      <c r="N395" t="s">
        <v>35</v>
      </c>
      <c r="O395" t="s">
        <v>151</v>
      </c>
      <c r="P395">
        <v>2026</v>
      </c>
    </row>
    <row r="396" spans="1:16" x14ac:dyDescent="0.25">
      <c r="A396" s="96" t="s">
        <v>2</v>
      </c>
      <c r="B396" s="96" t="s">
        <v>226</v>
      </c>
      <c r="C396" s="96" t="s">
        <v>599</v>
      </c>
      <c r="D396" s="96" t="s">
        <v>34</v>
      </c>
      <c r="E396" s="43">
        <v>46039</v>
      </c>
      <c r="F396" s="43">
        <v>46147</v>
      </c>
      <c r="G396" s="96" t="s">
        <v>90</v>
      </c>
      <c r="H396" s="96" t="s">
        <v>3754</v>
      </c>
      <c r="I396" s="96" t="s">
        <v>228</v>
      </c>
      <c r="J396" s="96" t="s">
        <v>93</v>
      </c>
      <c r="K396" s="96" t="s">
        <v>210</v>
      </c>
      <c r="L396">
        <v>108</v>
      </c>
      <c r="M396" t="s">
        <v>28</v>
      </c>
      <c r="N396" t="s">
        <v>29</v>
      </c>
      <c r="O396" t="s">
        <v>151</v>
      </c>
      <c r="P396">
        <v>2026</v>
      </c>
    </row>
    <row r="397" spans="1:16" x14ac:dyDescent="0.25">
      <c r="A397" s="96" t="s">
        <v>2</v>
      </c>
      <c r="B397" s="96" t="s">
        <v>290</v>
      </c>
      <c r="C397" s="96" t="s">
        <v>602</v>
      </c>
      <c r="D397" s="96" t="s">
        <v>192</v>
      </c>
      <c r="E397" s="43">
        <v>46085</v>
      </c>
      <c r="F397" s="43">
        <v>46089</v>
      </c>
      <c r="G397" s="96" t="s">
        <v>95</v>
      </c>
      <c r="H397" s="96" t="s">
        <v>3755</v>
      </c>
      <c r="I397" s="96" t="s">
        <v>194</v>
      </c>
      <c r="J397" s="96" t="s">
        <v>283</v>
      </c>
      <c r="K397" s="96" t="s">
        <v>230</v>
      </c>
      <c r="L397">
        <v>4</v>
      </c>
      <c r="M397" t="s">
        <v>11</v>
      </c>
      <c r="N397" t="s">
        <v>35</v>
      </c>
      <c r="O397" t="s">
        <v>149</v>
      </c>
      <c r="P397">
        <v>2026</v>
      </c>
    </row>
    <row r="398" spans="1:16" hidden="1" x14ac:dyDescent="0.25">
      <c r="A398" s="96" t="s">
        <v>2</v>
      </c>
      <c r="B398" s="96" t="s">
        <v>213</v>
      </c>
      <c r="C398" s="96" t="s">
        <v>3756</v>
      </c>
      <c r="D398" s="96" t="s">
        <v>192</v>
      </c>
      <c r="E398" s="43">
        <v>45901</v>
      </c>
      <c r="F398" s="43">
        <v>45990</v>
      </c>
      <c r="G398" s="96" t="s">
        <v>92</v>
      </c>
      <c r="H398" s="96" t="s">
        <v>3757</v>
      </c>
      <c r="I398" s="96" t="s">
        <v>9</v>
      </c>
      <c r="J398" s="96" t="s">
        <v>173</v>
      </c>
      <c r="K398" s="96" t="s">
        <v>200</v>
      </c>
      <c r="L398">
        <v>89</v>
      </c>
      <c r="M398" t="s">
        <v>28</v>
      </c>
      <c r="N398" t="s">
        <v>12</v>
      </c>
      <c r="O398" t="s">
        <v>149</v>
      </c>
      <c r="P398">
        <v>2025</v>
      </c>
    </row>
    <row r="399" spans="1:16" hidden="1" x14ac:dyDescent="0.25">
      <c r="A399" s="96" t="s">
        <v>2</v>
      </c>
      <c r="B399" s="96" t="s">
        <v>206</v>
      </c>
      <c r="C399" s="96" t="s">
        <v>604</v>
      </c>
      <c r="D399" s="96" t="s">
        <v>10</v>
      </c>
      <c r="E399" s="43">
        <v>46012</v>
      </c>
      <c r="F399" s="43">
        <v>46030</v>
      </c>
      <c r="G399" s="96" t="s">
        <v>92</v>
      </c>
      <c r="H399" s="96" t="s">
        <v>3758</v>
      </c>
      <c r="I399" s="96" t="s">
        <v>204</v>
      </c>
      <c r="J399" s="96" t="s">
        <v>96</v>
      </c>
      <c r="K399" s="96" t="s">
        <v>157</v>
      </c>
      <c r="L399">
        <v>18</v>
      </c>
      <c r="M399" t="s">
        <v>19</v>
      </c>
      <c r="N399" t="s">
        <v>25</v>
      </c>
      <c r="O399" t="s">
        <v>152</v>
      </c>
      <c r="P399">
        <v>2025</v>
      </c>
    </row>
    <row r="400" spans="1:16" hidden="1" x14ac:dyDescent="0.25">
      <c r="A400" s="96" t="s">
        <v>2</v>
      </c>
      <c r="B400" s="96" t="s">
        <v>190</v>
      </c>
      <c r="C400" s="96" t="s">
        <v>3759</v>
      </c>
      <c r="D400" s="96" t="s">
        <v>223</v>
      </c>
      <c r="E400" s="43">
        <v>45697</v>
      </c>
      <c r="F400" s="43">
        <v>45763</v>
      </c>
      <c r="G400" s="96" t="s">
        <v>92</v>
      </c>
      <c r="H400" s="96" t="s">
        <v>3760</v>
      </c>
      <c r="I400" s="96" t="s">
        <v>157</v>
      </c>
      <c r="J400" s="96" t="s">
        <v>96</v>
      </c>
      <c r="K400" s="96" t="s">
        <v>230</v>
      </c>
      <c r="L400">
        <v>66</v>
      </c>
      <c r="M400" t="s">
        <v>28</v>
      </c>
      <c r="N400" t="s">
        <v>188</v>
      </c>
      <c r="O400" t="s">
        <v>150</v>
      </c>
      <c r="P400">
        <v>2025</v>
      </c>
    </row>
    <row r="401" spans="1:16" hidden="1" x14ac:dyDescent="0.25">
      <c r="A401" s="96" t="s">
        <v>175</v>
      </c>
      <c r="B401" s="96" t="s">
        <v>213</v>
      </c>
      <c r="C401" s="96" t="s">
        <v>605</v>
      </c>
      <c r="D401" s="96" t="s">
        <v>223</v>
      </c>
      <c r="E401" s="43">
        <v>46010</v>
      </c>
      <c r="F401" s="43">
        <v>46057</v>
      </c>
      <c r="G401" s="96" t="s">
        <v>92</v>
      </c>
      <c r="H401" s="96" t="s">
        <v>3761</v>
      </c>
      <c r="I401" s="96" t="s">
        <v>157</v>
      </c>
      <c r="J401" s="96" t="s">
        <v>216</v>
      </c>
      <c r="K401" s="96" t="s">
        <v>217</v>
      </c>
      <c r="L401">
        <v>47</v>
      </c>
      <c r="M401" t="s">
        <v>24</v>
      </c>
      <c r="N401" t="s">
        <v>25</v>
      </c>
      <c r="O401" t="s">
        <v>149</v>
      </c>
      <c r="P401">
        <v>2025</v>
      </c>
    </row>
    <row r="402" spans="1:16" hidden="1" x14ac:dyDescent="0.25">
      <c r="A402" s="96" t="s">
        <v>2</v>
      </c>
      <c r="B402" s="96" t="s">
        <v>190</v>
      </c>
      <c r="C402" s="96" t="s">
        <v>606</v>
      </c>
      <c r="D402" s="96" t="s">
        <v>203</v>
      </c>
      <c r="E402" s="43">
        <v>45741</v>
      </c>
      <c r="F402" s="43">
        <v>45755</v>
      </c>
      <c r="G402" s="96" t="s">
        <v>90</v>
      </c>
      <c r="H402" s="96" t="s">
        <v>3762</v>
      </c>
      <c r="I402" s="96" t="s">
        <v>209</v>
      </c>
      <c r="J402" s="96" t="s">
        <v>98</v>
      </c>
      <c r="K402" s="96" t="s">
        <v>233</v>
      </c>
      <c r="L402">
        <v>14</v>
      </c>
      <c r="M402" t="s">
        <v>15</v>
      </c>
      <c r="N402" t="s">
        <v>186</v>
      </c>
      <c r="O402" t="s">
        <v>150</v>
      </c>
      <c r="P402">
        <v>2025</v>
      </c>
    </row>
    <row r="403" spans="1:16" hidden="1" x14ac:dyDescent="0.25">
      <c r="A403" s="96" t="s">
        <v>2</v>
      </c>
      <c r="B403" s="96" t="s">
        <v>322</v>
      </c>
      <c r="C403" s="96" t="s">
        <v>3763</v>
      </c>
      <c r="D403" s="96" t="s">
        <v>208</v>
      </c>
      <c r="E403" s="43">
        <v>45697</v>
      </c>
      <c r="F403" s="43">
        <v>45712</v>
      </c>
      <c r="G403" s="96" t="s">
        <v>92</v>
      </c>
      <c r="H403" s="96" t="s">
        <v>3764</v>
      </c>
      <c r="I403" s="96" t="s">
        <v>228</v>
      </c>
      <c r="J403" s="96" t="s">
        <v>169</v>
      </c>
      <c r="K403" s="96" t="s">
        <v>200</v>
      </c>
      <c r="L403">
        <v>15</v>
      </c>
      <c r="M403" t="s">
        <v>19</v>
      </c>
      <c r="N403" t="s">
        <v>188</v>
      </c>
      <c r="O403" t="s">
        <v>150</v>
      </c>
      <c r="P403">
        <v>2025</v>
      </c>
    </row>
    <row r="404" spans="1:16" x14ac:dyDescent="0.25">
      <c r="A404" s="96" t="s">
        <v>2</v>
      </c>
      <c r="B404" s="96" t="s">
        <v>219</v>
      </c>
      <c r="C404" s="96" t="s">
        <v>3765</v>
      </c>
      <c r="D404" s="96" t="s">
        <v>14</v>
      </c>
      <c r="E404" s="43">
        <v>46131</v>
      </c>
      <c r="F404" s="43">
        <v>46151</v>
      </c>
      <c r="G404" s="96" t="s">
        <v>90</v>
      </c>
      <c r="H404" s="96" t="s">
        <v>3766</v>
      </c>
      <c r="I404" s="96" t="s">
        <v>9</v>
      </c>
      <c r="J404" s="96" t="s">
        <v>169</v>
      </c>
      <c r="K404" s="96" t="s">
        <v>195</v>
      </c>
      <c r="L404">
        <v>20</v>
      </c>
      <c r="M404" t="s">
        <v>19</v>
      </c>
      <c r="N404" t="s">
        <v>37</v>
      </c>
      <c r="O404" t="s">
        <v>149</v>
      </c>
      <c r="P404">
        <v>2026</v>
      </c>
    </row>
    <row r="405" spans="1:16" hidden="1" x14ac:dyDescent="0.25">
      <c r="A405" s="96" t="s">
        <v>2</v>
      </c>
      <c r="B405" s="96" t="s">
        <v>213</v>
      </c>
      <c r="C405" s="96" t="s">
        <v>607</v>
      </c>
      <c r="D405" s="96" t="s">
        <v>192</v>
      </c>
      <c r="E405" s="43">
        <v>45787</v>
      </c>
      <c r="F405" s="43">
        <v>45793</v>
      </c>
      <c r="G405" s="96" t="s">
        <v>90</v>
      </c>
      <c r="H405" s="96" t="s">
        <v>3767</v>
      </c>
      <c r="I405" s="96" t="s">
        <v>225</v>
      </c>
      <c r="J405" s="96" t="s">
        <v>229</v>
      </c>
      <c r="K405" s="96" t="s">
        <v>200</v>
      </c>
      <c r="L405">
        <v>6</v>
      </c>
      <c r="M405" t="s">
        <v>11</v>
      </c>
      <c r="N405" t="s">
        <v>182</v>
      </c>
      <c r="O405" t="s">
        <v>149</v>
      </c>
      <c r="P405">
        <v>2025</v>
      </c>
    </row>
    <row r="406" spans="1:16" x14ac:dyDescent="0.25">
      <c r="A406" s="96" t="s">
        <v>171</v>
      </c>
      <c r="B406" s="96" t="s">
        <v>234</v>
      </c>
      <c r="C406" s="96" t="s">
        <v>3768</v>
      </c>
      <c r="D406" s="96" t="s">
        <v>14</v>
      </c>
      <c r="E406" s="43">
        <v>46026</v>
      </c>
      <c r="F406" s="43">
        <v>46094</v>
      </c>
      <c r="G406" s="96" t="s">
        <v>92</v>
      </c>
      <c r="H406" s="96" t="s">
        <v>3769</v>
      </c>
      <c r="I406" s="96" t="s">
        <v>225</v>
      </c>
      <c r="J406" s="96" t="s">
        <v>169</v>
      </c>
      <c r="K406" s="96" t="s">
        <v>246</v>
      </c>
      <c r="L406">
        <v>68</v>
      </c>
      <c r="M406" t="s">
        <v>28</v>
      </c>
      <c r="N406" t="s">
        <v>29</v>
      </c>
      <c r="O406" t="s">
        <v>150</v>
      </c>
      <c r="P406">
        <v>2026</v>
      </c>
    </row>
    <row r="407" spans="1:16" hidden="1" x14ac:dyDescent="0.25">
      <c r="A407" s="96" t="s">
        <v>2</v>
      </c>
      <c r="B407" s="96" t="s">
        <v>257</v>
      </c>
      <c r="C407" s="96" t="s">
        <v>608</v>
      </c>
      <c r="D407" s="96" t="s">
        <v>215</v>
      </c>
      <c r="E407" s="43">
        <v>45959</v>
      </c>
      <c r="F407" s="43">
        <v>45983</v>
      </c>
      <c r="G407" s="96" t="s">
        <v>92</v>
      </c>
      <c r="H407" s="96" t="s">
        <v>3770</v>
      </c>
      <c r="I407" s="96" t="s">
        <v>228</v>
      </c>
      <c r="J407" s="96" t="s">
        <v>94</v>
      </c>
      <c r="K407" s="96" t="s">
        <v>217</v>
      </c>
      <c r="L407">
        <v>24</v>
      </c>
      <c r="M407" t="s">
        <v>19</v>
      </c>
      <c r="N407" t="s">
        <v>16</v>
      </c>
      <c r="O407" t="s">
        <v>151</v>
      </c>
      <c r="P407">
        <v>2025</v>
      </c>
    </row>
    <row r="408" spans="1:16" hidden="1" x14ac:dyDescent="0.25">
      <c r="A408" s="96" t="s">
        <v>2</v>
      </c>
      <c r="B408" s="96" t="s">
        <v>264</v>
      </c>
      <c r="C408" s="96" t="s">
        <v>3771</v>
      </c>
      <c r="D408" s="96" t="s">
        <v>203</v>
      </c>
      <c r="E408" s="43">
        <v>45717</v>
      </c>
      <c r="F408" s="43">
        <v>45767</v>
      </c>
      <c r="G408" s="96" t="s">
        <v>92</v>
      </c>
      <c r="H408" s="96" t="s">
        <v>3772</v>
      </c>
      <c r="I408" s="96" t="s">
        <v>194</v>
      </c>
      <c r="J408" s="96" t="s">
        <v>96</v>
      </c>
      <c r="K408" s="96" t="s">
        <v>217</v>
      </c>
      <c r="L408">
        <v>50</v>
      </c>
      <c r="M408" t="s">
        <v>24</v>
      </c>
      <c r="N408" t="s">
        <v>186</v>
      </c>
      <c r="O408" t="s">
        <v>152</v>
      </c>
      <c r="P408">
        <v>2025</v>
      </c>
    </row>
    <row r="409" spans="1:16" hidden="1" x14ac:dyDescent="0.25">
      <c r="A409" s="96" t="s">
        <v>2</v>
      </c>
      <c r="B409" s="96" t="s">
        <v>247</v>
      </c>
      <c r="C409" s="96" t="s">
        <v>610</v>
      </c>
      <c r="D409" s="96" t="s">
        <v>237</v>
      </c>
      <c r="E409" s="43">
        <v>45864</v>
      </c>
      <c r="F409" s="43">
        <v>45880</v>
      </c>
      <c r="G409" s="96" t="s">
        <v>92</v>
      </c>
      <c r="H409" s="96" t="s">
        <v>3773</v>
      </c>
      <c r="I409" s="96" t="s">
        <v>204</v>
      </c>
      <c r="J409" s="96" t="s">
        <v>216</v>
      </c>
      <c r="K409" s="96" t="s">
        <v>217</v>
      </c>
      <c r="L409">
        <v>16</v>
      </c>
      <c r="M409" t="s">
        <v>19</v>
      </c>
      <c r="N409" t="s">
        <v>187</v>
      </c>
      <c r="O409" t="s">
        <v>150</v>
      </c>
      <c r="P409">
        <v>2025</v>
      </c>
    </row>
    <row r="410" spans="1:16" x14ac:dyDescent="0.25">
      <c r="A410" s="96" t="s">
        <v>2</v>
      </c>
      <c r="B410" s="96" t="s">
        <v>226</v>
      </c>
      <c r="C410" s="96" t="s">
        <v>611</v>
      </c>
      <c r="D410" s="96" t="s">
        <v>10</v>
      </c>
      <c r="E410" s="43">
        <v>46094</v>
      </c>
      <c r="F410" s="43">
        <v>46113</v>
      </c>
      <c r="G410" s="96" t="s">
        <v>92</v>
      </c>
      <c r="H410" s="96" t="s">
        <v>3774</v>
      </c>
      <c r="I410" s="96" t="s">
        <v>9</v>
      </c>
      <c r="J410" s="96" t="s">
        <v>177</v>
      </c>
      <c r="K410" s="96" t="s">
        <v>233</v>
      </c>
      <c r="L410">
        <v>19</v>
      </c>
      <c r="M410" t="s">
        <v>19</v>
      </c>
      <c r="N410" t="s">
        <v>35</v>
      </c>
      <c r="O410" t="s">
        <v>151</v>
      </c>
      <c r="P410">
        <v>2026</v>
      </c>
    </row>
    <row r="411" spans="1:16" hidden="1" x14ac:dyDescent="0.25">
      <c r="A411" s="96" t="s">
        <v>2</v>
      </c>
      <c r="B411" s="96" t="s">
        <v>272</v>
      </c>
      <c r="C411" s="96" t="s">
        <v>3775</v>
      </c>
      <c r="D411" s="96" t="s">
        <v>203</v>
      </c>
      <c r="E411" s="43">
        <v>45671</v>
      </c>
      <c r="F411" s="43">
        <v>45694</v>
      </c>
      <c r="G411" s="96" t="s">
        <v>90</v>
      </c>
      <c r="H411" s="96" t="s">
        <v>600</v>
      </c>
      <c r="I411" s="96" t="s">
        <v>157</v>
      </c>
      <c r="J411" s="96" t="s">
        <v>216</v>
      </c>
      <c r="K411" s="96" t="s">
        <v>246</v>
      </c>
      <c r="L411">
        <v>23</v>
      </c>
      <c r="M411" t="s">
        <v>19</v>
      </c>
      <c r="N411" t="s">
        <v>181</v>
      </c>
      <c r="O411" t="s">
        <v>151</v>
      </c>
      <c r="P411">
        <v>2025</v>
      </c>
    </row>
    <row r="412" spans="1:16" hidden="1" x14ac:dyDescent="0.25">
      <c r="A412" s="96" t="s">
        <v>2</v>
      </c>
      <c r="B412" s="96" t="s">
        <v>257</v>
      </c>
      <c r="C412" s="96" t="s">
        <v>612</v>
      </c>
      <c r="D412" s="96" t="s">
        <v>208</v>
      </c>
      <c r="E412" s="43">
        <v>45850</v>
      </c>
      <c r="F412" s="43">
        <v>45907</v>
      </c>
      <c r="G412" s="96" t="s">
        <v>92</v>
      </c>
      <c r="H412" s="96" t="s">
        <v>601</v>
      </c>
      <c r="I412" s="96" t="s">
        <v>194</v>
      </c>
      <c r="J412" s="96" t="s">
        <v>173</v>
      </c>
      <c r="K412" s="96" t="s">
        <v>230</v>
      </c>
      <c r="L412">
        <v>57</v>
      </c>
      <c r="M412" t="s">
        <v>24</v>
      </c>
      <c r="N412" t="s">
        <v>187</v>
      </c>
      <c r="O412" t="s">
        <v>151</v>
      </c>
      <c r="P412">
        <v>2025</v>
      </c>
    </row>
    <row r="413" spans="1:16" hidden="1" x14ac:dyDescent="0.25">
      <c r="A413" s="96" t="s">
        <v>2</v>
      </c>
      <c r="B413" s="96" t="s">
        <v>251</v>
      </c>
      <c r="C413" s="96" t="s">
        <v>613</v>
      </c>
      <c r="D413" s="96" t="s">
        <v>208</v>
      </c>
      <c r="E413" s="43">
        <v>45907</v>
      </c>
      <c r="F413" s="43">
        <v>46005</v>
      </c>
      <c r="G413" s="96" t="s">
        <v>90</v>
      </c>
      <c r="H413" s="96" t="s">
        <v>603</v>
      </c>
      <c r="I413" s="96" t="s">
        <v>228</v>
      </c>
      <c r="J413" s="96" t="s">
        <v>229</v>
      </c>
      <c r="K413" s="96" t="s">
        <v>157</v>
      </c>
      <c r="L413">
        <v>98</v>
      </c>
      <c r="M413" t="s">
        <v>28</v>
      </c>
      <c r="N413" t="s">
        <v>12</v>
      </c>
      <c r="O413" t="s">
        <v>170</v>
      </c>
      <c r="P413">
        <v>2025</v>
      </c>
    </row>
    <row r="414" spans="1:16" x14ac:dyDescent="0.25">
      <c r="A414" s="96" t="s">
        <v>2</v>
      </c>
      <c r="B414" s="96" t="s">
        <v>317</v>
      </c>
      <c r="C414" s="96" t="s">
        <v>614</v>
      </c>
      <c r="D414" s="96" t="s">
        <v>237</v>
      </c>
      <c r="E414" s="43">
        <v>46112</v>
      </c>
      <c r="F414" s="43">
        <v>46146</v>
      </c>
      <c r="G414" s="96" t="s">
        <v>90</v>
      </c>
      <c r="H414" s="96" t="s">
        <v>3776</v>
      </c>
      <c r="I414" s="96" t="s">
        <v>204</v>
      </c>
      <c r="J414" s="96" t="s">
        <v>97</v>
      </c>
      <c r="K414" s="96" t="s">
        <v>217</v>
      </c>
      <c r="L414">
        <v>34</v>
      </c>
      <c r="M414" t="s">
        <v>24</v>
      </c>
      <c r="N414" t="s">
        <v>35</v>
      </c>
      <c r="O414" t="s">
        <v>170</v>
      </c>
      <c r="P414">
        <v>2026</v>
      </c>
    </row>
    <row r="415" spans="1:16" hidden="1" x14ac:dyDescent="0.25">
      <c r="A415" s="96" t="s">
        <v>2</v>
      </c>
      <c r="B415" s="96" t="s">
        <v>190</v>
      </c>
      <c r="C415" s="96" t="s">
        <v>615</v>
      </c>
      <c r="D415" s="96" t="s">
        <v>40</v>
      </c>
      <c r="E415" s="43">
        <v>45996</v>
      </c>
      <c r="F415" s="43">
        <v>46028</v>
      </c>
      <c r="G415" s="96" t="s">
        <v>92</v>
      </c>
      <c r="H415" s="96" t="s">
        <v>3777</v>
      </c>
      <c r="I415" s="96" t="s">
        <v>9</v>
      </c>
      <c r="J415" s="96" t="s">
        <v>174</v>
      </c>
      <c r="K415" s="96" t="s">
        <v>210</v>
      </c>
      <c r="L415">
        <v>32</v>
      </c>
      <c r="M415" t="s">
        <v>24</v>
      </c>
      <c r="N415" t="s">
        <v>25</v>
      </c>
      <c r="O415" t="s">
        <v>150</v>
      </c>
      <c r="P415">
        <v>2025</v>
      </c>
    </row>
    <row r="416" spans="1:16" hidden="1" x14ac:dyDescent="0.25">
      <c r="A416" s="96" t="s">
        <v>175</v>
      </c>
      <c r="B416" s="96" t="s">
        <v>221</v>
      </c>
      <c r="C416" s="96" t="s">
        <v>616</v>
      </c>
      <c r="D416" s="96" t="s">
        <v>223</v>
      </c>
      <c r="E416" s="43">
        <v>45857</v>
      </c>
      <c r="F416" s="43">
        <v>45899</v>
      </c>
      <c r="G416" s="96" t="s">
        <v>92</v>
      </c>
      <c r="H416" s="96" t="s">
        <v>3778</v>
      </c>
      <c r="I416" s="96" t="s">
        <v>194</v>
      </c>
      <c r="J416" s="96" t="s">
        <v>169</v>
      </c>
      <c r="K416" s="96" t="s">
        <v>200</v>
      </c>
      <c r="L416">
        <v>42</v>
      </c>
      <c r="M416" t="s">
        <v>24</v>
      </c>
      <c r="N416" t="s">
        <v>187</v>
      </c>
      <c r="O416" t="s">
        <v>170</v>
      </c>
      <c r="P416">
        <v>2025</v>
      </c>
    </row>
    <row r="417" spans="1:16" hidden="1" x14ac:dyDescent="0.25">
      <c r="A417" s="96" t="s">
        <v>2</v>
      </c>
      <c r="B417" s="96" t="s">
        <v>213</v>
      </c>
      <c r="C417" s="96" t="s">
        <v>3779</v>
      </c>
      <c r="D417" s="96" t="s">
        <v>215</v>
      </c>
      <c r="E417" s="43">
        <v>45835</v>
      </c>
      <c r="F417" s="43">
        <v>45937</v>
      </c>
      <c r="G417" s="96" t="s">
        <v>92</v>
      </c>
      <c r="H417" s="96" t="s">
        <v>3780</v>
      </c>
      <c r="I417" s="96" t="s">
        <v>194</v>
      </c>
      <c r="J417" s="96" t="s">
        <v>176</v>
      </c>
      <c r="K417" s="96" t="s">
        <v>230</v>
      </c>
      <c r="L417">
        <v>102</v>
      </c>
      <c r="M417" t="s">
        <v>28</v>
      </c>
      <c r="N417" t="s">
        <v>184</v>
      </c>
      <c r="O417" t="s">
        <v>149</v>
      </c>
      <c r="P417">
        <v>2025</v>
      </c>
    </row>
    <row r="418" spans="1:16" hidden="1" x14ac:dyDescent="0.25">
      <c r="A418" s="96" t="s">
        <v>21</v>
      </c>
      <c r="B418" s="96" t="s">
        <v>231</v>
      </c>
      <c r="C418" s="96" t="s">
        <v>617</v>
      </c>
      <c r="D418" s="96" t="s">
        <v>192</v>
      </c>
      <c r="E418" s="43">
        <v>45890</v>
      </c>
      <c r="F418" s="43">
        <v>45976</v>
      </c>
      <c r="G418" s="96" t="s">
        <v>90</v>
      </c>
      <c r="H418" s="96" t="s">
        <v>3781</v>
      </c>
      <c r="I418" s="96" t="s">
        <v>194</v>
      </c>
      <c r="J418" s="96" t="s">
        <v>91</v>
      </c>
      <c r="K418" s="96" t="s">
        <v>246</v>
      </c>
      <c r="L418">
        <v>86</v>
      </c>
      <c r="M418" t="s">
        <v>28</v>
      </c>
      <c r="N418" t="s">
        <v>8</v>
      </c>
      <c r="O418" t="s">
        <v>170</v>
      </c>
      <c r="P418">
        <v>2025</v>
      </c>
    </row>
    <row r="419" spans="1:16" hidden="1" x14ac:dyDescent="0.25">
      <c r="A419" s="96" t="s">
        <v>2</v>
      </c>
      <c r="B419" s="96" t="s">
        <v>255</v>
      </c>
      <c r="C419" s="96" t="s">
        <v>618</v>
      </c>
      <c r="D419" s="96" t="s">
        <v>10</v>
      </c>
      <c r="E419" s="43">
        <v>45676</v>
      </c>
      <c r="F419" s="43">
        <v>45702</v>
      </c>
      <c r="G419" s="96" t="s">
        <v>92</v>
      </c>
      <c r="H419" s="96" t="s">
        <v>609</v>
      </c>
      <c r="I419" s="96" t="s">
        <v>209</v>
      </c>
      <c r="J419" s="96" t="s">
        <v>216</v>
      </c>
      <c r="K419" s="96" t="s">
        <v>195</v>
      </c>
      <c r="L419">
        <v>26</v>
      </c>
      <c r="M419" t="s">
        <v>19</v>
      </c>
      <c r="N419" t="s">
        <v>181</v>
      </c>
      <c r="O419" t="s">
        <v>150</v>
      </c>
      <c r="P419">
        <v>2025</v>
      </c>
    </row>
    <row r="420" spans="1:16" x14ac:dyDescent="0.25">
      <c r="A420" s="96" t="s">
        <v>2</v>
      </c>
      <c r="B420" s="96" t="s">
        <v>305</v>
      </c>
      <c r="C420" s="96" t="s">
        <v>3782</v>
      </c>
      <c r="D420" s="96" t="s">
        <v>192</v>
      </c>
      <c r="E420" s="43">
        <v>46078</v>
      </c>
      <c r="F420" s="43">
        <v>46097</v>
      </c>
      <c r="G420" s="96" t="s">
        <v>92</v>
      </c>
      <c r="H420" s="96" t="s">
        <v>3783</v>
      </c>
      <c r="I420" s="96" t="s">
        <v>9</v>
      </c>
      <c r="J420" s="96" t="s">
        <v>216</v>
      </c>
      <c r="K420" s="96" t="s">
        <v>157</v>
      </c>
      <c r="L420">
        <v>19</v>
      </c>
      <c r="M420" t="s">
        <v>19</v>
      </c>
      <c r="N420" t="s">
        <v>32</v>
      </c>
      <c r="O420" t="s">
        <v>170</v>
      </c>
      <c r="P420">
        <v>2026</v>
      </c>
    </row>
    <row r="421" spans="1:16" hidden="1" x14ac:dyDescent="0.25">
      <c r="A421" s="96" t="s">
        <v>2</v>
      </c>
      <c r="B421" s="96" t="s">
        <v>280</v>
      </c>
      <c r="C421" s="96" t="s">
        <v>619</v>
      </c>
      <c r="D421" s="96" t="s">
        <v>223</v>
      </c>
      <c r="E421" s="43">
        <v>45715</v>
      </c>
      <c r="F421" s="43">
        <v>45756</v>
      </c>
      <c r="G421" s="96" t="s">
        <v>92</v>
      </c>
      <c r="H421" s="96" t="s">
        <v>3784</v>
      </c>
      <c r="I421" s="96" t="s">
        <v>194</v>
      </c>
      <c r="J421" s="96" t="s">
        <v>97</v>
      </c>
      <c r="K421" s="96" t="s">
        <v>230</v>
      </c>
      <c r="L421">
        <v>41</v>
      </c>
      <c r="M421" t="s">
        <v>24</v>
      </c>
      <c r="N421" t="s">
        <v>188</v>
      </c>
      <c r="O421" t="s">
        <v>170</v>
      </c>
      <c r="P421">
        <v>2025</v>
      </c>
    </row>
    <row r="422" spans="1:16" hidden="1" x14ac:dyDescent="0.25">
      <c r="A422" s="96" t="s">
        <v>2</v>
      </c>
      <c r="B422" s="96" t="s">
        <v>264</v>
      </c>
      <c r="C422" s="96" t="s">
        <v>3785</v>
      </c>
      <c r="D422" s="96" t="s">
        <v>215</v>
      </c>
      <c r="E422" s="43">
        <v>45859</v>
      </c>
      <c r="F422" s="43">
        <v>45978</v>
      </c>
      <c r="G422" s="96" t="s">
        <v>90</v>
      </c>
      <c r="H422" s="96" t="s">
        <v>3786</v>
      </c>
      <c r="I422" s="96" t="s">
        <v>157</v>
      </c>
      <c r="J422" s="96" t="s">
        <v>229</v>
      </c>
      <c r="K422" s="96" t="s">
        <v>246</v>
      </c>
      <c r="L422">
        <v>119</v>
      </c>
      <c r="M422" t="s">
        <v>28</v>
      </c>
      <c r="N422" t="s">
        <v>187</v>
      </c>
      <c r="O422" t="s">
        <v>152</v>
      </c>
      <c r="P422">
        <v>2025</v>
      </c>
    </row>
    <row r="423" spans="1:16" hidden="1" x14ac:dyDescent="0.25">
      <c r="A423" s="96" t="s">
        <v>21</v>
      </c>
      <c r="B423" s="96" t="s">
        <v>213</v>
      </c>
      <c r="C423" s="96" t="s">
        <v>620</v>
      </c>
      <c r="D423" s="96" t="s">
        <v>237</v>
      </c>
      <c r="E423" s="43">
        <v>45987</v>
      </c>
      <c r="F423" s="43">
        <v>46040</v>
      </c>
      <c r="G423" s="96" t="s">
        <v>90</v>
      </c>
      <c r="H423" s="96" t="s">
        <v>3787</v>
      </c>
      <c r="I423" s="96" t="s">
        <v>157</v>
      </c>
      <c r="J423" s="96" t="s">
        <v>174</v>
      </c>
      <c r="K423" s="96" t="s">
        <v>217</v>
      </c>
      <c r="L423">
        <v>53</v>
      </c>
      <c r="M423" t="s">
        <v>24</v>
      </c>
      <c r="N423" t="s">
        <v>20</v>
      </c>
      <c r="O423" t="s">
        <v>149</v>
      </c>
      <c r="P423">
        <v>2025</v>
      </c>
    </row>
    <row r="424" spans="1:16" x14ac:dyDescent="0.25">
      <c r="A424" s="96" t="s">
        <v>2</v>
      </c>
      <c r="B424" s="96" t="s">
        <v>269</v>
      </c>
      <c r="C424" s="96" t="s">
        <v>3788</v>
      </c>
      <c r="D424" s="96" t="s">
        <v>208</v>
      </c>
      <c r="E424" s="43">
        <v>46048</v>
      </c>
      <c r="F424" s="43">
        <v>46150</v>
      </c>
      <c r="G424" s="96" t="s">
        <v>92</v>
      </c>
      <c r="H424" s="96" t="s">
        <v>3789</v>
      </c>
      <c r="I424" s="96" t="s">
        <v>209</v>
      </c>
      <c r="J424" s="96" t="s">
        <v>172</v>
      </c>
      <c r="K424" s="96" t="s">
        <v>195</v>
      </c>
      <c r="L424">
        <v>102</v>
      </c>
      <c r="M424" t="s">
        <v>28</v>
      </c>
      <c r="N424" t="s">
        <v>29</v>
      </c>
      <c r="O424" t="s">
        <v>152</v>
      </c>
      <c r="P424">
        <v>2026</v>
      </c>
    </row>
    <row r="425" spans="1:16" hidden="1" x14ac:dyDescent="0.25">
      <c r="A425" s="96" t="s">
        <v>2</v>
      </c>
      <c r="B425" s="96" t="s">
        <v>257</v>
      </c>
      <c r="C425" s="96" t="s">
        <v>621</v>
      </c>
      <c r="D425" s="96" t="s">
        <v>192</v>
      </c>
      <c r="E425" s="43">
        <v>45752</v>
      </c>
      <c r="F425" s="43">
        <v>45833</v>
      </c>
      <c r="G425" s="96" t="s">
        <v>92</v>
      </c>
      <c r="H425" s="96" t="s">
        <v>3790</v>
      </c>
      <c r="I425" s="96" t="s">
        <v>9</v>
      </c>
      <c r="J425" s="96" t="s">
        <v>199</v>
      </c>
      <c r="K425" s="96" t="s">
        <v>210</v>
      </c>
      <c r="L425">
        <v>81</v>
      </c>
      <c r="M425" t="s">
        <v>28</v>
      </c>
      <c r="N425" t="s">
        <v>185</v>
      </c>
      <c r="O425" t="s">
        <v>151</v>
      </c>
      <c r="P425">
        <v>2025</v>
      </c>
    </row>
    <row r="426" spans="1:16" x14ac:dyDescent="0.25">
      <c r="A426" s="96" t="s">
        <v>2</v>
      </c>
      <c r="B426" s="96" t="s">
        <v>374</v>
      </c>
      <c r="C426" s="96" t="s">
        <v>623</v>
      </c>
      <c r="D426" s="96" t="s">
        <v>14</v>
      </c>
      <c r="E426" s="43">
        <v>46141</v>
      </c>
      <c r="F426" s="43">
        <v>46149</v>
      </c>
      <c r="G426" s="96" t="s">
        <v>92</v>
      </c>
      <c r="H426" s="96" t="s">
        <v>3791</v>
      </c>
      <c r="I426" s="96" t="s">
        <v>204</v>
      </c>
      <c r="J426" s="96" t="s">
        <v>229</v>
      </c>
      <c r="K426" s="96" t="s">
        <v>233</v>
      </c>
      <c r="L426">
        <v>8</v>
      </c>
      <c r="M426" t="s">
        <v>15</v>
      </c>
      <c r="N426" t="s">
        <v>37</v>
      </c>
      <c r="O426" t="s">
        <v>150</v>
      </c>
      <c r="P426">
        <v>2026</v>
      </c>
    </row>
    <row r="427" spans="1:16" hidden="1" x14ac:dyDescent="0.25">
      <c r="A427" s="96" t="s">
        <v>2</v>
      </c>
      <c r="B427" s="96" t="s">
        <v>272</v>
      </c>
      <c r="C427" s="96" t="s">
        <v>625</v>
      </c>
      <c r="D427" s="96" t="s">
        <v>215</v>
      </c>
      <c r="E427" s="43">
        <v>45854</v>
      </c>
      <c r="F427" s="43">
        <v>45945</v>
      </c>
      <c r="G427" s="96" t="s">
        <v>92</v>
      </c>
      <c r="H427" s="96" t="s">
        <v>3792</v>
      </c>
      <c r="I427" s="96" t="s">
        <v>194</v>
      </c>
      <c r="J427" s="96" t="s">
        <v>97</v>
      </c>
      <c r="K427" s="96" t="s">
        <v>195</v>
      </c>
      <c r="L427">
        <v>91</v>
      </c>
      <c r="M427" t="s">
        <v>28</v>
      </c>
      <c r="N427" t="s">
        <v>187</v>
      </c>
      <c r="O427" t="s">
        <v>151</v>
      </c>
      <c r="P427">
        <v>2025</v>
      </c>
    </row>
    <row r="428" spans="1:16" hidden="1" x14ac:dyDescent="0.25">
      <c r="A428" s="96" t="s">
        <v>2</v>
      </c>
      <c r="B428" s="96" t="s">
        <v>257</v>
      </c>
      <c r="C428" s="96" t="s">
        <v>626</v>
      </c>
      <c r="D428" s="96" t="s">
        <v>40</v>
      </c>
      <c r="E428" s="43">
        <v>45831</v>
      </c>
      <c r="F428" s="43">
        <v>45944</v>
      </c>
      <c r="G428" s="96" t="s">
        <v>90</v>
      </c>
      <c r="H428" s="96" t="s">
        <v>3793</v>
      </c>
      <c r="I428" s="96" t="s">
        <v>9</v>
      </c>
      <c r="J428" s="96" t="s">
        <v>174</v>
      </c>
      <c r="K428" s="96" t="s">
        <v>195</v>
      </c>
      <c r="L428">
        <v>113</v>
      </c>
      <c r="M428" t="s">
        <v>28</v>
      </c>
      <c r="N428" t="s">
        <v>184</v>
      </c>
      <c r="O428" t="s">
        <v>151</v>
      </c>
      <c r="P428">
        <v>2025</v>
      </c>
    </row>
    <row r="429" spans="1:16" x14ac:dyDescent="0.25">
      <c r="A429" s="96" t="s">
        <v>2</v>
      </c>
      <c r="B429" s="96" t="s">
        <v>196</v>
      </c>
      <c r="C429" s="96" t="s">
        <v>627</v>
      </c>
      <c r="D429" s="96" t="s">
        <v>203</v>
      </c>
      <c r="E429" s="43">
        <v>46150</v>
      </c>
      <c r="F429" s="43">
        <v>46149</v>
      </c>
      <c r="G429" s="96" t="s">
        <v>90</v>
      </c>
      <c r="H429" s="96" t="s">
        <v>3794</v>
      </c>
      <c r="I429" s="96" t="s">
        <v>204</v>
      </c>
      <c r="J429" s="96" t="s">
        <v>283</v>
      </c>
      <c r="K429" s="96" t="s">
        <v>210</v>
      </c>
      <c r="L429">
        <v>-1</v>
      </c>
      <c r="M429" t="s">
        <v>11</v>
      </c>
      <c r="N429" t="s">
        <v>183</v>
      </c>
      <c r="O429" t="s">
        <v>152</v>
      </c>
      <c r="P429">
        <v>2026</v>
      </c>
    </row>
    <row r="430" spans="1:16" hidden="1" x14ac:dyDescent="0.25">
      <c r="A430" s="96" t="s">
        <v>2</v>
      </c>
      <c r="B430" s="96" t="s">
        <v>247</v>
      </c>
      <c r="C430" s="96" t="s">
        <v>628</v>
      </c>
      <c r="D430" s="96" t="s">
        <v>10</v>
      </c>
      <c r="E430" s="43">
        <v>45909</v>
      </c>
      <c r="F430" s="43">
        <v>46007</v>
      </c>
      <c r="G430" s="96" t="s">
        <v>92</v>
      </c>
      <c r="H430" s="96" t="s">
        <v>3795</v>
      </c>
      <c r="I430" s="96" t="s">
        <v>194</v>
      </c>
      <c r="J430" s="96" t="s">
        <v>168</v>
      </c>
      <c r="K430" s="96" t="s">
        <v>210</v>
      </c>
      <c r="L430">
        <v>98</v>
      </c>
      <c r="M430" t="s">
        <v>28</v>
      </c>
      <c r="N430" t="s">
        <v>12</v>
      </c>
      <c r="O430" t="s">
        <v>150</v>
      </c>
      <c r="P430">
        <v>2025</v>
      </c>
    </row>
    <row r="431" spans="1:16" hidden="1" x14ac:dyDescent="0.25">
      <c r="A431" s="96" t="s">
        <v>2</v>
      </c>
      <c r="B431" s="96" t="s">
        <v>257</v>
      </c>
      <c r="C431" s="96" t="s">
        <v>3796</v>
      </c>
      <c r="D431" s="96" t="s">
        <v>208</v>
      </c>
      <c r="E431" s="43">
        <v>45881</v>
      </c>
      <c r="F431" s="43">
        <v>45896</v>
      </c>
      <c r="G431" s="96" t="s">
        <v>95</v>
      </c>
      <c r="H431" s="96" t="s">
        <v>3797</v>
      </c>
      <c r="I431" s="96" t="s">
        <v>194</v>
      </c>
      <c r="J431" s="96" t="s">
        <v>199</v>
      </c>
      <c r="K431" s="96" t="s">
        <v>210</v>
      </c>
      <c r="L431">
        <v>15</v>
      </c>
      <c r="M431" t="s">
        <v>19</v>
      </c>
      <c r="N431" t="s">
        <v>8</v>
      </c>
      <c r="O431" t="s">
        <v>151</v>
      </c>
      <c r="P431">
        <v>2025</v>
      </c>
    </row>
    <row r="432" spans="1:16" hidden="1" x14ac:dyDescent="0.25">
      <c r="A432" s="96" t="s">
        <v>21</v>
      </c>
      <c r="B432" s="96" t="s">
        <v>257</v>
      </c>
      <c r="C432" s="96" t="s">
        <v>629</v>
      </c>
      <c r="D432" s="96" t="s">
        <v>237</v>
      </c>
      <c r="E432" s="43">
        <v>45697</v>
      </c>
      <c r="F432" s="43">
        <v>45729</v>
      </c>
      <c r="G432" s="96" t="s">
        <v>92</v>
      </c>
      <c r="H432" s="96" t="s">
        <v>3798</v>
      </c>
      <c r="I432" s="96" t="s">
        <v>204</v>
      </c>
      <c r="J432" s="96" t="s">
        <v>199</v>
      </c>
      <c r="K432" s="96" t="s">
        <v>200</v>
      </c>
      <c r="L432">
        <v>32</v>
      </c>
      <c r="M432" t="s">
        <v>24</v>
      </c>
      <c r="N432" t="s">
        <v>188</v>
      </c>
      <c r="O432" t="s">
        <v>151</v>
      </c>
      <c r="P432">
        <v>2025</v>
      </c>
    </row>
    <row r="433" spans="1:16" x14ac:dyDescent="0.25">
      <c r="A433" s="96" t="s">
        <v>2</v>
      </c>
      <c r="B433" s="96" t="s">
        <v>290</v>
      </c>
      <c r="C433" s="96" t="s">
        <v>630</v>
      </c>
      <c r="D433" s="96" t="s">
        <v>14</v>
      </c>
      <c r="E433" s="43">
        <v>46056</v>
      </c>
      <c r="F433" s="43">
        <v>46084</v>
      </c>
      <c r="G433" s="96" t="s">
        <v>92</v>
      </c>
      <c r="H433" s="96" t="s">
        <v>3799</v>
      </c>
      <c r="I433" s="96" t="s">
        <v>194</v>
      </c>
      <c r="J433" s="96" t="s">
        <v>168</v>
      </c>
      <c r="K433" s="96" t="s">
        <v>210</v>
      </c>
      <c r="L433">
        <v>28</v>
      </c>
      <c r="M433" t="s">
        <v>19</v>
      </c>
      <c r="N433" t="s">
        <v>32</v>
      </c>
      <c r="O433" t="s">
        <v>149</v>
      </c>
      <c r="P433">
        <v>2026</v>
      </c>
    </row>
    <row r="434" spans="1:16" hidden="1" x14ac:dyDescent="0.25">
      <c r="A434" s="96" t="s">
        <v>2</v>
      </c>
      <c r="B434" s="96" t="s">
        <v>231</v>
      </c>
      <c r="C434" s="96" t="s">
        <v>631</v>
      </c>
      <c r="D434" s="96" t="s">
        <v>215</v>
      </c>
      <c r="E434" s="43">
        <v>45816</v>
      </c>
      <c r="F434" s="43">
        <v>45932</v>
      </c>
      <c r="G434" s="96" t="s">
        <v>92</v>
      </c>
      <c r="H434" s="96" t="s">
        <v>3800</v>
      </c>
      <c r="I434" s="96" t="s">
        <v>194</v>
      </c>
      <c r="J434" s="96" t="s">
        <v>93</v>
      </c>
      <c r="K434" s="96" t="s">
        <v>217</v>
      </c>
      <c r="L434">
        <v>116</v>
      </c>
      <c r="M434" t="s">
        <v>28</v>
      </c>
      <c r="N434" t="s">
        <v>184</v>
      </c>
      <c r="O434" t="s">
        <v>170</v>
      </c>
      <c r="P434">
        <v>2025</v>
      </c>
    </row>
    <row r="435" spans="1:16" hidden="1" x14ac:dyDescent="0.25">
      <c r="A435" s="96" t="s">
        <v>2</v>
      </c>
      <c r="B435" s="96" t="s">
        <v>257</v>
      </c>
      <c r="C435" s="96" t="s">
        <v>632</v>
      </c>
      <c r="D435" s="96" t="s">
        <v>237</v>
      </c>
      <c r="E435" s="43">
        <v>45946</v>
      </c>
      <c r="F435" s="43">
        <v>46023</v>
      </c>
      <c r="G435" s="96" t="s">
        <v>90</v>
      </c>
      <c r="H435" s="96" t="s">
        <v>3801</v>
      </c>
      <c r="I435" s="96" t="s">
        <v>209</v>
      </c>
      <c r="J435" s="96" t="s">
        <v>283</v>
      </c>
      <c r="K435" s="96" t="s">
        <v>233</v>
      </c>
      <c r="L435">
        <v>77</v>
      </c>
      <c r="M435" t="s">
        <v>28</v>
      </c>
      <c r="N435" t="s">
        <v>16</v>
      </c>
      <c r="O435" t="s">
        <v>151</v>
      </c>
      <c r="P435">
        <v>2025</v>
      </c>
    </row>
    <row r="436" spans="1:16" hidden="1" x14ac:dyDescent="0.25">
      <c r="A436" s="96" t="s">
        <v>2</v>
      </c>
      <c r="B436" s="96" t="s">
        <v>190</v>
      </c>
      <c r="C436" s="96" t="s">
        <v>3802</v>
      </c>
      <c r="D436" s="96" t="s">
        <v>14</v>
      </c>
      <c r="E436" s="43">
        <v>45793</v>
      </c>
      <c r="F436" s="43">
        <v>45837</v>
      </c>
      <c r="G436" s="96" t="s">
        <v>90</v>
      </c>
      <c r="H436" s="96" t="s">
        <v>622</v>
      </c>
      <c r="I436" s="96" t="s">
        <v>194</v>
      </c>
      <c r="J436" s="96" t="s">
        <v>98</v>
      </c>
      <c r="K436" s="96" t="s">
        <v>195</v>
      </c>
      <c r="L436">
        <v>44</v>
      </c>
      <c r="M436" t="s">
        <v>24</v>
      </c>
      <c r="N436" t="s">
        <v>182</v>
      </c>
      <c r="O436" t="s">
        <v>150</v>
      </c>
      <c r="P436">
        <v>2025</v>
      </c>
    </row>
    <row r="437" spans="1:16" x14ac:dyDescent="0.25">
      <c r="A437" s="96" t="s">
        <v>2</v>
      </c>
      <c r="B437" s="96" t="s">
        <v>374</v>
      </c>
      <c r="C437" s="96" t="s">
        <v>633</v>
      </c>
      <c r="D437" s="96" t="s">
        <v>10</v>
      </c>
      <c r="E437" s="43">
        <v>46045</v>
      </c>
      <c r="F437" s="43">
        <v>46062</v>
      </c>
      <c r="G437" s="96" t="s">
        <v>90</v>
      </c>
      <c r="H437" s="96" t="s">
        <v>3803</v>
      </c>
      <c r="I437" s="96" t="s">
        <v>225</v>
      </c>
      <c r="J437" s="96" t="s">
        <v>216</v>
      </c>
      <c r="K437" s="96" t="s">
        <v>210</v>
      </c>
      <c r="L437">
        <v>17</v>
      </c>
      <c r="M437" t="s">
        <v>19</v>
      </c>
      <c r="N437" t="s">
        <v>29</v>
      </c>
      <c r="O437" t="s">
        <v>150</v>
      </c>
      <c r="P437">
        <v>2026</v>
      </c>
    </row>
    <row r="438" spans="1:16" hidden="1" x14ac:dyDescent="0.25">
      <c r="A438" s="96" t="s">
        <v>2</v>
      </c>
      <c r="B438" s="96" t="s">
        <v>231</v>
      </c>
      <c r="C438" s="96" t="s">
        <v>634</v>
      </c>
      <c r="D438" s="96" t="s">
        <v>237</v>
      </c>
      <c r="E438" s="43">
        <v>45881</v>
      </c>
      <c r="F438" s="43">
        <v>45989</v>
      </c>
      <c r="G438" s="96" t="s">
        <v>90</v>
      </c>
      <c r="H438" s="96" t="s">
        <v>624</v>
      </c>
      <c r="I438" s="96" t="s">
        <v>9</v>
      </c>
      <c r="J438" s="96" t="s">
        <v>199</v>
      </c>
      <c r="K438" s="96" t="s">
        <v>210</v>
      </c>
      <c r="L438">
        <v>108</v>
      </c>
      <c r="M438" t="s">
        <v>28</v>
      </c>
      <c r="N438" t="s">
        <v>8</v>
      </c>
      <c r="O438" t="s">
        <v>170</v>
      </c>
      <c r="P438">
        <v>2025</v>
      </c>
    </row>
    <row r="439" spans="1:16" x14ac:dyDescent="0.25">
      <c r="A439" s="96" t="s">
        <v>2</v>
      </c>
      <c r="B439" s="96" t="s">
        <v>201</v>
      </c>
      <c r="C439" s="96" t="s">
        <v>3804</v>
      </c>
      <c r="D439" s="96" t="s">
        <v>10</v>
      </c>
      <c r="E439" s="43">
        <v>46136</v>
      </c>
      <c r="F439" s="43">
        <v>46148</v>
      </c>
      <c r="G439" s="96" t="s">
        <v>92</v>
      </c>
      <c r="H439" s="96" t="s">
        <v>3805</v>
      </c>
      <c r="I439" s="96" t="s">
        <v>204</v>
      </c>
      <c r="J439" s="96" t="s">
        <v>172</v>
      </c>
      <c r="K439" s="96" t="s">
        <v>233</v>
      </c>
      <c r="L439">
        <v>12</v>
      </c>
      <c r="M439" t="s">
        <v>15</v>
      </c>
      <c r="N439" t="s">
        <v>37</v>
      </c>
      <c r="O439" t="s">
        <v>170</v>
      </c>
      <c r="P439">
        <v>2026</v>
      </c>
    </row>
    <row r="440" spans="1:16" hidden="1" x14ac:dyDescent="0.25">
      <c r="A440" s="96" t="s">
        <v>2</v>
      </c>
      <c r="B440" s="96" t="s">
        <v>272</v>
      </c>
      <c r="C440" s="96" t="s">
        <v>3806</v>
      </c>
      <c r="D440" s="96" t="s">
        <v>215</v>
      </c>
      <c r="E440" s="43">
        <v>45879</v>
      </c>
      <c r="F440" s="43">
        <v>45933</v>
      </c>
      <c r="G440" s="96" t="s">
        <v>92</v>
      </c>
      <c r="H440" s="96" t="s">
        <v>3807</v>
      </c>
      <c r="I440" s="96" t="s">
        <v>209</v>
      </c>
      <c r="J440" s="96" t="s">
        <v>177</v>
      </c>
      <c r="K440" s="96" t="s">
        <v>157</v>
      </c>
      <c r="L440">
        <v>54</v>
      </c>
      <c r="M440" t="s">
        <v>24</v>
      </c>
      <c r="N440" t="s">
        <v>8</v>
      </c>
      <c r="O440" t="s">
        <v>151</v>
      </c>
      <c r="P440">
        <v>2025</v>
      </c>
    </row>
    <row r="441" spans="1:16" hidden="1" x14ac:dyDescent="0.25">
      <c r="A441" s="96" t="s">
        <v>2</v>
      </c>
      <c r="B441" s="96" t="s">
        <v>253</v>
      </c>
      <c r="C441" s="96" t="s">
        <v>635</v>
      </c>
      <c r="D441" s="96" t="s">
        <v>215</v>
      </c>
      <c r="E441" s="43">
        <v>45668</v>
      </c>
      <c r="F441" s="43">
        <v>45689</v>
      </c>
      <c r="G441" s="96" t="s">
        <v>92</v>
      </c>
      <c r="H441" s="96" t="s">
        <v>3808</v>
      </c>
      <c r="I441" s="96" t="s">
        <v>228</v>
      </c>
      <c r="J441" s="96" t="s">
        <v>174</v>
      </c>
      <c r="K441" s="96" t="s">
        <v>246</v>
      </c>
      <c r="L441">
        <v>21</v>
      </c>
      <c r="M441" t="s">
        <v>19</v>
      </c>
      <c r="N441" t="s">
        <v>181</v>
      </c>
      <c r="O441" t="s">
        <v>152</v>
      </c>
      <c r="P441">
        <v>2025</v>
      </c>
    </row>
    <row r="442" spans="1:16" hidden="1" x14ac:dyDescent="0.25">
      <c r="A442" s="96" t="s">
        <v>2</v>
      </c>
      <c r="B442" s="96" t="s">
        <v>247</v>
      </c>
      <c r="C442" s="96" t="s">
        <v>3809</v>
      </c>
      <c r="D442" s="96" t="s">
        <v>203</v>
      </c>
      <c r="E442" s="43">
        <v>45719</v>
      </c>
      <c r="F442" s="43">
        <v>45791</v>
      </c>
      <c r="G442" s="96" t="s">
        <v>92</v>
      </c>
      <c r="H442" s="96" t="s">
        <v>3810</v>
      </c>
      <c r="I442" s="96" t="s">
        <v>204</v>
      </c>
      <c r="J442" s="96" t="s">
        <v>173</v>
      </c>
      <c r="K442" s="96" t="s">
        <v>157</v>
      </c>
      <c r="L442">
        <v>72</v>
      </c>
      <c r="M442" t="s">
        <v>28</v>
      </c>
      <c r="N442" t="s">
        <v>186</v>
      </c>
      <c r="O442" t="s">
        <v>150</v>
      </c>
      <c r="P442">
        <v>2025</v>
      </c>
    </row>
    <row r="443" spans="1:16" hidden="1" x14ac:dyDescent="0.25">
      <c r="A443" s="96" t="s">
        <v>175</v>
      </c>
      <c r="B443" s="96" t="s">
        <v>251</v>
      </c>
      <c r="C443" s="96" t="s">
        <v>636</v>
      </c>
      <c r="D443" s="96" t="s">
        <v>192</v>
      </c>
      <c r="E443" s="43">
        <v>45711</v>
      </c>
      <c r="F443" s="43">
        <v>45802</v>
      </c>
      <c r="G443" s="96" t="s">
        <v>95</v>
      </c>
      <c r="H443" s="96" t="s">
        <v>3811</v>
      </c>
      <c r="I443" s="96" t="s">
        <v>228</v>
      </c>
      <c r="J443" s="96" t="s">
        <v>199</v>
      </c>
      <c r="K443" s="96" t="s">
        <v>157</v>
      </c>
      <c r="L443">
        <v>91</v>
      </c>
      <c r="M443" t="s">
        <v>28</v>
      </c>
      <c r="N443" t="s">
        <v>188</v>
      </c>
      <c r="O443" t="s">
        <v>170</v>
      </c>
      <c r="P443">
        <v>2025</v>
      </c>
    </row>
    <row r="444" spans="1:16" hidden="1" x14ac:dyDescent="0.25">
      <c r="A444" s="96" t="s">
        <v>175</v>
      </c>
      <c r="B444" s="96" t="s">
        <v>322</v>
      </c>
      <c r="C444" s="96" t="s">
        <v>3812</v>
      </c>
      <c r="D444" s="96" t="s">
        <v>215</v>
      </c>
      <c r="E444" s="43">
        <v>45829</v>
      </c>
      <c r="F444" s="43">
        <v>45934</v>
      </c>
      <c r="G444" s="96" t="s">
        <v>92</v>
      </c>
      <c r="H444" s="96" t="s">
        <v>3813</v>
      </c>
      <c r="I444" s="96" t="s">
        <v>157</v>
      </c>
      <c r="J444" s="96" t="s">
        <v>216</v>
      </c>
      <c r="K444" s="96" t="s">
        <v>200</v>
      </c>
      <c r="L444">
        <v>105</v>
      </c>
      <c r="M444" t="s">
        <v>28</v>
      </c>
      <c r="N444" t="s">
        <v>184</v>
      </c>
      <c r="O444" t="s">
        <v>150</v>
      </c>
      <c r="P444">
        <v>2025</v>
      </c>
    </row>
    <row r="445" spans="1:16" x14ac:dyDescent="0.25">
      <c r="A445" s="96" t="s">
        <v>21</v>
      </c>
      <c r="B445" s="96" t="s">
        <v>261</v>
      </c>
      <c r="C445" s="96" t="s">
        <v>637</v>
      </c>
      <c r="D445" s="96" t="s">
        <v>10</v>
      </c>
      <c r="E445" s="43">
        <v>46058</v>
      </c>
      <c r="F445" s="43">
        <v>46148</v>
      </c>
      <c r="G445" s="96" t="s">
        <v>95</v>
      </c>
      <c r="H445" s="96" t="s">
        <v>3814</v>
      </c>
      <c r="I445" s="96" t="s">
        <v>194</v>
      </c>
      <c r="J445" s="96" t="s">
        <v>173</v>
      </c>
      <c r="K445" s="96" t="s">
        <v>195</v>
      </c>
      <c r="L445">
        <v>90</v>
      </c>
      <c r="M445" t="s">
        <v>28</v>
      </c>
      <c r="N445" t="s">
        <v>32</v>
      </c>
      <c r="O445" t="s">
        <v>151</v>
      </c>
      <c r="P445">
        <v>2026</v>
      </c>
    </row>
    <row r="446" spans="1:16" hidden="1" x14ac:dyDescent="0.25">
      <c r="A446" s="96" t="s">
        <v>2</v>
      </c>
      <c r="B446" s="96" t="s">
        <v>213</v>
      </c>
      <c r="C446" s="96" t="s">
        <v>638</v>
      </c>
      <c r="D446" s="96" t="s">
        <v>10</v>
      </c>
      <c r="E446" s="43">
        <v>45922</v>
      </c>
      <c r="F446" s="43">
        <v>45931</v>
      </c>
      <c r="G446" s="96" t="s">
        <v>95</v>
      </c>
      <c r="H446" s="96" t="s">
        <v>3815</v>
      </c>
      <c r="I446" s="96" t="s">
        <v>194</v>
      </c>
      <c r="J446" s="96" t="s">
        <v>177</v>
      </c>
      <c r="K446" s="96" t="s">
        <v>210</v>
      </c>
      <c r="L446">
        <v>9</v>
      </c>
      <c r="M446" t="s">
        <v>15</v>
      </c>
      <c r="N446" t="s">
        <v>12</v>
      </c>
      <c r="O446" t="s">
        <v>149</v>
      </c>
      <c r="P446">
        <v>2025</v>
      </c>
    </row>
    <row r="447" spans="1:16" x14ac:dyDescent="0.25">
      <c r="A447" s="96" t="s">
        <v>2</v>
      </c>
      <c r="B447" s="96" t="s">
        <v>249</v>
      </c>
      <c r="C447" s="96" t="s">
        <v>639</v>
      </c>
      <c r="D447" s="96" t="s">
        <v>223</v>
      </c>
      <c r="E447" s="43">
        <v>46037</v>
      </c>
      <c r="F447" s="43">
        <v>46118</v>
      </c>
      <c r="G447" s="96" t="s">
        <v>90</v>
      </c>
      <c r="H447" s="96" t="s">
        <v>3816</v>
      </c>
      <c r="I447" s="96" t="s">
        <v>204</v>
      </c>
      <c r="J447" s="96" t="s">
        <v>172</v>
      </c>
      <c r="K447" s="96" t="s">
        <v>230</v>
      </c>
      <c r="L447">
        <v>81</v>
      </c>
      <c r="M447" t="s">
        <v>28</v>
      </c>
      <c r="N447" t="s">
        <v>29</v>
      </c>
      <c r="O447" t="s">
        <v>170</v>
      </c>
      <c r="P447">
        <v>2026</v>
      </c>
    </row>
    <row r="448" spans="1:16" x14ac:dyDescent="0.25">
      <c r="A448" s="96" t="s">
        <v>2</v>
      </c>
      <c r="B448" s="96" t="s">
        <v>261</v>
      </c>
      <c r="C448" s="96" t="s">
        <v>3817</v>
      </c>
      <c r="D448" s="96" t="s">
        <v>223</v>
      </c>
      <c r="E448" s="43">
        <v>46060</v>
      </c>
      <c r="F448" s="43">
        <v>46150</v>
      </c>
      <c r="G448" s="96" t="s">
        <v>90</v>
      </c>
      <c r="H448" s="96" t="s">
        <v>3818</v>
      </c>
      <c r="I448" s="96" t="s">
        <v>157</v>
      </c>
      <c r="J448" s="96" t="s">
        <v>176</v>
      </c>
      <c r="K448" s="96" t="s">
        <v>205</v>
      </c>
      <c r="L448">
        <v>90</v>
      </c>
      <c r="M448" t="s">
        <v>28</v>
      </c>
      <c r="N448" t="s">
        <v>32</v>
      </c>
      <c r="O448" t="s">
        <v>151</v>
      </c>
      <c r="P448">
        <v>2026</v>
      </c>
    </row>
    <row r="449" spans="1:16" x14ac:dyDescent="0.25">
      <c r="A449" s="96" t="s">
        <v>2</v>
      </c>
      <c r="B449" s="96" t="s">
        <v>249</v>
      </c>
      <c r="C449" s="96" t="s">
        <v>640</v>
      </c>
      <c r="D449" s="96" t="s">
        <v>203</v>
      </c>
      <c r="E449" s="43">
        <v>46044</v>
      </c>
      <c r="F449" s="43">
        <v>46049</v>
      </c>
      <c r="G449" s="96" t="s">
        <v>90</v>
      </c>
      <c r="H449" s="96" t="s">
        <v>3819</v>
      </c>
      <c r="I449" s="96" t="s">
        <v>204</v>
      </c>
      <c r="J449" s="96" t="s">
        <v>91</v>
      </c>
      <c r="K449" s="96" t="s">
        <v>233</v>
      </c>
      <c r="L449">
        <v>5</v>
      </c>
      <c r="M449" t="s">
        <v>11</v>
      </c>
      <c r="N449" t="s">
        <v>29</v>
      </c>
      <c r="O449" t="s">
        <v>170</v>
      </c>
      <c r="P449">
        <v>2026</v>
      </c>
    </row>
    <row r="450" spans="1:16" hidden="1" x14ac:dyDescent="0.25">
      <c r="A450" s="96" t="s">
        <v>2</v>
      </c>
      <c r="B450" s="96" t="s">
        <v>253</v>
      </c>
      <c r="C450" s="96" t="s">
        <v>641</v>
      </c>
      <c r="D450" s="96" t="s">
        <v>215</v>
      </c>
      <c r="E450" s="43">
        <v>45817</v>
      </c>
      <c r="F450" s="43">
        <v>45884</v>
      </c>
      <c r="G450" s="96" t="s">
        <v>92</v>
      </c>
      <c r="H450" s="96" t="s">
        <v>3820</v>
      </c>
      <c r="I450" s="96" t="s">
        <v>157</v>
      </c>
      <c r="J450" s="96" t="s">
        <v>96</v>
      </c>
      <c r="K450" s="96" t="s">
        <v>217</v>
      </c>
      <c r="L450">
        <v>67</v>
      </c>
      <c r="M450" t="s">
        <v>28</v>
      </c>
      <c r="N450" t="s">
        <v>184</v>
      </c>
      <c r="O450" t="s">
        <v>152</v>
      </c>
      <c r="P450">
        <v>2025</v>
      </c>
    </row>
    <row r="451" spans="1:16" x14ac:dyDescent="0.25">
      <c r="A451" s="96" t="s">
        <v>2</v>
      </c>
      <c r="B451" s="96" t="s">
        <v>290</v>
      </c>
      <c r="C451" s="96" t="s">
        <v>642</v>
      </c>
      <c r="D451" s="96" t="s">
        <v>14</v>
      </c>
      <c r="E451" s="43">
        <v>46051</v>
      </c>
      <c r="F451" s="43">
        <v>46145</v>
      </c>
      <c r="G451" s="96" t="s">
        <v>92</v>
      </c>
      <c r="H451" s="96" t="s">
        <v>3821</v>
      </c>
      <c r="I451" s="96" t="s">
        <v>194</v>
      </c>
      <c r="J451" s="96" t="s">
        <v>96</v>
      </c>
      <c r="K451" s="96" t="s">
        <v>195</v>
      </c>
      <c r="L451">
        <v>94</v>
      </c>
      <c r="M451" t="s">
        <v>28</v>
      </c>
      <c r="N451" t="s">
        <v>29</v>
      </c>
      <c r="O451" t="s">
        <v>149</v>
      </c>
      <c r="P451">
        <v>2026</v>
      </c>
    </row>
    <row r="452" spans="1:16" hidden="1" x14ac:dyDescent="0.25">
      <c r="A452" s="96" t="s">
        <v>2</v>
      </c>
      <c r="B452" s="96" t="s">
        <v>231</v>
      </c>
      <c r="C452" s="96" t="s">
        <v>3822</v>
      </c>
      <c r="D452" s="96" t="s">
        <v>237</v>
      </c>
      <c r="E452" s="43">
        <v>45778</v>
      </c>
      <c r="F452" s="43">
        <v>45882</v>
      </c>
      <c r="G452" s="96" t="s">
        <v>92</v>
      </c>
      <c r="H452" s="96" t="s">
        <v>3823</v>
      </c>
      <c r="I452" s="96" t="s">
        <v>228</v>
      </c>
      <c r="J452" s="96" t="s">
        <v>94</v>
      </c>
      <c r="K452" s="96" t="s">
        <v>233</v>
      </c>
      <c r="L452">
        <v>104</v>
      </c>
      <c r="M452" t="s">
        <v>28</v>
      </c>
      <c r="N452" t="s">
        <v>182</v>
      </c>
      <c r="O452" t="s">
        <v>170</v>
      </c>
      <c r="P452">
        <v>2025</v>
      </c>
    </row>
    <row r="453" spans="1:16" hidden="1" x14ac:dyDescent="0.25">
      <c r="A453" s="96" t="s">
        <v>2</v>
      </c>
      <c r="B453" s="96" t="s">
        <v>264</v>
      </c>
      <c r="C453" s="96" t="s">
        <v>643</v>
      </c>
      <c r="D453" s="96" t="s">
        <v>14</v>
      </c>
      <c r="E453" s="43">
        <v>45956</v>
      </c>
      <c r="F453" s="43">
        <v>45981</v>
      </c>
      <c r="G453" s="96" t="s">
        <v>90</v>
      </c>
      <c r="H453" s="96" t="s">
        <v>3824</v>
      </c>
      <c r="I453" s="96" t="s">
        <v>9</v>
      </c>
      <c r="J453" s="96" t="s">
        <v>283</v>
      </c>
      <c r="K453" s="96" t="s">
        <v>210</v>
      </c>
      <c r="L453">
        <v>25</v>
      </c>
      <c r="M453" t="s">
        <v>19</v>
      </c>
      <c r="N453" t="s">
        <v>16</v>
      </c>
      <c r="O453" t="s">
        <v>152</v>
      </c>
      <c r="P453">
        <v>2025</v>
      </c>
    </row>
    <row r="454" spans="1:16" hidden="1" x14ac:dyDescent="0.25">
      <c r="A454" s="96" t="s">
        <v>2</v>
      </c>
      <c r="B454" s="96" t="s">
        <v>253</v>
      </c>
      <c r="C454" s="96" t="s">
        <v>644</v>
      </c>
      <c r="D454" s="96" t="s">
        <v>40</v>
      </c>
      <c r="E454" s="43">
        <v>45886</v>
      </c>
      <c r="F454" s="43">
        <v>45896</v>
      </c>
      <c r="G454" s="96" t="s">
        <v>92</v>
      </c>
      <c r="H454" s="96" t="s">
        <v>3825</v>
      </c>
      <c r="I454" s="96" t="s">
        <v>228</v>
      </c>
      <c r="J454" s="96" t="s">
        <v>216</v>
      </c>
      <c r="K454" s="96" t="s">
        <v>217</v>
      </c>
      <c r="L454">
        <v>10</v>
      </c>
      <c r="M454" t="s">
        <v>15</v>
      </c>
      <c r="N454" t="s">
        <v>8</v>
      </c>
      <c r="O454" t="s">
        <v>152</v>
      </c>
      <c r="P454">
        <v>2025</v>
      </c>
    </row>
    <row r="455" spans="1:16" x14ac:dyDescent="0.25">
      <c r="A455" s="96" t="s">
        <v>2</v>
      </c>
      <c r="B455" s="96" t="s">
        <v>234</v>
      </c>
      <c r="C455" s="96" t="s">
        <v>645</v>
      </c>
      <c r="D455" s="96" t="s">
        <v>203</v>
      </c>
      <c r="E455" s="43">
        <v>46148</v>
      </c>
      <c r="F455" s="43">
        <v>46148</v>
      </c>
      <c r="G455" s="96" t="s">
        <v>92</v>
      </c>
      <c r="H455" s="96" t="s">
        <v>3826</v>
      </c>
      <c r="I455" s="96" t="s">
        <v>157</v>
      </c>
      <c r="J455" s="96" t="s">
        <v>169</v>
      </c>
      <c r="K455" s="96" t="s">
        <v>233</v>
      </c>
      <c r="L455">
        <v>0</v>
      </c>
      <c r="M455" t="s">
        <v>11</v>
      </c>
      <c r="N455" t="s">
        <v>183</v>
      </c>
      <c r="O455" t="s">
        <v>150</v>
      </c>
      <c r="P455">
        <v>2026</v>
      </c>
    </row>
    <row r="456" spans="1:16" hidden="1" x14ac:dyDescent="0.25">
      <c r="A456" s="96" t="s">
        <v>189</v>
      </c>
      <c r="B456" s="96" t="s">
        <v>211</v>
      </c>
      <c r="C456" s="96" t="s">
        <v>646</v>
      </c>
      <c r="D456" s="96" t="s">
        <v>14</v>
      </c>
      <c r="E456" s="43">
        <v>45891</v>
      </c>
      <c r="F456" s="43">
        <v>45952</v>
      </c>
      <c r="G456" s="96" t="s">
        <v>92</v>
      </c>
      <c r="H456" s="96" t="s">
        <v>3827</v>
      </c>
      <c r="I456" s="96" t="s">
        <v>9</v>
      </c>
      <c r="J456" s="96" t="s">
        <v>97</v>
      </c>
      <c r="K456" s="96" t="s">
        <v>230</v>
      </c>
      <c r="L456">
        <v>61</v>
      </c>
      <c r="M456" t="s">
        <v>28</v>
      </c>
      <c r="N456" t="s">
        <v>8</v>
      </c>
      <c r="O456" t="s">
        <v>170</v>
      </c>
      <c r="P456">
        <v>2025</v>
      </c>
    </row>
    <row r="457" spans="1:16" x14ac:dyDescent="0.25">
      <c r="A457" s="96" t="s">
        <v>175</v>
      </c>
      <c r="B457" s="96" t="s">
        <v>234</v>
      </c>
      <c r="C457" s="96" t="s">
        <v>3828</v>
      </c>
      <c r="D457" s="96" t="s">
        <v>14</v>
      </c>
      <c r="E457" s="43">
        <v>46101</v>
      </c>
      <c r="F457" s="43">
        <v>46149</v>
      </c>
      <c r="G457" s="96" t="s">
        <v>92</v>
      </c>
      <c r="H457" s="96" t="s">
        <v>3829</v>
      </c>
      <c r="I457" s="96" t="s">
        <v>157</v>
      </c>
      <c r="J457" s="96" t="s">
        <v>177</v>
      </c>
      <c r="K457" s="96" t="s">
        <v>217</v>
      </c>
      <c r="L457">
        <v>48</v>
      </c>
      <c r="M457" t="s">
        <v>24</v>
      </c>
      <c r="N457" t="s">
        <v>35</v>
      </c>
      <c r="O457" t="s">
        <v>150</v>
      </c>
      <c r="P457">
        <v>2026</v>
      </c>
    </row>
    <row r="458" spans="1:16" hidden="1" x14ac:dyDescent="0.25">
      <c r="A458" s="96" t="s">
        <v>175</v>
      </c>
      <c r="B458" s="96" t="s">
        <v>272</v>
      </c>
      <c r="C458" s="96" t="s">
        <v>3830</v>
      </c>
      <c r="D458" s="96" t="s">
        <v>34</v>
      </c>
      <c r="E458" s="43">
        <v>45816</v>
      </c>
      <c r="F458" s="43">
        <v>45889</v>
      </c>
      <c r="G458" s="96" t="s">
        <v>92</v>
      </c>
      <c r="H458" s="96" t="s">
        <v>3831</v>
      </c>
      <c r="I458" s="96" t="s">
        <v>228</v>
      </c>
      <c r="J458" s="96" t="s">
        <v>93</v>
      </c>
      <c r="K458" s="96" t="s">
        <v>246</v>
      </c>
      <c r="L458">
        <v>73</v>
      </c>
      <c r="M458" t="s">
        <v>28</v>
      </c>
      <c r="N458" t="s">
        <v>184</v>
      </c>
      <c r="O458" t="s">
        <v>151</v>
      </c>
      <c r="P458">
        <v>2025</v>
      </c>
    </row>
    <row r="459" spans="1:16" hidden="1" x14ac:dyDescent="0.25">
      <c r="A459" s="96" t="s">
        <v>175</v>
      </c>
      <c r="B459" s="96" t="s">
        <v>206</v>
      </c>
      <c r="C459" s="96" t="s">
        <v>3832</v>
      </c>
      <c r="D459" s="96" t="s">
        <v>215</v>
      </c>
      <c r="E459" s="43">
        <v>45734</v>
      </c>
      <c r="F459" s="43">
        <v>45845</v>
      </c>
      <c r="G459" s="96" t="s">
        <v>90</v>
      </c>
      <c r="H459" s="96" t="s">
        <v>3833</v>
      </c>
      <c r="I459" s="96" t="s">
        <v>194</v>
      </c>
      <c r="J459" s="96" t="s">
        <v>174</v>
      </c>
      <c r="K459" s="96" t="s">
        <v>157</v>
      </c>
      <c r="L459">
        <v>111</v>
      </c>
      <c r="M459" t="s">
        <v>28</v>
      </c>
      <c r="N459" t="s">
        <v>186</v>
      </c>
      <c r="O459" t="s">
        <v>152</v>
      </c>
      <c r="P459">
        <v>2025</v>
      </c>
    </row>
    <row r="460" spans="1:16" hidden="1" x14ac:dyDescent="0.25">
      <c r="A460" s="96" t="s">
        <v>171</v>
      </c>
      <c r="B460" s="96" t="s">
        <v>211</v>
      </c>
      <c r="C460" s="96" t="s">
        <v>3834</v>
      </c>
      <c r="D460" s="96" t="s">
        <v>215</v>
      </c>
      <c r="E460" s="43">
        <v>45987</v>
      </c>
      <c r="F460" s="43">
        <v>46059</v>
      </c>
      <c r="G460" s="96" t="s">
        <v>92</v>
      </c>
      <c r="H460" s="96" t="s">
        <v>3835</v>
      </c>
      <c r="I460" s="96" t="s">
        <v>157</v>
      </c>
      <c r="J460" s="96" t="s">
        <v>216</v>
      </c>
      <c r="K460" s="96" t="s">
        <v>157</v>
      </c>
      <c r="L460">
        <v>72</v>
      </c>
      <c r="M460" t="s">
        <v>28</v>
      </c>
      <c r="N460" t="s">
        <v>20</v>
      </c>
      <c r="O460" t="s">
        <v>170</v>
      </c>
      <c r="P460">
        <v>2025</v>
      </c>
    </row>
    <row r="461" spans="1:16" x14ac:dyDescent="0.25">
      <c r="A461" s="96" t="s">
        <v>171</v>
      </c>
      <c r="B461" s="96" t="s">
        <v>288</v>
      </c>
      <c r="C461" s="96" t="s">
        <v>3836</v>
      </c>
      <c r="D461" s="96" t="s">
        <v>192</v>
      </c>
      <c r="E461" s="43">
        <v>46053</v>
      </c>
      <c r="F461" s="43">
        <v>46138</v>
      </c>
      <c r="G461" s="96" t="s">
        <v>92</v>
      </c>
      <c r="H461" s="96" t="s">
        <v>3837</v>
      </c>
      <c r="I461" s="96" t="s">
        <v>194</v>
      </c>
      <c r="J461" s="96" t="s">
        <v>165</v>
      </c>
      <c r="K461" s="96" t="s">
        <v>157</v>
      </c>
      <c r="L461">
        <v>85</v>
      </c>
      <c r="M461" t="s">
        <v>28</v>
      </c>
      <c r="N461" t="s">
        <v>29</v>
      </c>
      <c r="O461" t="s">
        <v>170</v>
      </c>
      <c r="P461">
        <v>2026</v>
      </c>
    </row>
    <row r="462" spans="1:16" hidden="1" x14ac:dyDescent="0.25">
      <c r="A462" s="96" t="s">
        <v>21</v>
      </c>
      <c r="B462" s="96" t="s">
        <v>251</v>
      </c>
      <c r="C462" s="96" t="s">
        <v>3838</v>
      </c>
      <c r="D462" s="96" t="s">
        <v>237</v>
      </c>
      <c r="E462" s="43">
        <v>45863</v>
      </c>
      <c r="F462" s="43">
        <v>45939</v>
      </c>
      <c r="G462" s="96" t="s">
        <v>92</v>
      </c>
      <c r="H462" s="96" t="s">
        <v>3839</v>
      </c>
      <c r="I462" s="96" t="s">
        <v>9</v>
      </c>
      <c r="J462" s="96" t="s">
        <v>169</v>
      </c>
      <c r="K462" s="96" t="s">
        <v>200</v>
      </c>
      <c r="L462">
        <v>76</v>
      </c>
      <c r="M462" t="s">
        <v>28</v>
      </c>
      <c r="N462" t="s">
        <v>187</v>
      </c>
      <c r="O462" t="s">
        <v>170</v>
      </c>
      <c r="P462">
        <v>2025</v>
      </c>
    </row>
    <row r="463" spans="1:16" hidden="1" x14ac:dyDescent="0.25">
      <c r="A463" s="96" t="s">
        <v>2</v>
      </c>
      <c r="B463" s="96" t="s">
        <v>211</v>
      </c>
      <c r="C463" s="96" t="s">
        <v>647</v>
      </c>
      <c r="D463" s="96" t="s">
        <v>40</v>
      </c>
      <c r="E463" s="43">
        <v>45704</v>
      </c>
      <c r="F463" s="43">
        <v>45719</v>
      </c>
      <c r="G463" s="96" t="s">
        <v>92</v>
      </c>
      <c r="H463" s="96" t="s">
        <v>3840</v>
      </c>
      <c r="I463" s="96" t="s">
        <v>194</v>
      </c>
      <c r="J463" s="96" t="s">
        <v>229</v>
      </c>
      <c r="K463" s="96" t="s">
        <v>195</v>
      </c>
      <c r="L463">
        <v>15</v>
      </c>
      <c r="M463" t="s">
        <v>19</v>
      </c>
      <c r="N463" t="s">
        <v>188</v>
      </c>
      <c r="O463" t="s">
        <v>170</v>
      </c>
      <c r="P463">
        <v>2025</v>
      </c>
    </row>
    <row r="464" spans="1:16" hidden="1" x14ac:dyDescent="0.25">
      <c r="A464" s="96" t="s">
        <v>2</v>
      </c>
      <c r="B464" s="96" t="s">
        <v>240</v>
      </c>
      <c r="C464" s="96" t="s">
        <v>648</v>
      </c>
      <c r="D464" s="96" t="s">
        <v>223</v>
      </c>
      <c r="E464" s="43">
        <v>45824</v>
      </c>
      <c r="F464" s="43">
        <v>45848</v>
      </c>
      <c r="G464" s="96" t="s">
        <v>92</v>
      </c>
      <c r="H464" s="96" t="s">
        <v>3841</v>
      </c>
      <c r="I464" s="96" t="s">
        <v>204</v>
      </c>
      <c r="J464" s="96" t="s">
        <v>176</v>
      </c>
      <c r="K464" s="96" t="s">
        <v>233</v>
      </c>
      <c r="L464">
        <v>24</v>
      </c>
      <c r="M464" t="s">
        <v>19</v>
      </c>
      <c r="N464" t="s">
        <v>184</v>
      </c>
      <c r="O464" t="s">
        <v>149</v>
      </c>
      <c r="P464">
        <v>2025</v>
      </c>
    </row>
    <row r="465" spans="1:16" hidden="1" x14ac:dyDescent="0.25">
      <c r="A465" s="96" t="s">
        <v>2</v>
      </c>
      <c r="B465" s="96" t="s">
        <v>251</v>
      </c>
      <c r="C465" s="96" t="s">
        <v>649</v>
      </c>
      <c r="D465" s="96" t="s">
        <v>203</v>
      </c>
      <c r="E465" s="43">
        <v>45691</v>
      </c>
      <c r="F465" s="43">
        <v>45753</v>
      </c>
      <c r="G465" s="96" t="s">
        <v>90</v>
      </c>
      <c r="H465" s="96" t="s">
        <v>3842</v>
      </c>
      <c r="I465" s="96" t="s">
        <v>228</v>
      </c>
      <c r="J465" s="96" t="s">
        <v>199</v>
      </c>
      <c r="K465" s="96" t="s">
        <v>205</v>
      </c>
      <c r="L465">
        <v>62</v>
      </c>
      <c r="M465" t="s">
        <v>28</v>
      </c>
      <c r="N465" t="s">
        <v>188</v>
      </c>
      <c r="O465" t="s">
        <v>170</v>
      </c>
      <c r="P465">
        <v>2025</v>
      </c>
    </row>
    <row r="466" spans="1:16" x14ac:dyDescent="0.25">
      <c r="A466" s="96" t="s">
        <v>2</v>
      </c>
      <c r="B466" s="96" t="s">
        <v>274</v>
      </c>
      <c r="C466" s="96" t="s">
        <v>650</v>
      </c>
      <c r="D466" s="96" t="s">
        <v>34</v>
      </c>
      <c r="E466" s="43">
        <v>46055</v>
      </c>
      <c r="F466" s="43">
        <v>46094</v>
      </c>
      <c r="G466" s="96" t="s">
        <v>90</v>
      </c>
      <c r="H466" s="96" t="s">
        <v>3843</v>
      </c>
      <c r="I466" s="96" t="s">
        <v>204</v>
      </c>
      <c r="J466" s="96" t="s">
        <v>98</v>
      </c>
      <c r="K466" s="96" t="s">
        <v>210</v>
      </c>
      <c r="L466">
        <v>39</v>
      </c>
      <c r="M466" t="s">
        <v>24</v>
      </c>
      <c r="N466" t="s">
        <v>32</v>
      </c>
      <c r="O466" t="s">
        <v>170</v>
      </c>
      <c r="P466">
        <v>2026</v>
      </c>
    </row>
    <row r="467" spans="1:16" x14ac:dyDescent="0.25">
      <c r="A467" s="96" t="s">
        <v>2</v>
      </c>
      <c r="B467" s="96" t="s">
        <v>226</v>
      </c>
      <c r="C467" s="96" t="s">
        <v>651</v>
      </c>
      <c r="D467" s="96" t="s">
        <v>34</v>
      </c>
      <c r="E467" s="43">
        <v>46131</v>
      </c>
      <c r="F467" s="43">
        <v>46147</v>
      </c>
      <c r="G467" s="96" t="s">
        <v>92</v>
      </c>
      <c r="H467" s="96" t="s">
        <v>3844</v>
      </c>
      <c r="I467" s="96" t="s">
        <v>9</v>
      </c>
      <c r="J467" s="96" t="s">
        <v>177</v>
      </c>
      <c r="K467" s="96" t="s">
        <v>246</v>
      </c>
      <c r="L467">
        <v>16</v>
      </c>
      <c r="M467" t="s">
        <v>19</v>
      </c>
      <c r="N467" t="s">
        <v>37</v>
      </c>
      <c r="O467" t="s">
        <v>151</v>
      </c>
      <c r="P467">
        <v>2026</v>
      </c>
    </row>
    <row r="468" spans="1:16" hidden="1" x14ac:dyDescent="0.25">
      <c r="A468" s="96" t="s">
        <v>2</v>
      </c>
      <c r="B468" s="96" t="s">
        <v>211</v>
      </c>
      <c r="C468" s="96" t="s">
        <v>3845</v>
      </c>
      <c r="D468" s="96" t="s">
        <v>192</v>
      </c>
      <c r="E468" s="43">
        <v>45860</v>
      </c>
      <c r="F468" s="43">
        <v>45950</v>
      </c>
      <c r="G468" s="96" t="s">
        <v>95</v>
      </c>
      <c r="H468" s="96" t="s">
        <v>3846</v>
      </c>
      <c r="I468" s="96" t="s">
        <v>228</v>
      </c>
      <c r="J468" s="96" t="s">
        <v>174</v>
      </c>
      <c r="K468" s="96" t="s">
        <v>200</v>
      </c>
      <c r="L468">
        <v>90</v>
      </c>
      <c r="M468" t="s">
        <v>28</v>
      </c>
      <c r="N468" t="s">
        <v>187</v>
      </c>
      <c r="O468" t="s">
        <v>170</v>
      </c>
      <c r="P468">
        <v>2025</v>
      </c>
    </row>
    <row r="469" spans="1:16" hidden="1" x14ac:dyDescent="0.25">
      <c r="A469" s="96" t="s">
        <v>2</v>
      </c>
      <c r="B469" s="96" t="s">
        <v>206</v>
      </c>
      <c r="C469" s="96" t="s">
        <v>652</v>
      </c>
      <c r="D469" s="96" t="s">
        <v>192</v>
      </c>
      <c r="E469" s="43">
        <v>46020</v>
      </c>
      <c r="F469" s="43">
        <v>46078</v>
      </c>
      <c r="G469" s="96" t="s">
        <v>92</v>
      </c>
      <c r="H469" s="96" t="s">
        <v>3847</v>
      </c>
      <c r="I469" s="96" t="s">
        <v>204</v>
      </c>
      <c r="J469" s="96" t="s">
        <v>172</v>
      </c>
      <c r="K469" s="96" t="s">
        <v>210</v>
      </c>
      <c r="L469">
        <v>58</v>
      </c>
      <c r="M469" t="s">
        <v>24</v>
      </c>
      <c r="N469" t="s">
        <v>25</v>
      </c>
      <c r="O469" t="s">
        <v>152</v>
      </c>
      <c r="P469">
        <v>2025</v>
      </c>
    </row>
    <row r="470" spans="1:16" hidden="1" x14ac:dyDescent="0.25">
      <c r="A470" s="96" t="s">
        <v>21</v>
      </c>
      <c r="B470" s="96" t="s">
        <v>257</v>
      </c>
      <c r="C470" s="96" t="s">
        <v>653</v>
      </c>
      <c r="D470" s="96" t="s">
        <v>237</v>
      </c>
      <c r="E470" s="43">
        <v>45659</v>
      </c>
      <c r="F470" s="43">
        <v>45737</v>
      </c>
      <c r="G470" s="96" t="s">
        <v>90</v>
      </c>
      <c r="H470" s="96" t="s">
        <v>3848</v>
      </c>
      <c r="I470" s="96" t="s">
        <v>228</v>
      </c>
      <c r="J470" s="96" t="s">
        <v>165</v>
      </c>
      <c r="K470" s="96" t="s">
        <v>233</v>
      </c>
      <c r="L470">
        <v>78</v>
      </c>
      <c r="M470" t="s">
        <v>28</v>
      </c>
      <c r="N470" t="s">
        <v>181</v>
      </c>
      <c r="O470" t="s">
        <v>151</v>
      </c>
      <c r="P470">
        <v>2025</v>
      </c>
    </row>
    <row r="471" spans="1:16" hidden="1" x14ac:dyDescent="0.25">
      <c r="A471" s="96" t="s">
        <v>171</v>
      </c>
      <c r="B471" s="96" t="s">
        <v>213</v>
      </c>
      <c r="C471" s="96" t="s">
        <v>654</v>
      </c>
      <c r="D471" s="96" t="s">
        <v>237</v>
      </c>
      <c r="E471" s="43">
        <v>46001</v>
      </c>
      <c r="F471" s="43">
        <v>46058</v>
      </c>
      <c r="G471" s="96" t="s">
        <v>92</v>
      </c>
      <c r="H471" s="96" t="s">
        <v>3849</v>
      </c>
      <c r="I471" s="96" t="s">
        <v>225</v>
      </c>
      <c r="J471" s="96" t="s">
        <v>172</v>
      </c>
      <c r="K471" s="96" t="s">
        <v>233</v>
      </c>
      <c r="L471">
        <v>57</v>
      </c>
      <c r="M471" t="s">
        <v>24</v>
      </c>
      <c r="N471" t="s">
        <v>25</v>
      </c>
      <c r="O471" t="s">
        <v>149</v>
      </c>
      <c r="P471">
        <v>2025</v>
      </c>
    </row>
    <row r="472" spans="1:16" hidden="1" x14ac:dyDescent="0.25">
      <c r="A472" s="96" t="s">
        <v>2</v>
      </c>
      <c r="B472" s="96" t="s">
        <v>211</v>
      </c>
      <c r="C472" s="96" t="s">
        <v>3850</v>
      </c>
      <c r="D472" s="96" t="s">
        <v>215</v>
      </c>
      <c r="E472" s="43">
        <v>45756</v>
      </c>
      <c r="F472" s="43">
        <v>45813</v>
      </c>
      <c r="G472" s="96" t="s">
        <v>90</v>
      </c>
      <c r="H472" s="96" t="s">
        <v>3851</v>
      </c>
      <c r="I472" s="96" t="s">
        <v>9</v>
      </c>
      <c r="J472" s="96" t="s">
        <v>96</v>
      </c>
      <c r="K472" s="96" t="s">
        <v>205</v>
      </c>
      <c r="L472">
        <v>57</v>
      </c>
      <c r="M472" t="s">
        <v>24</v>
      </c>
      <c r="N472" t="s">
        <v>185</v>
      </c>
      <c r="O472" t="s">
        <v>170</v>
      </c>
      <c r="P472">
        <v>2025</v>
      </c>
    </row>
    <row r="473" spans="1:16" x14ac:dyDescent="0.25">
      <c r="A473" s="96" t="s">
        <v>2</v>
      </c>
      <c r="B473" s="96" t="s">
        <v>288</v>
      </c>
      <c r="C473" s="96" t="s">
        <v>655</v>
      </c>
      <c r="D473" s="96" t="s">
        <v>14</v>
      </c>
      <c r="E473" s="43">
        <v>46151</v>
      </c>
      <c r="F473" s="43">
        <v>46150</v>
      </c>
      <c r="G473" s="96" t="s">
        <v>92</v>
      </c>
      <c r="H473" s="96" t="s">
        <v>3852</v>
      </c>
      <c r="I473" s="96" t="s">
        <v>228</v>
      </c>
      <c r="J473" s="96" t="s">
        <v>173</v>
      </c>
      <c r="K473" s="96" t="s">
        <v>233</v>
      </c>
      <c r="L473">
        <v>-1</v>
      </c>
      <c r="M473" t="s">
        <v>11</v>
      </c>
      <c r="N473" t="s">
        <v>183</v>
      </c>
      <c r="O473" t="s">
        <v>170</v>
      </c>
      <c r="P473">
        <v>2026</v>
      </c>
    </row>
    <row r="474" spans="1:16" hidden="1" x14ac:dyDescent="0.25">
      <c r="A474" s="96" t="s">
        <v>2</v>
      </c>
      <c r="B474" s="96" t="s">
        <v>322</v>
      </c>
      <c r="C474" s="96" t="s">
        <v>3853</v>
      </c>
      <c r="D474" s="96" t="s">
        <v>10</v>
      </c>
      <c r="E474" s="43">
        <v>45680</v>
      </c>
      <c r="F474" s="43">
        <v>45794</v>
      </c>
      <c r="G474" s="96" t="s">
        <v>92</v>
      </c>
      <c r="H474" s="96" t="s">
        <v>3854</v>
      </c>
      <c r="I474" s="96" t="s">
        <v>194</v>
      </c>
      <c r="J474" s="96" t="s">
        <v>91</v>
      </c>
      <c r="K474" s="96" t="s">
        <v>200</v>
      </c>
      <c r="L474">
        <v>114</v>
      </c>
      <c r="M474" t="s">
        <v>28</v>
      </c>
      <c r="N474" t="s">
        <v>181</v>
      </c>
      <c r="O474" t="s">
        <v>150</v>
      </c>
      <c r="P474">
        <v>2025</v>
      </c>
    </row>
    <row r="475" spans="1:16" hidden="1" x14ac:dyDescent="0.25">
      <c r="A475" s="96" t="s">
        <v>2</v>
      </c>
      <c r="B475" s="96" t="s">
        <v>240</v>
      </c>
      <c r="C475" s="96" t="s">
        <v>3855</v>
      </c>
      <c r="D475" s="96" t="s">
        <v>237</v>
      </c>
      <c r="E475" s="43">
        <v>45978</v>
      </c>
      <c r="F475" s="43">
        <v>46034</v>
      </c>
      <c r="G475" s="96" t="s">
        <v>92</v>
      </c>
      <c r="H475" s="96" t="s">
        <v>3856</v>
      </c>
      <c r="I475" s="96" t="s">
        <v>9</v>
      </c>
      <c r="J475" s="96" t="s">
        <v>283</v>
      </c>
      <c r="K475" s="96" t="s">
        <v>205</v>
      </c>
      <c r="L475">
        <v>56</v>
      </c>
      <c r="M475" t="s">
        <v>24</v>
      </c>
      <c r="N475" t="s">
        <v>20</v>
      </c>
      <c r="O475" t="s">
        <v>149</v>
      </c>
      <c r="P475">
        <v>2025</v>
      </c>
    </row>
    <row r="476" spans="1:16" x14ac:dyDescent="0.25">
      <c r="A476" s="96" t="s">
        <v>175</v>
      </c>
      <c r="B476" s="96" t="s">
        <v>261</v>
      </c>
      <c r="C476" s="96" t="s">
        <v>657</v>
      </c>
      <c r="D476" s="96" t="s">
        <v>223</v>
      </c>
      <c r="E476" s="43">
        <v>46025</v>
      </c>
      <c r="F476" s="43">
        <v>46084</v>
      </c>
      <c r="G476" s="96" t="s">
        <v>90</v>
      </c>
      <c r="H476" s="96" t="s">
        <v>3857</v>
      </c>
      <c r="I476" s="96" t="s">
        <v>209</v>
      </c>
      <c r="J476" s="96" t="s">
        <v>172</v>
      </c>
      <c r="K476" s="96" t="s">
        <v>246</v>
      </c>
      <c r="L476">
        <v>59</v>
      </c>
      <c r="M476" t="s">
        <v>24</v>
      </c>
      <c r="N476" t="s">
        <v>29</v>
      </c>
      <c r="O476" t="s">
        <v>151</v>
      </c>
      <c r="P476">
        <v>2026</v>
      </c>
    </row>
    <row r="477" spans="1:16" hidden="1" x14ac:dyDescent="0.25">
      <c r="A477" s="96" t="s">
        <v>2</v>
      </c>
      <c r="B477" s="96" t="s">
        <v>240</v>
      </c>
      <c r="C477" s="96" t="s">
        <v>659</v>
      </c>
      <c r="D477" s="96" t="s">
        <v>192</v>
      </c>
      <c r="E477" s="43">
        <v>45958</v>
      </c>
      <c r="F477" s="43">
        <v>45983</v>
      </c>
      <c r="G477" s="96" t="s">
        <v>90</v>
      </c>
      <c r="H477" s="96" t="s">
        <v>3858</v>
      </c>
      <c r="I477" s="96" t="s">
        <v>225</v>
      </c>
      <c r="J477" s="96" t="s">
        <v>169</v>
      </c>
      <c r="K477" s="96" t="s">
        <v>230</v>
      </c>
      <c r="L477">
        <v>25</v>
      </c>
      <c r="M477" t="s">
        <v>19</v>
      </c>
      <c r="N477" t="s">
        <v>16</v>
      </c>
      <c r="O477" t="s">
        <v>149</v>
      </c>
      <c r="P477">
        <v>2025</v>
      </c>
    </row>
    <row r="478" spans="1:16" hidden="1" x14ac:dyDescent="0.25">
      <c r="A478" s="96" t="s">
        <v>2</v>
      </c>
      <c r="B478" s="96" t="s">
        <v>280</v>
      </c>
      <c r="C478" s="96" t="s">
        <v>660</v>
      </c>
      <c r="D478" s="96" t="s">
        <v>34</v>
      </c>
      <c r="E478" s="43">
        <v>45904</v>
      </c>
      <c r="F478" s="43">
        <v>45997</v>
      </c>
      <c r="G478" s="96" t="s">
        <v>92</v>
      </c>
      <c r="H478" s="96" t="s">
        <v>3859</v>
      </c>
      <c r="I478" s="96" t="s">
        <v>204</v>
      </c>
      <c r="J478" s="96" t="s">
        <v>283</v>
      </c>
      <c r="K478" s="96" t="s">
        <v>157</v>
      </c>
      <c r="L478">
        <v>93</v>
      </c>
      <c r="M478" t="s">
        <v>28</v>
      </c>
      <c r="N478" t="s">
        <v>12</v>
      </c>
      <c r="O478" t="s">
        <v>170</v>
      </c>
      <c r="P478">
        <v>2025</v>
      </c>
    </row>
    <row r="479" spans="1:16" x14ac:dyDescent="0.25">
      <c r="A479" s="96" t="s">
        <v>2</v>
      </c>
      <c r="B479" s="96" t="s">
        <v>288</v>
      </c>
      <c r="C479" s="96" t="s">
        <v>3860</v>
      </c>
      <c r="D479" s="96" t="s">
        <v>223</v>
      </c>
      <c r="E479" s="43">
        <v>46114</v>
      </c>
      <c r="F479" s="43">
        <v>46147</v>
      </c>
      <c r="G479" s="96" t="s">
        <v>92</v>
      </c>
      <c r="H479" s="96" t="s">
        <v>3861</v>
      </c>
      <c r="I479" s="96" t="s">
        <v>9</v>
      </c>
      <c r="J479" s="96" t="s">
        <v>169</v>
      </c>
      <c r="K479" s="96" t="s">
        <v>210</v>
      </c>
      <c r="L479">
        <v>33</v>
      </c>
      <c r="M479" t="s">
        <v>24</v>
      </c>
      <c r="N479" t="s">
        <v>37</v>
      </c>
      <c r="O479" t="s">
        <v>170</v>
      </c>
      <c r="P479">
        <v>2026</v>
      </c>
    </row>
    <row r="480" spans="1:16" hidden="1" x14ac:dyDescent="0.25">
      <c r="A480" s="96" t="s">
        <v>2</v>
      </c>
      <c r="B480" s="96" t="s">
        <v>253</v>
      </c>
      <c r="C480" s="96" t="s">
        <v>661</v>
      </c>
      <c r="D480" s="96" t="s">
        <v>223</v>
      </c>
      <c r="E480" s="43">
        <v>45897</v>
      </c>
      <c r="F480" s="43">
        <v>45974</v>
      </c>
      <c r="G480" s="96" t="s">
        <v>92</v>
      </c>
      <c r="H480" s="96" t="s">
        <v>3862</v>
      </c>
      <c r="I480" s="96" t="s">
        <v>225</v>
      </c>
      <c r="J480" s="96" t="s">
        <v>199</v>
      </c>
      <c r="K480" s="96" t="s">
        <v>246</v>
      </c>
      <c r="L480">
        <v>77</v>
      </c>
      <c r="M480" t="s">
        <v>28</v>
      </c>
      <c r="N480" t="s">
        <v>8</v>
      </c>
      <c r="O480" t="s">
        <v>152</v>
      </c>
      <c r="P480">
        <v>2025</v>
      </c>
    </row>
    <row r="481" spans="1:16" x14ac:dyDescent="0.25">
      <c r="A481" s="96" t="s">
        <v>2</v>
      </c>
      <c r="B481" s="96" t="s">
        <v>374</v>
      </c>
      <c r="C481" s="96" t="s">
        <v>662</v>
      </c>
      <c r="D481" s="96" t="s">
        <v>215</v>
      </c>
      <c r="E481" s="43">
        <v>46033</v>
      </c>
      <c r="F481" s="43">
        <v>46097</v>
      </c>
      <c r="G481" s="96" t="s">
        <v>90</v>
      </c>
      <c r="H481" s="96" t="s">
        <v>3863</v>
      </c>
      <c r="I481" s="96" t="s">
        <v>194</v>
      </c>
      <c r="J481" s="96" t="s">
        <v>174</v>
      </c>
      <c r="K481" s="96" t="s">
        <v>217</v>
      </c>
      <c r="L481">
        <v>64</v>
      </c>
      <c r="M481" t="s">
        <v>28</v>
      </c>
      <c r="N481" t="s">
        <v>29</v>
      </c>
      <c r="O481" t="s">
        <v>150</v>
      </c>
      <c r="P481">
        <v>2026</v>
      </c>
    </row>
    <row r="482" spans="1:16" hidden="1" x14ac:dyDescent="0.25">
      <c r="A482" s="96" t="s">
        <v>2</v>
      </c>
      <c r="B482" s="96" t="s">
        <v>211</v>
      </c>
      <c r="C482" s="96" t="s">
        <v>3864</v>
      </c>
      <c r="D482" s="96" t="s">
        <v>223</v>
      </c>
      <c r="E482" s="43">
        <v>45842</v>
      </c>
      <c r="F482" s="43">
        <v>45848</v>
      </c>
      <c r="G482" s="96" t="s">
        <v>92</v>
      </c>
      <c r="H482" s="96" t="s">
        <v>3865</v>
      </c>
      <c r="I482" s="96" t="s">
        <v>157</v>
      </c>
      <c r="J482" s="96" t="s">
        <v>98</v>
      </c>
      <c r="K482" s="96" t="s">
        <v>205</v>
      </c>
      <c r="L482">
        <v>6</v>
      </c>
      <c r="M482" t="s">
        <v>11</v>
      </c>
      <c r="N482" t="s">
        <v>187</v>
      </c>
      <c r="O482" t="s">
        <v>170</v>
      </c>
      <c r="P482">
        <v>2025</v>
      </c>
    </row>
    <row r="483" spans="1:16" hidden="1" x14ac:dyDescent="0.25">
      <c r="A483" s="96" t="s">
        <v>189</v>
      </c>
      <c r="B483" s="96" t="s">
        <v>257</v>
      </c>
      <c r="C483" s="96" t="s">
        <v>663</v>
      </c>
      <c r="D483" s="96" t="s">
        <v>203</v>
      </c>
      <c r="E483" s="43">
        <v>45820</v>
      </c>
      <c r="F483" s="43">
        <v>45897</v>
      </c>
      <c r="G483" s="96" t="s">
        <v>90</v>
      </c>
      <c r="H483" s="96" t="s">
        <v>3866</v>
      </c>
      <c r="I483" s="96" t="s">
        <v>204</v>
      </c>
      <c r="J483" s="96" t="s">
        <v>173</v>
      </c>
      <c r="K483" s="96" t="s">
        <v>200</v>
      </c>
      <c r="L483">
        <v>77</v>
      </c>
      <c r="M483" t="s">
        <v>28</v>
      </c>
      <c r="N483" t="s">
        <v>184</v>
      </c>
      <c r="O483" t="s">
        <v>151</v>
      </c>
      <c r="P483">
        <v>2025</v>
      </c>
    </row>
    <row r="484" spans="1:16" hidden="1" x14ac:dyDescent="0.25">
      <c r="A484" s="96" t="s">
        <v>2</v>
      </c>
      <c r="B484" s="96" t="s">
        <v>221</v>
      </c>
      <c r="C484" s="96" t="s">
        <v>664</v>
      </c>
      <c r="D484" s="96" t="s">
        <v>237</v>
      </c>
      <c r="E484" s="43">
        <v>45955</v>
      </c>
      <c r="F484" s="43">
        <v>46007</v>
      </c>
      <c r="G484" s="96" t="s">
        <v>90</v>
      </c>
      <c r="H484" s="96" t="s">
        <v>3867</v>
      </c>
      <c r="I484" s="96" t="s">
        <v>225</v>
      </c>
      <c r="J484" s="96" t="s">
        <v>96</v>
      </c>
      <c r="K484" s="96" t="s">
        <v>217</v>
      </c>
      <c r="L484">
        <v>52</v>
      </c>
      <c r="M484" t="s">
        <v>24</v>
      </c>
      <c r="N484" t="s">
        <v>16</v>
      </c>
      <c r="O484" t="s">
        <v>170</v>
      </c>
      <c r="P484">
        <v>2025</v>
      </c>
    </row>
    <row r="485" spans="1:16" x14ac:dyDescent="0.25">
      <c r="A485" s="96" t="s">
        <v>2</v>
      </c>
      <c r="B485" s="96" t="s">
        <v>269</v>
      </c>
      <c r="C485" s="96" t="s">
        <v>665</v>
      </c>
      <c r="D485" s="96" t="s">
        <v>203</v>
      </c>
      <c r="E485" s="43">
        <v>46063</v>
      </c>
      <c r="F485" s="43">
        <v>46149</v>
      </c>
      <c r="G485" s="96" t="s">
        <v>90</v>
      </c>
      <c r="H485" s="96" t="s">
        <v>3868</v>
      </c>
      <c r="I485" s="96" t="s">
        <v>204</v>
      </c>
      <c r="J485" s="96" t="s">
        <v>94</v>
      </c>
      <c r="K485" s="96" t="s">
        <v>195</v>
      </c>
      <c r="L485">
        <v>86</v>
      </c>
      <c r="M485" t="s">
        <v>28</v>
      </c>
      <c r="N485" t="s">
        <v>32</v>
      </c>
      <c r="O485" t="s">
        <v>152</v>
      </c>
      <c r="P485">
        <v>2026</v>
      </c>
    </row>
    <row r="486" spans="1:16" hidden="1" x14ac:dyDescent="0.25">
      <c r="A486" s="96" t="s">
        <v>2</v>
      </c>
      <c r="B486" s="96" t="s">
        <v>272</v>
      </c>
      <c r="C486" s="96" t="s">
        <v>666</v>
      </c>
      <c r="D486" s="96" t="s">
        <v>40</v>
      </c>
      <c r="E486" s="43">
        <v>45976</v>
      </c>
      <c r="F486" s="43">
        <v>46020</v>
      </c>
      <c r="G486" s="96" t="s">
        <v>92</v>
      </c>
      <c r="H486" s="96" t="s">
        <v>3869</v>
      </c>
      <c r="I486" s="96" t="s">
        <v>194</v>
      </c>
      <c r="J486" s="96" t="s">
        <v>172</v>
      </c>
      <c r="K486" s="96" t="s">
        <v>210</v>
      </c>
      <c r="L486">
        <v>44</v>
      </c>
      <c r="M486" t="s">
        <v>24</v>
      </c>
      <c r="N486" t="s">
        <v>20</v>
      </c>
      <c r="O486" t="s">
        <v>151</v>
      </c>
      <c r="P486">
        <v>2025</v>
      </c>
    </row>
    <row r="487" spans="1:16" hidden="1" x14ac:dyDescent="0.25">
      <c r="A487" s="96" t="s">
        <v>21</v>
      </c>
      <c r="B487" s="96" t="s">
        <v>213</v>
      </c>
      <c r="C487" s="96" t="s">
        <v>667</v>
      </c>
      <c r="D487" s="96" t="s">
        <v>203</v>
      </c>
      <c r="E487" s="43">
        <v>45793</v>
      </c>
      <c r="F487" s="43">
        <v>45876</v>
      </c>
      <c r="G487" s="96" t="s">
        <v>92</v>
      </c>
      <c r="H487" s="96" t="s">
        <v>3870</v>
      </c>
      <c r="I487" s="96" t="s">
        <v>209</v>
      </c>
      <c r="J487" s="96" t="s">
        <v>165</v>
      </c>
      <c r="K487" s="96" t="s">
        <v>230</v>
      </c>
      <c r="L487">
        <v>83</v>
      </c>
      <c r="M487" t="s">
        <v>28</v>
      </c>
      <c r="N487" t="s">
        <v>182</v>
      </c>
      <c r="O487" t="s">
        <v>149</v>
      </c>
      <c r="P487">
        <v>2025</v>
      </c>
    </row>
    <row r="488" spans="1:16" x14ac:dyDescent="0.25">
      <c r="A488" s="96" t="s">
        <v>2</v>
      </c>
      <c r="B488" s="96" t="s">
        <v>290</v>
      </c>
      <c r="C488" s="96" t="s">
        <v>3871</v>
      </c>
      <c r="D488" s="96" t="s">
        <v>40</v>
      </c>
      <c r="E488" s="43">
        <v>46048</v>
      </c>
      <c r="F488" s="43">
        <v>46064</v>
      </c>
      <c r="G488" s="96" t="s">
        <v>92</v>
      </c>
      <c r="H488" s="96" t="s">
        <v>3872</v>
      </c>
      <c r="I488" s="96" t="s">
        <v>204</v>
      </c>
      <c r="J488" s="96" t="s">
        <v>168</v>
      </c>
      <c r="K488" s="96" t="s">
        <v>205</v>
      </c>
      <c r="L488">
        <v>16</v>
      </c>
      <c r="M488" t="s">
        <v>19</v>
      </c>
      <c r="N488" t="s">
        <v>29</v>
      </c>
      <c r="O488" t="s">
        <v>149</v>
      </c>
      <c r="P488">
        <v>2026</v>
      </c>
    </row>
    <row r="489" spans="1:16" hidden="1" x14ac:dyDescent="0.25">
      <c r="A489" s="96" t="s">
        <v>2</v>
      </c>
      <c r="B489" s="96" t="s">
        <v>238</v>
      </c>
      <c r="C489" s="96" t="s">
        <v>668</v>
      </c>
      <c r="D489" s="96" t="s">
        <v>237</v>
      </c>
      <c r="E489" s="43">
        <v>45728</v>
      </c>
      <c r="F489" s="43">
        <v>45838</v>
      </c>
      <c r="G489" s="96" t="s">
        <v>92</v>
      </c>
      <c r="H489" s="96" t="s">
        <v>3873</v>
      </c>
      <c r="I489" s="96" t="s">
        <v>157</v>
      </c>
      <c r="J489" s="96" t="s">
        <v>172</v>
      </c>
      <c r="K489" s="96" t="s">
        <v>246</v>
      </c>
      <c r="L489">
        <v>110</v>
      </c>
      <c r="M489" t="s">
        <v>28</v>
      </c>
      <c r="N489" t="s">
        <v>186</v>
      </c>
      <c r="O489" t="s">
        <v>170</v>
      </c>
      <c r="P489">
        <v>2025</v>
      </c>
    </row>
    <row r="490" spans="1:16" hidden="1" x14ac:dyDescent="0.25">
      <c r="A490" s="96" t="s">
        <v>2</v>
      </c>
      <c r="B490" s="96" t="s">
        <v>257</v>
      </c>
      <c r="C490" s="96" t="s">
        <v>669</v>
      </c>
      <c r="D490" s="96" t="s">
        <v>203</v>
      </c>
      <c r="E490" s="43">
        <v>45734</v>
      </c>
      <c r="F490" s="43">
        <v>45845</v>
      </c>
      <c r="G490" s="96" t="s">
        <v>90</v>
      </c>
      <c r="H490" s="96" t="s">
        <v>3874</v>
      </c>
      <c r="I490" s="96" t="s">
        <v>228</v>
      </c>
      <c r="J490" s="96" t="s">
        <v>98</v>
      </c>
      <c r="K490" s="96" t="s">
        <v>246</v>
      </c>
      <c r="L490">
        <v>111</v>
      </c>
      <c r="M490" t="s">
        <v>28</v>
      </c>
      <c r="N490" t="s">
        <v>186</v>
      </c>
      <c r="O490" t="s">
        <v>151</v>
      </c>
      <c r="P490">
        <v>2025</v>
      </c>
    </row>
    <row r="491" spans="1:16" hidden="1" x14ac:dyDescent="0.25">
      <c r="A491" s="96" t="s">
        <v>175</v>
      </c>
      <c r="B491" s="96" t="s">
        <v>213</v>
      </c>
      <c r="C491" s="96" t="s">
        <v>3875</v>
      </c>
      <c r="D491" s="96" t="s">
        <v>215</v>
      </c>
      <c r="E491" s="43">
        <v>45894</v>
      </c>
      <c r="F491" s="43">
        <v>45938</v>
      </c>
      <c r="G491" s="96" t="s">
        <v>92</v>
      </c>
      <c r="H491" s="96" t="s">
        <v>3876</v>
      </c>
      <c r="I491" s="96" t="s">
        <v>194</v>
      </c>
      <c r="J491" s="96" t="s">
        <v>93</v>
      </c>
      <c r="K491" s="96" t="s">
        <v>157</v>
      </c>
      <c r="L491">
        <v>44</v>
      </c>
      <c r="M491" t="s">
        <v>24</v>
      </c>
      <c r="N491" t="s">
        <v>8</v>
      </c>
      <c r="O491" t="s">
        <v>149</v>
      </c>
      <c r="P491">
        <v>2025</v>
      </c>
    </row>
    <row r="492" spans="1:16" hidden="1" x14ac:dyDescent="0.25">
      <c r="A492" s="96" t="s">
        <v>2</v>
      </c>
      <c r="B492" s="96" t="s">
        <v>238</v>
      </c>
      <c r="C492" s="96" t="s">
        <v>670</v>
      </c>
      <c r="D492" s="96" t="s">
        <v>34</v>
      </c>
      <c r="E492" s="43">
        <v>45864</v>
      </c>
      <c r="F492" s="43">
        <v>45962</v>
      </c>
      <c r="G492" s="96" t="s">
        <v>92</v>
      </c>
      <c r="H492" s="96" t="s">
        <v>656</v>
      </c>
      <c r="I492" s="96" t="s">
        <v>204</v>
      </c>
      <c r="J492" s="96" t="s">
        <v>176</v>
      </c>
      <c r="K492" s="96" t="s">
        <v>217</v>
      </c>
      <c r="L492">
        <v>98</v>
      </c>
      <c r="M492" t="s">
        <v>28</v>
      </c>
      <c r="N492" t="s">
        <v>187</v>
      </c>
      <c r="O492" t="s">
        <v>170</v>
      </c>
      <c r="P492">
        <v>2025</v>
      </c>
    </row>
    <row r="493" spans="1:16" hidden="1" x14ac:dyDescent="0.25">
      <c r="A493" s="96" t="s">
        <v>2</v>
      </c>
      <c r="B493" s="96" t="s">
        <v>280</v>
      </c>
      <c r="C493" s="96" t="s">
        <v>671</v>
      </c>
      <c r="D493" s="96" t="s">
        <v>215</v>
      </c>
      <c r="E493" s="43">
        <v>45748</v>
      </c>
      <c r="F493" s="43">
        <v>45753</v>
      </c>
      <c r="G493" s="96" t="s">
        <v>92</v>
      </c>
      <c r="H493" s="96" t="s">
        <v>3877</v>
      </c>
      <c r="I493" s="96" t="s">
        <v>225</v>
      </c>
      <c r="J493" s="96" t="s">
        <v>96</v>
      </c>
      <c r="K493" s="96" t="s">
        <v>157</v>
      </c>
      <c r="L493">
        <v>5</v>
      </c>
      <c r="M493" t="s">
        <v>11</v>
      </c>
      <c r="N493" t="s">
        <v>185</v>
      </c>
      <c r="O493" t="s">
        <v>170</v>
      </c>
      <c r="P493">
        <v>2025</v>
      </c>
    </row>
    <row r="494" spans="1:16" hidden="1" x14ac:dyDescent="0.25">
      <c r="A494" s="96" t="s">
        <v>21</v>
      </c>
      <c r="B494" s="96" t="s">
        <v>190</v>
      </c>
      <c r="C494" s="96" t="s">
        <v>672</v>
      </c>
      <c r="D494" s="96" t="s">
        <v>34</v>
      </c>
      <c r="E494" s="43">
        <v>45693</v>
      </c>
      <c r="F494" s="43">
        <v>45743</v>
      </c>
      <c r="G494" s="96" t="s">
        <v>92</v>
      </c>
      <c r="H494" s="96" t="s">
        <v>658</v>
      </c>
      <c r="I494" s="96" t="s">
        <v>228</v>
      </c>
      <c r="J494" s="96" t="s">
        <v>96</v>
      </c>
      <c r="K494" s="96" t="s">
        <v>205</v>
      </c>
      <c r="L494">
        <v>50</v>
      </c>
      <c r="M494" t="s">
        <v>24</v>
      </c>
      <c r="N494" t="s">
        <v>188</v>
      </c>
      <c r="O494" t="s">
        <v>150</v>
      </c>
      <c r="P494">
        <v>2025</v>
      </c>
    </row>
    <row r="495" spans="1:16" hidden="1" x14ac:dyDescent="0.25">
      <c r="A495" s="96" t="s">
        <v>2</v>
      </c>
      <c r="B495" s="96" t="s">
        <v>206</v>
      </c>
      <c r="C495" s="96" t="s">
        <v>3878</v>
      </c>
      <c r="D495" s="96" t="s">
        <v>192</v>
      </c>
      <c r="E495" s="43">
        <v>46008</v>
      </c>
      <c r="F495" s="43">
        <v>46067</v>
      </c>
      <c r="G495" s="96" t="s">
        <v>92</v>
      </c>
      <c r="H495" s="96" t="s">
        <v>3879</v>
      </c>
      <c r="I495" s="96" t="s">
        <v>157</v>
      </c>
      <c r="J495" s="96" t="s">
        <v>94</v>
      </c>
      <c r="K495" s="96" t="s">
        <v>157</v>
      </c>
      <c r="L495">
        <v>59</v>
      </c>
      <c r="M495" t="s">
        <v>24</v>
      </c>
      <c r="N495" t="s">
        <v>25</v>
      </c>
      <c r="O495" t="s">
        <v>152</v>
      </c>
      <c r="P495">
        <v>2025</v>
      </c>
    </row>
    <row r="496" spans="1:16" hidden="1" x14ac:dyDescent="0.25">
      <c r="A496" s="96" t="s">
        <v>2</v>
      </c>
      <c r="B496" s="96" t="s">
        <v>272</v>
      </c>
      <c r="C496" s="96" t="s">
        <v>673</v>
      </c>
      <c r="D496" s="96" t="s">
        <v>208</v>
      </c>
      <c r="E496" s="43">
        <v>45949</v>
      </c>
      <c r="F496" s="43">
        <v>46062</v>
      </c>
      <c r="G496" s="96" t="s">
        <v>92</v>
      </c>
      <c r="H496" s="96" t="s">
        <v>3880</v>
      </c>
      <c r="I496" s="96" t="s">
        <v>204</v>
      </c>
      <c r="J496" s="96" t="s">
        <v>96</v>
      </c>
      <c r="K496" s="96" t="s">
        <v>217</v>
      </c>
      <c r="L496">
        <v>113</v>
      </c>
      <c r="M496" t="s">
        <v>28</v>
      </c>
      <c r="N496" t="s">
        <v>16</v>
      </c>
      <c r="O496" t="s">
        <v>151</v>
      </c>
      <c r="P496">
        <v>2025</v>
      </c>
    </row>
    <row r="497" spans="1:16" hidden="1" x14ac:dyDescent="0.25">
      <c r="A497" s="96" t="s">
        <v>21</v>
      </c>
      <c r="B497" s="96" t="s">
        <v>190</v>
      </c>
      <c r="C497" s="96" t="s">
        <v>3881</v>
      </c>
      <c r="D497" s="96" t="s">
        <v>34</v>
      </c>
      <c r="E497" s="43">
        <v>45747</v>
      </c>
      <c r="F497" s="43">
        <v>45801</v>
      </c>
      <c r="G497" s="96" t="s">
        <v>90</v>
      </c>
      <c r="H497" s="96" t="s">
        <v>3882</v>
      </c>
      <c r="I497" s="96" t="s">
        <v>209</v>
      </c>
      <c r="J497" s="96" t="s">
        <v>199</v>
      </c>
      <c r="K497" s="96" t="s">
        <v>217</v>
      </c>
      <c r="L497">
        <v>54</v>
      </c>
      <c r="M497" t="s">
        <v>24</v>
      </c>
      <c r="N497" t="s">
        <v>186</v>
      </c>
      <c r="O497" t="s">
        <v>150</v>
      </c>
      <c r="P497">
        <v>2025</v>
      </c>
    </row>
    <row r="498" spans="1:16" hidden="1" x14ac:dyDescent="0.25">
      <c r="A498" s="96" t="s">
        <v>21</v>
      </c>
      <c r="B498" s="96" t="s">
        <v>255</v>
      </c>
      <c r="C498" s="96" t="s">
        <v>3883</v>
      </c>
      <c r="D498" s="96" t="s">
        <v>215</v>
      </c>
      <c r="E498" s="43">
        <v>45680</v>
      </c>
      <c r="F498" s="43">
        <v>45711</v>
      </c>
      <c r="G498" s="96" t="s">
        <v>92</v>
      </c>
      <c r="H498" s="96" t="s">
        <v>3884</v>
      </c>
      <c r="I498" s="96" t="s">
        <v>194</v>
      </c>
      <c r="J498" s="96" t="s">
        <v>283</v>
      </c>
      <c r="K498" s="96" t="s">
        <v>157</v>
      </c>
      <c r="L498">
        <v>31</v>
      </c>
      <c r="M498" t="s">
        <v>24</v>
      </c>
      <c r="N498" t="s">
        <v>181</v>
      </c>
      <c r="O498" t="s">
        <v>150</v>
      </c>
      <c r="P498">
        <v>2025</v>
      </c>
    </row>
    <row r="499" spans="1:16" hidden="1" x14ac:dyDescent="0.25">
      <c r="A499" s="96" t="s">
        <v>2</v>
      </c>
      <c r="B499" s="96" t="s">
        <v>272</v>
      </c>
      <c r="C499" s="96" t="s">
        <v>674</v>
      </c>
      <c r="D499" s="96" t="s">
        <v>10</v>
      </c>
      <c r="E499" s="43">
        <v>46003</v>
      </c>
      <c r="F499" s="43">
        <v>46099</v>
      </c>
      <c r="G499" s="96" t="s">
        <v>92</v>
      </c>
      <c r="H499" s="96" t="s">
        <v>3885</v>
      </c>
      <c r="I499" s="96" t="s">
        <v>9</v>
      </c>
      <c r="J499" s="96" t="s">
        <v>168</v>
      </c>
      <c r="K499" s="96" t="s">
        <v>233</v>
      </c>
      <c r="L499">
        <v>96</v>
      </c>
      <c r="M499" t="s">
        <v>28</v>
      </c>
      <c r="N499" t="s">
        <v>25</v>
      </c>
      <c r="O499" t="s">
        <v>151</v>
      </c>
      <c r="P499">
        <v>2025</v>
      </c>
    </row>
    <row r="500" spans="1:16" hidden="1" x14ac:dyDescent="0.25">
      <c r="A500" s="96" t="s">
        <v>2</v>
      </c>
      <c r="B500" s="96" t="s">
        <v>272</v>
      </c>
      <c r="C500" s="96" t="s">
        <v>675</v>
      </c>
      <c r="D500" s="96" t="s">
        <v>208</v>
      </c>
      <c r="E500" s="43">
        <v>45727</v>
      </c>
      <c r="F500" s="43">
        <v>45769</v>
      </c>
      <c r="G500" s="96" t="s">
        <v>92</v>
      </c>
      <c r="H500" s="96" t="s">
        <v>3886</v>
      </c>
      <c r="I500" s="96" t="s">
        <v>225</v>
      </c>
      <c r="J500" s="96" t="s">
        <v>216</v>
      </c>
      <c r="K500" s="96" t="s">
        <v>230</v>
      </c>
      <c r="L500">
        <v>42</v>
      </c>
      <c r="M500" t="s">
        <v>24</v>
      </c>
      <c r="N500" t="s">
        <v>186</v>
      </c>
      <c r="O500" t="s">
        <v>151</v>
      </c>
      <c r="P500">
        <v>2025</v>
      </c>
    </row>
    <row r="501" spans="1:16" x14ac:dyDescent="0.25">
      <c r="A501" s="96" t="s">
        <v>2</v>
      </c>
      <c r="B501" s="96" t="s">
        <v>317</v>
      </c>
      <c r="C501" s="96" t="s">
        <v>676</v>
      </c>
      <c r="D501" s="96" t="s">
        <v>34</v>
      </c>
      <c r="E501" s="43">
        <v>46066</v>
      </c>
      <c r="F501" s="43">
        <v>46151</v>
      </c>
      <c r="G501" s="96" t="s">
        <v>92</v>
      </c>
      <c r="H501" s="96" t="s">
        <v>3887</v>
      </c>
      <c r="I501" s="96" t="s">
        <v>9</v>
      </c>
      <c r="J501" s="96" t="s">
        <v>172</v>
      </c>
      <c r="K501" s="96" t="s">
        <v>230</v>
      </c>
      <c r="L501">
        <v>85</v>
      </c>
      <c r="M501" t="s">
        <v>28</v>
      </c>
      <c r="N501" t="s">
        <v>32</v>
      </c>
      <c r="O501" t="s">
        <v>170</v>
      </c>
      <c r="P501">
        <v>2026</v>
      </c>
    </row>
    <row r="502" spans="1:16" hidden="1" x14ac:dyDescent="0.25">
      <c r="A502" s="96" t="s">
        <v>2</v>
      </c>
      <c r="B502" s="96" t="s">
        <v>221</v>
      </c>
      <c r="C502" s="96" t="s">
        <v>3888</v>
      </c>
      <c r="D502" s="96" t="s">
        <v>223</v>
      </c>
      <c r="E502" s="43">
        <v>45885</v>
      </c>
      <c r="F502" s="43">
        <v>45892</v>
      </c>
      <c r="G502" s="96" t="s">
        <v>92</v>
      </c>
      <c r="H502" s="96" t="s">
        <v>3889</v>
      </c>
      <c r="I502" s="96" t="s">
        <v>225</v>
      </c>
      <c r="J502" s="96" t="s">
        <v>91</v>
      </c>
      <c r="K502" s="96" t="s">
        <v>233</v>
      </c>
      <c r="L502">
        <v>7</v>
      </c>
      <c r="M502" t="s">
        <v>11</v>
      </c>
      <c r="N502" t="s">
        <v>8</v>
      </c>
      <c r="O502" t="s">
        <v>170</v>
      </c>
      <c r="P502">
        <v>2025</v>
      </c>
    </row>
    <row r="503" spans="1:16" hidden="1" x14ac:dyDescent="0.25">
      <c r="A503" s="96" t="s">
        <v>2</v>
      </c>
      <c r="B503" s="96" t="s">
        <v>272</v>
      </c>
      <c r="C503" s="96" t="s">
        <v>3890</v>
      </c>
      <c r="D503" s="96" t="s">
        <v>40</v>
      </c>
      <c r="E503" s="43">
        <v>45746</v>
      </c>
      <c r="F503" s="43">
        <v>45748</v>
      </c>
      <c r="G503" s="96" t="s">
        <v>92</v>
      </c>
      <c r="H503" s="96" t="s">
        <v>3891</v>
      </c>
      <c r="I503" s="96" t="s">
        <v>209</v>
      </c>
      <c r="J503" s="96" t="s">
        <v>97</v>
      </c>
      <c r="K503" s="96" t="s">
        <v>195</v>
      </c>
      <c r="L503">
        <v>2</v>
      </c>
      <c r="M503" t="s">
        <v>11</v>
      </c>
      <c r="N503" t="s">
        <v>186</v>
      </c>
      <c r="O503" t="s">
        <v>151</v>
      </c>
      <c r="P503">
        <v>2025</v>
      </c>
    </row>
    <row r="504" spans="1:16" hidden="1" x14ac:dyDescent="0.25">
      <c r="A504" s="96" t="s">
        <v>2</v>
      </c>
      <c r="B504" s="96" t="s">
        <v>257</v>
      </c>
      <c r="C504" s="96" t="s">
        <v>678</v>
      </c>
      <c r="D504" s="96" t="s">
        <v>208</v>
      </c>
      <c r="E504" s="43">
        <v>45981</v>
      </c>
      <c r="F504" s="43">
        <v>46071</v>
      </c>
      <c r="G504" s="96" t="s">
        <v>90</v>
      </c>
      <c r="H504" s="96" t="s">
        <v>3892</v>
      </c>
      <c r="I504" s="96" t="s">
        <v>9</v>
      </c>
      <c r="J504" s="96" t="s">
        <v>174</v>
      </c>
      <c r="K504" s="96" t="s">
        <v>195</v>
      </c>
      <c r="L504">
        <v>90</v>
      </c>
      <c r="M504" t="s">
        <v>28</v>
      </c>
      <c r="N504" t="s">
        <v>20</v>
      </c>
      <c r="O504" t="s">
        <v>151</v>
      </c>
      <c r="P504">
        <v>2025</v>
      </c>
    </row>
    <row r="505" spans="1:16" hidden="1" x14ac:dyDescent="0.25">
      <c r="A505" s="96" t="s">
        <v>2</v>
      </c>
      <c r="B505" s="96" t="s">
        <v>257</v>
      </c>
      <c r="C505" s="96" t="s">
        <v>679</v>
      </c>
      <c r="D505" s="96" t="s">
        <v>10</v>
      </c>
      <c r="E505" s="43">
        <v>45957</v>
      </c>
      <c r="F505" s="43">
        <v>46015</v>
      </c>
      <c r="G505" s="96" t="s">
        <v>90</v>
      </c>
      <c r="H505" s="96" t="s">
        <v>3893</v>
      </c>
      <c r="I505" s="96" t="s">
        <v>228</v>
      </c>
      <c r="J505" s="96" t="s">
        <v>199</v>
      </c>
      <c r="K505" s="96" t="s">
        <v>230</v>
      </c>
      <c r="L505">
        <v>58</v>
      </c>
      <c r="M505" t="s">
        <v>24</v>
      </c>
      <c r="N505" t="s">
        <v>16</v>
      </c>
      <c r="O505" t="s">
        <v>151</v>
      </c>
      <c r="P505">
        <v>2025</v>
      </c>
    </row>
    <row r="506" spans="1:16" hidden="1" x14ac:dyDescent="0.25">
      <c r="A506" s="96" t="s">
        <v>21</v>
      </c>
      <c r="B506" s="96" t="s">
        <v>240</v>
      </c>
      <c r="C506" s="96" t="s">
        <v>680</v>
      </c>
      <c r="D506" s="96" t="s">
        <v>34</v>
      </c>
      <c r="E506" s="43">
        <v>45884</v>
      </c>
      <c r="F506" s="43">
        <v>45965</v>
      </c>
      <c r="G506" s="96" t="s">
        <v>92</v>
      </c>
      <c r="H506" s="96" t="s">
        <v>3894</v>
      </c>
      <c r="I506" s="96" t="s">
        <v>225</v>
      </c>
      <c r="J506" s="96" t="s">
        <v>173</v>
      </c>
      <c r="K506" s="96" t="s">
        <v>233</v>
      </c>
      <c r="L506">
        <v>81</v>
      </c>
      <c r="M506" t="s">
        <v>28</v>
      </c>
      <c r="N506" t="s">
        <v>8</v>
      </c>
      <c r="O506" t="s">
        <v>149</v>
      </c>
      <c r="P506">
        <v>2025</v>
      </c>
    </row>
    <row r="507" spans="1:16" hidden="1" x14ac:dyDescent="0.25">
      <c r="A507" s="96" t="s">
        <v>2</v>
      </c>
      <c r="B507" s="96" t="s">
        <v>264</v>
      </c>
      <c r="C507" s="96" t="s">
        <v>3895</v>
      </c>
      <c r="D507" s="96" t="s">
        <v>208</v>
      </c>
      <c r="E507" s="43">
        <v>45968</v>
      </c>
      <c r="F507" s="43">
        <v>46000</v>
      </c>
      <c r="G507" s="96" t="s">
        <v>95</v>
      </c>
      <c r="H507" s="96" t="s">
        <v>3896</v>
      </c>
      <c r="I507" s="96" t="s">
        <v>9</v>
      </c>
      <c r="J507" s="96" t="s">
        <v>97</v>
      </c>
      <c r="K507" s="96" t="s">
        <v>217</v>
      </c>
      <c r="L507">
        <v>32</v>
      </c>
      <c r="M507" t="s">
        <v>24</v>
      </c>
      <c r="N507" t="s">
        <v>20</v>
      </c>
      <c r="O507" t="s">
        <v>152</v>
      </c>
      <c r="P507">
        <v>2025</v>
      </c>
    </row>
    <row r="508" spans="1:16" hidden="1" x14ac:dyDescent="0.25">
      <c r="A508" s="96" t="s">
        <v>2</v>
      </c>
      <c r="B508" s="96" t="s">
        <v>272</v>
      </c>
      <c r="C508" s="96" t="s">
        <v>682</v>
      </c>
      <c r="D508" s="96" t="s">
        <v>237</v>
      </c>
      <c r="E508" s="43">
        <v>45899</v>
      </c>
      <c r="F508" s="43">
        <v>45956</v>
      </c>
      <c r="G508" s="96" t="s">
        <v>90</v>
      </c>
      <c r="H508" s="96" t="s">
        <v>3897</v>
      </c>
      <c r="I508" s="96" t="s">
        <v>194</v>
      </c>
      <c r="J508" s="96" t="s">
        <v>165</v>
      </c>
      <c r="K508" s="96" t="s">
        <v>230</v>
      </c>
      <c r="L508">
        <v>57</v>
      </c>
      <c r="M508" t="s">
        <v>24</v>
      </c>
      <c r="N508" t="s">
        <v>8</v>
      </c>
      <c r="O508" t="s">
        <v>151</v>
      </c>
      <c r="P508">
        <v>2025</v>
      </c>
    </row>
    <row r="509" spans="1:16" hidden="1" x14ac:dyDescent="0.25">
      <c r="A509" s="96" t="s">
        <v>2</v>
      </c>
      <c r="B509" s="96" t="s">
        <v>255</v>
      </c>
      <c r="C509" s="96" t="s">
        <v>684</v>
      </c>
      <c r="D509" s="96" t="s">
        <v>203</v>
      </c>
      <c r="E509" s="43">
        <v>45736</v>
      </c>
      <c r="F509" s="43">
        <v>45807</v>
      </c>
      <c r="G509" s="96" t="s">
        <v>92</v>
      </c>
      <c r="H509" s="96" t="s">
        <v>3898</v>
      </c>
      <c r="I509" s="96" t="s">
        <v>228</v>
      </c>
      <c r="J509" s="96" t="s">
        <v>216</v>
      </c>
      <c r="K509" s="96" t="s">
        <v>233</v>
      </c>
      <c r="L509">
        <v>71</v>
      </c>
      <c r="M509" t="s">
        <v>28</v>
      </c>
      <c r="N509" t="s">
        <v>186</v>
      </c>
      <c r="O509" t="s">
        <v>150</v>
      </c>
      <c r="P509">
        <v>2025</v>
      </c>
    </row>
    <row r="510" spans="1:16" hidden="1" x14ac:dyDescent="0.25">
      <c r="A510" s="96" t="s">
        <v>2</v>
      </c>
      <c r="B510" s="96" t="s">
        <v>190</v>
      </c>
      <c r="C510" s="96" t="s">
        <v>686</v>
      </c>
      <c r="D510" s="96" t="s">
        <v>208</v>
      </c>
      <c r="E510" s="43">
        <v>45898</v>
      </c>
      <c r="F510" s="43">
        <v>45924</v>
      </c>
      <c r="G510" s="96" t="s">
        <v>90</v>
      </c>
      <c r="H510" s="96" t="s">
        <v>3899</v>
      </c>
      <c r="I510" s="96" t="s">
        <v>194</v>
      </c>
      <c r="J510" s="96" t="s">
        <v>283</v>
      </c>
      <c r="K510" s="96" t="s">
        <v>217</v>
      </c>
      <c r="L510">
        <v>26</v>
      </c>
      <c r="M510" t="s">
        <v>19</v>
      </c>
      <c r="N510" t="s">
        <v>8</v>
      </c>
      <c r="O510" t="s">
        <v>150</v>
      </c>
      <c r="P510">
        <v>2025</v>
      </c>
    </row>
    <row r="511" spans="1:16" x14ac:dyDescent="0.25">
      <c r="A511" s="96" t="s">
        <v>171</v>
      </c>
      <c r="B511" s="96" t="s">
        <v>269</v>
      </c>
      <c r="C511" s="96" t="s">
        <v>687</v>
      </c>
      <c r="D511" s="96" t="s">
        <v>237</v>
      </c>
      <c r="E511" s="43">
        <v>46118</v>
      </c>
      <c r="F511" s="43">
        <v>46148</v>
      </c>
      <c r="G511" s="96" t="s">
        <v>92</v>
      </c>
      <c r="H511" s="96" t="s">
        <v>3900</v>
      </c>
      <c r="I511" s="96" t="s">
        <v>228</v>
      </c>
      <c r="J511" s="96" t="s">
        <v>229</v>
      </c>
      <c r="K511" s="96" t="s">
        <v>205</v>
      </c>
      <c r="L511">
        <v>30</v>
      </c>
      <c r="M511" t="s">
        <v>19</v>
      </c>
      <c r="N511" t="s">
        <v>37</v>
      </c>
      <c r="O511" t="s">
        <v>152</v>
      </c>
      <c r="P511">
        <v>2026</v>
      </c>
    </row>
    <row r="512" spans="1:16" x14ac:dyDescent="0.25">
      <c r="A512" s="96" t="s">
        <v>2</v>
      </c>
      <c r="B512" s="96" t="s">
        <v>269</v>
      </c>
      <c r="C512" s="96" t="s">
        <v>3901</v>
      </c>
      <c r="D512" s="96" t="s">
        <v>237</v>
      </c>
      <c r="E512" s="43">
        <v>46088</v>
      </c>
      <c r="F512" s="43">
        <v>46146</v>
      </c>
      <c r="G512" s="96" t="s">
        <v>90</v>
      </c>
      <c r="H512" s="96" t="s">
        <v>3902</v>
      </c>
      <c r="I512" s="96" t="s">
        <v>194</v>
      </c>
      <c r="J512" s="96" t="s">
        <v>94</v>
      </c>
      <c r="K512" s="96" t="s">
        <v>205</v>
      </c>
      <c r="L512">
        <v>58</v>
      </c>
      <c r="M512" t="s">
        <v>24</v>
      </c>
      <c r="N512" t="s">
        <v>35</v>
      </c>
      <c r="O512" t="s">
        <v>152</v>
      </c>
      <c r="P512">
        <v>2026</v>
      </c>
    </row>
    <row r="513" spans="1:16" hidden="1" x14ac:dyDescent="0.25">
      <c r="A513" s="96" t="s">
        <v>2</v>
      </c>
      <c r="B513" s="96" t="s">
        <v>211</v>
      </c>
      <c r="C513" s="96" t="s">
        <v>689</v>
      </c>
      <c r="D513" s="96" t="s">
        <v>40</v>
      </c>
      <c r="E513" s="43">
        <v>45843</v>
      </c>
      <c r="F513" s="43">
        <v>45924</v>
      </c>
      <c r="G513" s="96" t="s">
        <v>92</v>
      </c>
      <c r="H513" s="96" t="s">
        <v>3903</v>
      </c>
      <c r="I513" s="96" t="s">
        <v>225</v>
      </c>
      <c r="J513" s="96" t="s">
        <v>229</v>
      </c>
      <c r="K513" s="96" t="s">
        <v>195</v>
      </c>
      <c r="L513">
        <v>81</v>
      </c>
      <c r="M513" t="s">
        <v>28</v>
      </c>
      <c r="N513" t="s">
        <v>187</v>
      </c>
      <c r="O513" t="s">
        <v>170</v>
      </c>
      <c r="P513">
        <v>2025</v>
      </c>
    </row>
    <row r="514" spans="1:16" hidden="1" x14ac:dyDescent="0.25">
      <c r="A514" s="96" t="s">
        <v>2</v>
      </c>
      <c r="B514" s="96" t="s">
        <v>257</v>
      </c>
      <c r="C514" s="96" t="s">
        <v>690</v>
      </c>
      <c r="D514" s="96" t="s">
        <v>208</v>
      </c>
      <c r="E514" s="43">
        <v>45805</v>
      </c>
      <c r="F514" s="43">
        <v>45899</v>
      </c>
      <c r="G514" s="96" t="s">
        <v>92</v>
      </c>
      <c r="H514" s="96" t="s">
        <v>3904</v>
      </c>
      <c r="I514" s="96" t="s">
        <v>225</v>
      </c>
      <c r="J514" s="96" t="s">
        <v>169</v>
      </c>
      <c r="K514" s="96" t="s">
        <v>233</v>
      </c>
      <c r="L514">
        <v>94</v>
      </c>
      <c r="M514" t="s">
        <v>28</v>
      </c>
      <c r="N514" t="s">
        <v>182</v>
      </c>
      <c r="O514" t="s">
        <v>151</v>
      </c>
      <c r="P514">
        <v>2025</v>
      </c>
    </row>
    <row r="515" spans="1:16" hidden="1" x14ac:dyDescent="0.25">
      <c r="A515" s="96" t="s">
        <v>2</v>
      </c>
      <c r="B515" s="96" t="s">
        <v>322</v>
      </c>
      <c r="C515" s="96" t="s">
        <v>691</v>
      </c>
      <c r="D515" s="96" t="s">
        <v>237</v>
      </c>
      <c r="E515" s="43">
        <v>45766</v>
      </c>
      <c r="F515" s="43">
        <v>45790</v>
      </c>
      <c r="G515" s="96" t="s">
        <v>90</v>
      </c>
      <c r="H515" s="96" t="s">
        <v>3905</v>
      </c>
      <c r="I515" s="96" t="s">
        <v>194</v>
      </c>
      <c r="J515" s="96" t="s">
        <v>199</v>
      </c>
      <c r="K515" s="96" t="s">
        <v>210</v>
      </c>
      <c r="L515">
        <v>24</v>
      </c>
      <c r="M515" t="s">
        <v>19</v>
      </c>
      <c r="N515" t="s">
        <v>185</v>
      </c>
      <c r="O515" t="s">
        <v>150</v>
      </c>
      <c r="P515">
        <v>2025</v>
      </c>
    </row>
    <row r="516" spans="1:16" hidden="1" x14ac:dyDescent="0.25">
      <c r="A516" s="96" t="s">
        <v>2</v>
      </c>
      <c r="B516" s="96" t="s">
        <v>272</v>
      </c>
      <c r="C516" s="96" t="s">
        <v>3906</v>
      </c>
      <c r="D516" s="96" t="s">
        <v>223</v>
      </c>
      <c r="E516" s="43">
        <v>45830</v>
      </c>
      <c r="F516" s="43">
        <v>45908</v>
      </c>
      <c r="G516" s="96" t="s">
        <v>90</v>
      </c>
      <c r="H516" s="96" t="s">
        <v>3907</v>
      </c>
      <c r="I516" s="96" t="s">
        <v>209</v>
      </c>
      <c r="J516" s="96" t="s">
        <v>176</v>
      </c>
      <c r="K516" s="96" t="s">
        <v>217</v>
      </c>
      <c r="L516">
        <v>78</v>
      </c>
      <c r="M516" t="s">
        <v>28</v>
      </c>
      <c r="N516" t="s">
        <v>184</v>
      </c>
      <c r="O516" t="s">
        <v>151</v>
      </c>
      <c r="P516">
        <v>2025</v>
      </c>
    </row>
    <row r="517" spans="1:16" hidden="1" x14ac:dyDescent="0.25">
      <c r="A517" s="96" t="s">
        <v>2</v>
      </c>
      <c r="B517" s="96" t="s">
        <v>206</v>
      </c>
      <c r="C517" s="96" t="s">
        <v>3908</v>
      </c>
      <c r="D517" s="96" t="s">
        <v>10</v>
      </c>
      <c r="E517" s="43">
        <v>45840</v>
      </c>
      <c r="F517" s="43">
        <v>45952</v>
      </c>
      <c r="G517" s="96" t="s">
        <v>90</v>
      </c>
      <c r="H517" s="96" t="s">
        <v>3909</v>
      </c>
      <c r="I517" s="96" t="s">
        <v>228</v>
      </c>
      <c r="J517" s="96" t="s">
        <v>199</v>
      </c>
      <c r="K517" s="96" t="s">
        <v>157</v>
      </c>
      <c r="L517">
        <v>112</v>
      </c>
      <c r="M517" t="s">
        <v>28</v>
      </c>
      <c r="N517" t="s">
        <v>187</v>
      </c>
      <c r="O517" t="s">
        <v>152</v>
      </c>
      <c r="P517">
        <v>2025</v>
      </c>
    </row>
    <row r="518" spans="1:16" x14ac:dyDescent="0.25">
      <c r="A518" s="96" t="s">
        <v>171</v>
      </c>
      <c r="B518" s="96" t="s">
        <v>218</v>
      </c>
      <c r="C518" s="96" t="s">
        <v>693</v>
      </c>
      <c r="D518" s="96" t="s">
        <v>215</v>
      </c>
      <c r="E518" s="43">
        <v>46105</v>
      </c>
      <c r="F518" s="43">
        <v>46108</v>
      </c>
      <c r="G518" s="96" t="s">
        <v>90</v>
      </c>
      <c r="H518" s="96" t="s">
        <v>677</v>
      </c>
      <c r="I518" s="96" t="s">
        <v>228</v>
      </c>
      <c r="J518" s="96" t="s">
        <v>216</v>
      </c>
      <c r="K518" s="96" t="s">
        <v>217</v>
      </c>
      <c r="L518">
        <v>3</v>
      </c>
      <c r="M518" t="s">
        <v>11</v>
      </c>
      <c r="N518" t="s">
        <v>35</v>
      </c>
      <c r="O518" t="s">
        <v>152</v>
      </c>
      <c r="P518">
        <v>2026</v>
      </c>
    </row>
    <row r="519" spans="1:16" hidden="1" x14ac:dyDescent="0.25">
      <c r="A519" s="96" t="s">
        <v>171</v>
      </c>
      <c r="B519" s="96" t="s">
        <v>272</v>
      </c>
      <c r="C519" s="96" t="s">
        <v>695</v>
      </c>
      <c r="D519" s="96" t="s">
        <v>40</v>
      </c>
      <c r="E519" s="43">
        <v>45699</v>
      </c>
      <c r="F519" s="43">
        <v>45744</v>
      </c>
      <c r="G519" s="96" t="s">
        <v>90</v>
      </c>
      <c r="H519" s="96" t="s">
        <v>3910</v>
      </c>
      <c r="I519" s="96" t="s">
        <v>228</v>
      </c>
      <c r="J519" s="96" t="s">
        <v>91</v>
      </c>
      <c r="K519" s="96" t="s">
        <v>210</v>
      </c>
      <c r="L519">
        <v>45</v>
      </c>
      <c r="M519" t="s">
        <v>24</v>
      </c>
      <c r="N519" t="s">
        <v>188</v>
      </c>
      <c r="O519" t="s">
        <v>151</v>
      </c>
      <c r="P519">
        <v>2025</v>
      </c>
    </row>
    <row r="520" spans="1:16" x14ac:dyDescent="0.25">
      <c r="A520" s="96" t="s">
        <v>2</v>
      </c>
      <c r="B520" s="96" t="s">
        <v>226</v>
      </c>
      <c r="C520" s="96" t="s">
        <v>3911</v>
      </c>
      <c r="D520" s="96" t="s">
        <v>34</v>
      </c>
      <c r="E520" s="43">
        <v>46031</v>
      </c>
      <c r="F520" s="43">
        <v>46048</v>
      </c>
      <c r="G520" s="96" t="s">
        <v>90</v>
      </c>
      <c r="H520" s="96" t="s">
        <v>3912</v>
      </c>
      <c r="I520" s="96" t="s">
        <v>194</v>
      </c>
      <c r="J520" s="96" t="s">
        <v>199</v>
      </c>
      <c r="K520" s="96" t="s">
        <v>246</v>
      </c>
      <c r="L520">
        <v>17</v>
      </c>
      <c r="M520" t="s">
        <v>19</v>
      </c>
      <c r="N520" t="s">
        <v>29</v>
      </c>
      <c r="O520" t="s">
        <v>151</v>
      </c>
      <c r="P520">
        <v>2026</v>
      </c>
    </row>
    <row r="521" spans="1:16" hidden="1" x14ac:dyDescent="0.25">
      <c r="A521" s="96" t="s">
        <v>2</v>
      </c>
      <c r="B521" s="96" t="s">
        <v>190</v>
      </c>
      <c r="C521" s="96" t="s">
        <v>696</v>
      </c>
      <c r="D521" s="96" t="s">
        <v>237</v>
      </c>
      <c r="E521" s="43">
        <v>45781</v>
      </c>
      <c r="F521" s="43">
        <v>45813</v>
      </c>
      <c r="G521" s="96" t="s">
        <v>90</v>
      </c>
      <c r="H521" s="96" t="s">
        <v>3913</v>
      </c>
      <c r="I521" s="96" t="s">
        <v>209</v>
      </c>
      <c r="J521" s="96" t="s">
        <v>172</v>
      </c>
      <c r="K521" s="96" t="s">
        <v>210</v>
      </c>
      <c r="L521">
        <v>32</v>
      </c>
      <c r="M521" t="s">
        <v>24</v>
      </c>
      <c r="N521" t="s">
        <v>182</v>
      </c>
      <c r="O521" t="s">
        <v>150</v>
      </c>
      <c r="P521">
        <v>2025</v>
      </c>
    </row>
    <row r="522" spans="1:16" x14ac:dyDescent="0.25">
      <c r="A522" s="96" t="s">
        <v>2</v>
      </c>
      <c r="B522" s="96" t="s">
        <v>218</v>
      </c>
      <c r="C522" s="96" t="s">
        <v>697</v>
      </c>
      <c r="D522" s="96" t="s">
        <v>34</v>
      </c>
      <c r="E522" s="43">
        <v>46106</v>
      </c>
      <c r="F522" s="43">
        <v>46148</v>
      </c>
      <c r="G522" s="96" t="s">
        <v>90</v>
      </c>
      <c r="H522" s="96" t="s">
        <v>3914</v>
      </c>
      <c r="I522" s="96" t="s">
        <v>228</v>
      </c>
      <c r="J522" s="96" t="s">
        <v>216</v>
      </c>
      <c r="K522" s="96" t="s">
        <v>233</v>
      </c>
      <c r="L522">
        <v>42</v>
      </c>
      <c r="M522" t="s">
        <v>24</v>
      </c>
      <c r="N522" t="s">
        <v>35</v>
      </c>
      <c r="O522" t="s">
        <v>152</v>
      </c>
      <c r="P522">
        <v>2026</v>
      </c>
    </row>
    <row r="523" spans="1:16" x14ac:dyDescent="0.25">
      <c r="A523" s="96" t="s">
        <v>2</v>
      </c>
      <c r="B523" s="96" t="s">
        <v>317</v>
      </c>
      <c r="C523" s="96" t="s">
        <v>698</v>
      </c>
      <c r="D523" s="96" t="s">
        <v>203</v>
      </c>
      <c r="E523" s="43">
        <v>46108</v>
      </c>
      <c r="F523" s="43">
        <v>46150</v>
      </c>
      <c r="G523" s="96" t="s">
        <v>92</v>
      </c>
      <c r="H523" s="96" t="s">
        <v>3915</v>
      </c>
      <c r="I523" s="96" t="s">
        <v>157</v>
      </c>
      <c r="J523" s="96" t="s">
        <v>283</v>
      </c>
      <c r="K523" s="96" t="s">
        <v>205</v>
      </c>
      <c r="L523">
        <v>42</v>
      </c>
      <c r="M523" t="s">
        <v>24</v>
      </c>
      <c r="N523" t="s">
        <v>35</v>
      </c>
      <c r="O523" t="s">
        <v>170</v>
      </c>
      <c r="P523">
        <v>2026</v>
      </c>
    </row>
    <row r="524" spans="1:16" x14ac:dyDescent="0.25">
      <c r="A524" s="96" t="s">
        <v>175</v>
      </c>
      <c r="B524" s="96" t="s">
        <v>305</v>
      </c>
      <c r="C524" s="96" t="s">
        <v>699</v>
      </c>
      <c r="D524" s="96" t="s">
        <v>34</v>
      </c>
      <c r="E524" s="43">
        <v>46023</v>
      </c>
      <c r="F524" s="43">
        <v>46063</v>
      </c>
      <c r="G524" s="96" t="s">
        <v>95</v>
      </c>
      <c r="H524" s="96" t="s">
        <v>3916</v>
      </c>
      <c r="I524" s="96" t="s">
        <v>228</v>
      </c>
      <c r="J524" s="96" t="s">
        <v>94</v>
      </c>
      <c r="K524" s="96" t="s">
        <v>233</v>
      </c>
      <c r="L524">
        <v>40</v>
      </c>
      <c r="M524" t="s">
        <v>24</v>
      </c>
      <c r="N524" t="s">
        <v>29</v>
      </c>
      <c r="O524" t="s">
        <v>170</v>
      </c>
      <c r="P524">
        <v>2026</v>
      </c>
    </row>
    <row r="525" spans="1:16" hidden="1" x14ac:dyDescent="0.25">
      <c r="A525" s="96" t="s">
        <v>2</v>
      </c>
      <c r="B525" s="96" t="s">
        <v>272</v>
      </c>
      <c r="C525" s="96" t="s">
        <v>3917</v>
      </c>
      <c r="D525" s="96" t="s">
        <v>208</v>
      </c>
      <c r="E525" s="43">
        <v>45933</v>
      </c>
      <c r="F525" s="43">
        <v>46043</v>
      </c>
      <c r="G525" s="96" t="s">
        <v>95</v>
      </c>
      <c r="H525" s="96" t="s">
        <v>3918</v>
      </c>
      <c r="I525" s="96" t="s">
        <v>225</v>
      </c>
      <c r="J525" s="96" t="s">
        <v>96</v>
      </c>
      <c r="K525" s="96" t="s">
        <v>210</v>
      </c>
      <c r="L525">
        <v>110</v>
      </c>
      <c r="M525" t="s">
        <v>28</v>
      </c>
      <c r="N525" t="s">
        <v>16</v>
      </c>
      <c r="O525" t="s">
        <v>151</v>
      </c>
      <c r="P525">
        <v>2025</v>
      </c>
    </row>
    <row r="526" spans="1:16" hidden="1" x14ac:dyDescent="0.25">
      <c r="A526" s="96" t="s">
        <v>2</v>
      </c>
      <c r="B526" s="96" t="s">
        <v>238</v>
      </c>
      <c r="C526" s="96" t="s">
        <v>700</v>
      </c>
      <c r="D526" s="96" t="s">
        <v>192</v>
      </c>
      <c r="E526" s="43">
        <v>46017</v>
      </c>
      <c r="F526" s="43">
        <v>46022</v>
      </c>
      <c r="G526" s="96" t="s">
        <v>95</v>
      </c>
      <c r="H526" s="96" t="s">
        <v>3919</v>
      </c>
      <c r="I526" s="96" t="s">
        <v>194</v>
      </c>
      <c r="J526" s="96" t="s">
        <v>91</v>
      </c>
      <c r="K526" s="96" t="s">
        <v>246</v>
      </c>
      <c r="L526">
        <v>5</v>
      </c>
      <c r="M526" t="s">
        <v>11</v>
      </c>
      <c r="N526" t="s">
        <v>25</v>
      </c>
      <c r="O526" t="s">
        <v>170</v>
      </c>
      <c r="P526">
        <v>2025</v>
      </c>
    </row>
    <row r="527" spans="1:16" hidden="1" x14ac:dyDescent="0.25">
      <c r="A527" s="96" t="s">
        <v>2</v>
      </c>
      <c r="B527" s="96" t="s">
        <v>322</v>
      </c>
      <c r="C527" s="96" t="s">
        <v>3920</v>
      </c>
      <c r="D527" s="96" t="s">
        <v>223</v>
      </c>
      <c r="E527" s="43">
        <v>45811</v>
      </c>
      <c r="F527" s="43">
        <v>45916</v>
      </c>
      <c r="G527" s="96" t="s">
        <v>92</v>
      </c>
      <c r="H527" s="96" t="s">
        <v>681</v>
      </c>
      <c r="I527" s="96" t="s">
        <v>157</v>
      </c>
      <c r="J527" s="96" t="s">
        <v>176</v>
      </c>
      <c r="K527" s="96" t="s">
        <v>217</v>
      </c>
      <c r="L527">
        <v>105</v>
      </c>
      <c r="M527" t="s">
        <v>28</v>
      </c>
      <c r="N527" t="s">
        <v>184</v>
      </c>
      <c r="O527" t="s">
        <v>150</v>
      </c>
      <c r="P527">
        <v>2025</v>
      </c>
    </row>
    <row r="528" spans="1:16" hidden="1" x14ac:dyDescent="0.25">
      <c r="A528" s="96" t="s">
        <v>2</v>
      </c>
      <c r="B528" s="96" t="s">
        <v>190</v>
      </c>
      <c r="C528" s="96" t="s">
        <v>3921</v>
      </c>
      <c r="D528" s="96" t="s">
        <v>223</v>
      </c>
      <c r="E528" s="43">
        <v>45905</v>
      </c>
      <c r="F528" s="43">
        <v>45943</v>
      </c>
      <c r="G528" s="96" t="s">
        <v>90</v>
      </c>
      <c r="H528" s="96" t="s">
        <v>683</v>
      </c>
      <c r="I528" s="96" t="s">
        <v>209</v>
      </c>
      <c r="J528" s="96" t="s">
        <v>199</v>
      </c>
      <c r="K528" s="96" t="s">
        <v>210</v>
      </c>
      <c r="L528">
        <v>38</v>
      </c>
      <c r="M528" t="s">
        <v>24</v>
      </c>
      <c r="N528" t="s">
        <v>12</v>
      </c>
      <c r="O528" t="s">
        <v>150</v>
      </c>
      <c r="P528">
        <v>2025</v>
      </c>
    </row>
    <row r="529" spans="1:16" hidden="1" x14ac:dyDescent="0.25">
      <c r="A529" s="96" t="s">
        <v>2</v>
      </c>
      <c r="B529" s="96" t="s">
        <v>322</v>
      </c>
      <c r="C529" s="96" t="s">
        <v>701</v>
      </c>
      <c r="D529" s="96" t="s">
        <v>14</v>
      </c>
      <c r="E529" s="43">
        <v>45876</v>
      </c>
      <c r="F529" s="43">
        <v>45963</v>
      </c>
      <c r="G529" s="96" t="s">
        <v>95</v>
      </c>
      <c r="H529" s="96" t="s">
        <v>685</v>
      </c>
      <c r="I529" s="96" t="s">
        <v>228</v>
      </c>
      <c r="J529" s="96" t="s">
        <v>174</v>
      </c>
      <c r="K529" s="96" t="s">
        <v>217</v>
      </c>
      <c r="L529">
        <v>87</v>
      </c>
      <c r="M529" t="s">
        <v>28</v>
      </c>
      <c r="N529" t="s">
        <v>8</v>
      </c>
      <c r="O529" t="s">
        <v>150</v>
      </c>
      <c r="P529">
        <v>2025</v>
      </c>
    </row>
    <row r="530" spans="1:16" x14ac:dyDescent="0.25">
      <c r="A530" s="96" t="s">
        <v>2</v>
      </c>
      <c r="B530" s="96" t="s">
        <v>305</v>
      </c>
      <c r="C530" s="96" t="s">
        <v>702</v>
      </c>
      <c r="D530" s="96" t="s">
        <v>237</v>
      </c>
      <c r="E530" s="43">
        <v>46126</v>
      </c>
      <c r="F530" s="43">
        <v>46151</v>
      </c>
      <c r="G530" s="96" t="s">
        <v>92</v>
      </c>
      <c r="H530" s="96" t="s">
        <v>3922</v>
      </c>
      <c r="I530" s="96" t="s">
        <v>157</v>
      </c>
      <c r="J530" s="96" t="s">
        <v>165</v>
      </c>
      <c r="K530" s="96" t="s">
        <v>246</v>
      </c>
      <c r="L530">
        <v>25</v>
      </c>
      <c r="M530" t="s">
        <v>19</v>
      </c>
      <c r="N530" t="s">
        <v>37</v>
      </c>
      <c r="O530" t="s">
        <v>170</v>
      </c>
      <c r="P530">
        <v>2026</v>
      </c>
    </row>
    <row r="531" spans="1:16" x14ac:dyDescent="0.25">
      <c r="A531" s="96" t="s">
        <v>2</v>
      </c>
      <c r="B531" s="96" t="s">
        <v>261</v>
      </c>
      <c r="C531" s="96" t="s">
        <v>704</v>
      </c>
      <c r="D531" s="96" t="s">
        <v>203</v>
      </c>
      <c r="E531" s="43">
        <v>46120</v>
      </c>
      <c r="F531" s="43">
        <v>46146</v>
      </c>
      <c r="G531" s="96" t="s">
        <v>92</v>
      </c>
      <c r="H531" s="96" t="s">
        <v>688</v>
      </c>
      <c r="I531" s="96" t="s">
        <v>225</v>
      </c>
      <c r="J531" s="96" t="s">
        <v>172</v>
      </c>
      <c r="K531" s="96" t="s">
        <v>246</v>
      </c>
      <c r="L531">
        <v>26</v>
      </c>
      <c r="M531" t="s">
        <v>19</v>
      </c>
      <c r="N531" t="s">
        <v>37</v>
      </c>
      <c r="O531" t="s">
        <v>151</v>
      </c>
      <c r="P531">
        <v>2026</v>
      </c>
    </row>
    <row r="532" spans="1:16" hidden="1" x14ac:dyDescent="0.25">
      <c r="A532" s="96" t="s">
        <v>2</v>
      </c>
      <c r="B532" s="96" t="s">
        <v>257</v>
      </c>
      <c r="C532" s="96" t="s">
        <v>3923</v>
      </c>
      <c r="D532" s="96" t="s">
        <v>14</v>
      </c>
      <c r="E532" s="43">
        <v>45933</v>
      </c>
      <c r="F532" s="43">
        <v>45957</v>
      </c>
      <c r="G532" s="96" t="s">
        <v>90</v>
      </c>
      <c r="H532" s="96" t="s">
        <v>3924</v>
      </c>
      <c r="I532" s="96" t="s">
        <v>228</v>
      </c>
      <c r="J532" s="96" t="s">
        <v>98</v>
      </c>
      <c r="K532" s="96" t="s">
        <v>233</v>
      </c>
      <c r="L532">
        <v>24</v>
      </c>
      <c r="M532" t="s">
        <v>19</v>
      </c>
      <c r="N532" t="s">
        <v>16</v>
      </c>
      <c r="O532" t="s">
        <v>151</v>
      </c>
      <c r="P532">
        <v>2025</v>
      </c>
    </row>
    <row r="533" spans="1:16" x14ac:dyDescent="0.25">
      <c r="A533" s="96" t="s">
        <v>2</v>
      </c>
      <c r="B533" s="96" t="s">
        <v>234</v>
      </c>
      <c r="C533" s="96" t="s">
        <v>705</v>
      </c>
      <c r="D533" s="96" t="s">
        <v>10</v>
      </c>
      <c r="E533" s="43">
        <v>46076</v>
      </c>
      <c r="F533" s="43">
        <v>46151</v>
      </c>
      <c r="G533" s="96" t="s">
        <v>92</v>
      </c>
      <c r="H533" s="96" t="s">
        <v>3925</v>
      </c>
      <c r="I533" s="96" t="s">
        <v>225</v>
      </c>
      <c r="J533" s="96" t="s">
        <v>91</v>
      </c>
      <c r="K533" s="96" t="s">
        <v>210</v>
      </c>
      <c r="L533">
        <v>75</v>
      </c>
      <c r="M533" t="s">
        <v>28</v>
      </c>
      <c r="N533" t="s">
        <v>32</v>
      </c>
      <c r="O533" t="s">
        <v>150</v>
      </c>
      <c r="P533">
        <v>2026</v>
      </c>
    </row>
    <row r="534" spans="1:16" hidden="1" x14ac:dyDescent="0.25">
      <c r="A534" s="96" t="s">
        <v>2</v>
      </c>
      <c r="B534" s="96" t="s">
        <v>253</v>
      </c>
      <c r="C534" s="96" t="s">
        <v>3926</v>
      </c>
      <c r="D534" s="96" t="s">
        <v>203</v>
      </c>
      <c r="E534" s="43">
        <v>45923</v>
      </c>
      <c r="F534" s="43">
        <v>46039</v>
      </c>
      <c r="G534" s="96" t="s">
        <v>92</v>
      </c>
      <c r="H534" s="96" t="s">
        <v>3927</v>
      </c>
      <c r="I534" s="96" t="s">
        <v>204</v>
      </c>
      <c r="J534" s="96" t="s">
        <v>98</v>
      </c>
      <c r="K534" s="96" t="s">
        <v>157</v>
      </c>
      <c r="L534">
        <v>116</v>
      </c>
      <c r="M534" t="s">
        <v>28</v>
      </c>
      <c r="N534" t="s">
        <v>12</v>
      </c>
      <c r="O534" t="s">
        <v>152</v>
      </c>
      <c r="P534">
        <v>2025</v>
      </c>
    </row>
    <row r="535" spans="1:16" x14ac:dyDescent="0.25">
      <c r="A535" s="96" t="s">
        <v>2</v>
      </c>
      <c r="B535" s="96" t="s">
        <v>374</v>
      </c>
      <c r="C535" s="96" t="s">
        <v>706</v>
      </c>
      <c r="D535" s="96" t="s">
        <v>223</v>
      </c>
      <c r="E535" s="43">
        <v>46059</v>
      </c>
      <c r="F535" s="43">
        <v>46128</v>
      </c>
      <c r="G535" s="96" t="s">
        <v>92</v>
      </c>
      <c r="H535" s="96" t="s">
        <v>3928</v>
      </c>
      <c r="I535" s="96" t="s">
        <v>228</v>
      </c>
      <c r="J535" s="96" t="s">
        <v>169</v>
      </c>
      <c r="K535" s="96" t="s">
        <v>210</v>
      </c>
      <c r="L535">
        <v>69</v>
      </c>
      <c r="M535" t="s">
        <v>28</v>
      </c>
      <c r="N535" t="s">
        <v>32</v>
      </c>
      <c r="O535" t="s">
        <v>150</v>
      </c>
      <c r="P535">
        <v>2026</v>
      </c>
    </row>
    <row r="536" spans="1:16" hidden="1" x14ac:dyDescent="0.25">
      <c r="A536" s="96" t="s">
        <v>2</v>
      </c>
      <c r="B536" s="96" t="s">
        <v>272</v>
      </c>
      <c r="C536" s="96" t="s">
        <v>707</v>
      </c>
      <c r="D536" s="96" t="s">
        <v>14</v>
      </c>
      <c r="E536" s="43">
        <v>45736</v>
      </c>
      <c r="F536" s="43">
        <v>45777</v>
      </c>
      <c r="G536" s="96" t="s">
        <v>92</v>
      </c>
      <c r="H536" s="96" t="s">
        <v>3929</v>
      </c>
      <c r="I536" s="96" t="s">
        <v>228</v>
      </c>
      <c r="J536" s="96" t="s">
        <v>199</v>
      </c>
      <c r="K536" s="96" t="s">
        <v>157</v>
      </c>
      <c r="L536">
        <v>41</v>
      </c>
      <c r="M536" t="s">
        <v>24</v>
      </c>
      <c r="N536" t="s">
        <v>186</v>
      </c>
      <c r="O536" t="s">
        <v>151</v>
      </c>
      <c r="P536">
        <v>2025</v>
      </c>
    </row>
    <row r="537" spans="1:16" hidden="1" x14ac:dyDescent="0.25">
      <c r="A537" s="96" t="s">
        <v>21</v>
      </c>
      <c r="B537" s="96" t="s">
        <v>213</v>
      </c>
      <c r="C537" s="96" t="s">
        <v>3930</v>
      </c>
      <c r="D537" s="96" t="s">
        <v>40</v>
      </c>
      <c r="E537" s="43">
        <v>45826</v>
      </c>
      <c r="F537" s="43">
        <v>45908</v>
      </c>
      <c r="G537" s="96" t="s">
        <v>90</v>
      </c>
      <c r="H537" s="96" t="s">
        <v>3931</v>
      </c>
      <c r="I537" s="96" t="s">
        <v>9</v>
      </c>
      <c r="J537" s="96" t="s">
        <v>199</v>
      </c>
      <c r="K537" s="96" t="s">
        <v>217</v>
      </c>
      <c r="L537">
        <v>82</v>
      </c>
      <c r="M537" t="s">
        <v>28</v>
      </c>
      <c r="N537" t="s">
        <v>184</v>
      </c>
      <c r="O537" t="s">
        <v>149</v>
      </c>
      <c r="P537">
        <v>2025</v>
      </c>
    </row>
    <row r="538" spans="1:16" x14ac:dyDescent="0.25">
      <c r="A538" s="96" t="s">
        <v>2</v>
      </c>
      <c r="B538" s="96" t="s">
        <v>219</v>
      </c>
      <c r="C538" s="96" t="s">
        <v>708</v>
      </c>
      <c r="D538" s="96" t="s">
        <v>14</v>
      </c>
      <c r="E538" s="43">
        <v>46079</v>
      </c>
      <c r="F538" s="43">
        <v>46128</v>
      </c>
      <c r="G538" s="96" t="s">
        <v>90</v>
      </c>
      <c r="H538" s="96" t="s">
        <v>3932</v>
      </c>
      <c r="I538" s="96" t="s">
        <v>228</v>
      </c>
      <c r="J538" s="96" t="s">
        <v>97</v>
      </c>
      <c r="K538" s="96" t="s">
        <v>230</v>
      </c>
      <c r="L538">
        <v>49</v>
      </c>
      <c r="M538" t="s">
        <v>24</v>
      </c>
      <c r="N538" t="s">
        <v>32</v>
      </c>
      <c r="O538" t="s">
        <v>149</v>
      </c>
      <c r="P538">
        <v>2026</v>
      </c>
    </row>
    <row r="539" spans="1:16" hidden="1" x14ac:dyDescent="0.25">
      <c r="A539" s="96" t="s">
        <v>2</v>
      </c>
      <c r="B539" s="96" t="s">
        <v>211</v>
      </c>
      <c r="C539" s="96" t="s">
        <v>709</v>
      </c>
      <c r="D539" s="96" t="s">
        <v>203</v>
      </c>
      <c r="E539" s="43">
        <v>45969</v>
      </c>
      <c r="F539" s="43">
        <v>45982</v>
      </c>
      <c r="G539" s="96" t="s">
        <v>90</v>
      </c>
      <c r="H539" s="96" t="s">
        <v>692</v>
      </c>
      <c r="I539" s="96" t="s">
        <v>228</v>
      </c>
      <c r="J539" s="96" t="s">
        <v>176</v>
      </c>
      <c r="K539" s="96" t="s">
        <v>246</v>
      </c>
      <c r="L539">
        <v>13</v>
      </c>
      <c r="M539" t="s">
        <v>15</v>
      </c>
      <c r="N539" t="s">
        <v>20</v>
      </c>
      <c r="O539" t="s">
        <v>170</v>
      </c>
      <c r="P539">
        <v>2025</v>
      </c>
    </row>
    <row r="540" spans="1:16" hidden="1" x14ac:dyDescent="0.25">
      <c r="A540" s="96" t="s">
        <v>2</v>
      </c>
      <c r="B540" s="96" t="s">
        <v>231</v>
      </c>
      <c r="C540" s="96" t="s">
        <v>710</v>
      </c>
      <c r="D540" s="96" t="s">
        <v>10</v>
      </c>
      <c r="E540" s="43">
        <v>45790</v>
      </c>
      <c r="F540" s="43">
        <v>45792</v>
      </c>
      <c r="G540" s="96" t="s">
        <v>92</v>
      </c>
      <c r="H540" s="96" t="s">
        <v>694</v>
      </c>
      <c r="I540" s="96" t="s">
        <v>209</v>
      </c>
      <c r="J540" s="96" t="s">
        <v>97</v>
      </c>
      <c r="K540" s="96" t="s">
        <v>205</v>
      </c>
      <c r="L540">
        <v>2</v>
      </c>
      <c r="M540" t="s">
        <v>11</v>
      </c>
      <c r="N540" t="s">
        <v>182</v>
      </c>
      <c r="O540" t="s">
        <v>170</v>
      </c>
      <c r="P540">
        <v>2025</v>
      </c>
    </row>
    <row r="541" spans="1:16" hidden="1" x14ac:dyDescent="0.25">
      <c r="A541" s="96" t="s">
        <v>2</v>
      </c>
      <c r="B541" s="96" t="s">
        <v>257</v>
      </c>
      <c r="C541" s="96" t="s">
        <v>711</v>
      </c>
      <c r="D541" s="96" t="s">
        <v>40</v>
      </c>
      <c r="E541" s="43">
        <v>45872</v>
      </c>
      <c r="F541" s="43">
        <v>45963</v>
      </c>
      <c r="G541" s="96" t="s">
        <v>92</v>
      </c>
      <c r="H541" s="96" t="s">
        <v>3933</v>
      </c>
      <c r="I541" s="96" t="s">
        <v>204</v>
      </c>
      <c r="J541" s="96" t="s">
        <v>283</v>
      </c>
      <c r="K541" s="96" t="s">
        <v>157</v>
      </c>
      <c r="L541">
        <v>91</v>
      </c>
      <c r="M541" t="s">
        <v>28</v>
      </c>
      <c r="N541" t="s">
        <v>8</v>
      </c>
      <c r="O541" t="s">
        <v>151</v>
      </c>
      <c r="P541">
        <v>2025</v>
      </c>
    </row>
    <row r="542" spans="1:16" x14ac:dyDescent="0.25">
      <c r="A542" s="96" t="s">
        <v>2</v>
      </c>
      <c r="B542" s="96" t="s">
        <v>290</v>
      </c>
      <c r="C542" s="96" t="s">
        <v>712</v>
      </c>
      <c r="D542" s="96" t="s">
        <v>14</v>
      </c>
      <c r="E542" s="43">
        <v>46081</v>
      </c>
      <c r="F542" s="43">
        <v>46121</v>
      </c>
      <c r="G542" s="96" t="s">
        <v>92</v>
      </c>
      <c r="H542" s="96" t="s">
        <v>3934</v>
      </c>
      <c r="I542" s="96" t="s">
        <v>209</v>
      </c>
      <c r="J542" s="96" t="s">
        <v>94</v>
      </c>
      <c r="K542" s="96" t="s">
        <v>233</v>
      </c>
      <c r="L542">
        <v>40</v>
      </c>
      <c r="M542" t="s">
        <v>24</v>
      </c>
      <c r="N542" t="s">
        <v>32</v>
      </c>
      <c r="O542" t="s">
        <v>149</v>
      </c>
      <c r="P542">
        <v>2026</v>
      </c>
    </row>
    <row r="543" spans="1:16" hidden="1" x14ac:dyDescent="0.25">
      <c r="A543" s="96" t="s">
        <v>2</v>
      </c>
      <c r="B543" s="96" t="s">
        <v>221</v>
      </c>
      <c r="C543" s="96" t="s">
        <v>713</v>
      </c>
      <c r="D543" s="96" t="s">
        <v>237</v>
      </c>
      <c r="E543" s="43">
        <v>46008</v>
      </c>
      <c r="F543" s="43">
        <v>46095</v>
      </c>
      <c r="G543" s="96" t="s">
        <v>92</v>
      </c>
      <c r="H543" s="96" t="s">
        <v>3935</v>
      </c>
      <c r="I543" s="96" t="s">
        <v>209</v>
      </c>
      <c r="J543" s="96" t="s">
        <v>98</v>
      </c>
      <c r="K543" s="96" t="s">
        <v>200</v>
      </c>
      <c r="L543">
        <v>87</v>
      </c>
      <c r="M543" t="s">
        <v>28</v>
      </c>
      <c r="N543" t="s">
        <v>25</v>
      </c>
      <c r="O543" t="s">
        <v>170</v>
      </c>
      <c r="P543">
        <v>2025</v>
      </c>
    </row>
    <row r="544" spans="1:16" x14ac:dyDescent="0.25">
      <c r="A544" s="96" t="s">
        <v>2</v>
      </c>
      <c r="B544" s="96" t="s">
        <v>261</v>
      </c>
      <c r="C544" s="96" t="s">
        <v>3936</v>
      </c>
      <c r="D544" s="96" t="s">
        <v>215</v>
      </c>
      <c r="E544" s="43">
        <v>46113</v>
      </c>
      <c r="F544" s="43">
        <v>46120</v>
      </c>
      <c r="G544" s="96" t="s">
        <v>92</v>
      </c>
      <c r="H544" s="96" t="s">
        <v>3937</v>
      </c>
      <c r="I544" s="96" t="s">
        <v>157</v>
      </c>
      <c r="J544" s="96" t="s">
        <v>98</v>
      </c>
      <c r="K544" s="96" t="s">
        <v>233</v>
      </c>
      <c r="L544">
        <v>7</v>
      </c>
      <c r="M544" t="s">
        <v>11</v>
      </c>
      <c r="N544" t="s">
        <v>37</v>
      </c>
      <c r="O544" t="s">
        <v>151</v>
      </c>
      <c r="P544">
        <v>2026</v>
      </c>
    </row>
    <row r="545" spans="1:16" x14ac:dyDescent="0.25">
      <c r="A545" s="96" t="s">
        <v>2</v>
      </c>
      <c r="B545" s="96" t="s">
        <v>201</v>
      </c>
      <c r="C545" s="96" t="s">
        <v>3938</v>
      </c>
      <c r="D545" s="96" t="s">
        <v>34</v>
      </c>
      <c r="E545" s="43">
        <v>46147</v>
      </c>
      <c r="F545" s="43">
        <v>46149</v>
      </c>
      <c r="G545" s="96" t="s">
        <v>92</v>
      </c>
      <c r="H545" s="96" t="s">
        <v>3939</v>
      </c>
      <c r="I545" s="96" t="s">
        <v>194</v>
      </c>
      <c r="J545" s="96" t="s">
        <v>97</v>
      </c>
      <c r="K545" s="96" t="s">
        <v>195</v>
      </c>
      <c r="L545">
        <v>2</v>
      </c>
      <c r="M545" t="s">
        <v>11</v>
      </c>
      <c r="N545" t="s">
        <v>183</v>
      </c>
      <c r="O545" t="s">
        <v>170</v>
      </c>
      <c r="P545">
        <v>2026</v>
      </c>
    </row>
    <row r="546" spans="1:16" hidden="1" x14ac:dyDescent="0.25">
      <c r="A546" s="96" t="s">
        <v>2</v>
      </c>
      <c r="B546" s="96" t="s">
        <v>255</v>
      </c>
      <c r="C546" s="96" t="s">
        <v>714</v>
      </c>
      <c r="D546" s="96" t="s">
        <v>34</v>
      </c>
      <c r="E546" s="43">
        <v>45844</v>
      </c>
      <c r="F546" s="43">
        <v>45899</v>
      </c>
      <c r="G546" s="96" t="s">
        <v>92</v>
      </c>
      <c r="H546" s="96" t="s">
        <v>3940</v>
      </c>
      <c r="I546" s="96" t="s">
        <v>204</v>
      </c>
      <c r="J546" s="96" t="s">
        <v>283</v>
      </c>
      <c r="K546" s="96" t="s">
        <v>195</v>
      </c>
      <c r="L546">
        <v>55</v>
      </c>
      <c r="M546" t="s">
        <v>24</v>
      </c>
      <c r="N546" t="s">
        <v>187</v>
      </c>
      <c r="O546" t="s">
        <v>150</v>
      </c>
      <c r="P546">
        <v>2025</v>
      </c>
    </row>
    <row r="547" spans="1:16" hidden="1" x14ac:dyDescent="0.25">
      <c r="A547" s="96" t="s">
        <v>2</v>
      </c>
      <c r="B547" s="96" t="s">
        <v>211</v>
      </c>
      <c r="C547" s="96" t="s">
        <v>715</v>
      </c>
      <c r="D547" s="96" t="s">
        <v>10</v>
      </c>
      <c r="E547" s="43">
        <v>46021</v>
      </c>
      <c r="F547" s="43">
        <v>46047</v>
      </c>
      <c r="G547" s="96" t="s">
        <v>92</v>
      </c>
      <c r="H547" s="96" t="s">
        <v>3941</v>
      </c>
      <c r="I547" s="96" t="s">
        <v>225</v>
      </c>
      <c r="J547" s="96" t="s">
        <v>91</v>
      </c>
      <c r="K547" s="96" t="s">
        <v>246</v>
      </c>
      <c r="L547">
        <v>26</v>
      </c>
      <c r="M547" t="s">
        <v>19</v>
      </c>
      <c r="N547" t="s">
        <v>25</v>
      </c>
      <c r="O547" t="s">
        <v>170</v>
      </c>
      <c r="P547">
        <v>2025</v>
      </c>
    </row>
    <row r="548" spans="1:16" x14ac:dyDescent="0.25">
      <c r="A548" s="96" t="s">
        <v>2</v>
      </c>
      <c r="B548" s="96" t="s">
        <v>261</v>
      </c>
      <c r="C548" s="96" t="s">
        <v>3942</v>
      </c>
      <c r="D548" s="96" t="s">
        <v>223</v>
      </c>
      <c r="E548" s="43">
        <v>46091</v>
      </c>
      <c r="F548" s="43">
        <v>46107</v>
      </c>
      <c r="G548" s="96" t="s">
        <v>90</v>
      </c>
      <c r="H548" s="96" t="s">
        <v>3943</v>
      </c>
      <c r="I548" s="96" t="s">
        <v>157</v>
      </c>
      <c r="J548" s="96" t="s">
        <v>176</v>
      </c>
      <c r="K548" s="96" t="s">
        <v>157</v>
      </c>
      <c r="L548">
        <v>16</v>
      </c>
      <c r="M548" t="s">
        <v>19</v>
      </c>
      <c r="N548" t="s">
        <v>35</v>
      </c>
      <c r="O548" t="s">
        <v>151</v>
      </c>
      <c r="P548">
        <v>2026</v>
      </c>
    </row>
    <row r="549" spans="1:16" hidden="1" x14ac:dyDescent="0.25">
      <c r="A549" s="96" t="s">
        <v>175</v>
      </c>
      <c r="B549" s="96" t="s">
        <v>240</v>
      </c>
      <c r="C549" s="96" t="s">
        <v>716</v>
      </c>
      <c r="D549" s="96" t="s">
        <v>10</v>
      </c>
      <c r="E549" s="43">
        <v>45857</v>
      </c>
      <c r="F549" s="43">
        <v>45874</v>
      </c>
      <c r="G549" s="96" t="s">
        <v>92</v>
      </c>
      <c r="H549" s="96" t="s">
        <v>3944</v>
      </c>
      <c r="I549" s="96" t="s">
        <v>157</v>
      </c>
      <c r="J549" s="96" t="s">
        <v>94</v>
      </c>
      <c r="K549" s="96" t="s">
        <v>195</v>
      </c>
      <c r="L549">
        <v>17</v>
      </c>
      <c r="M549" t="s">
        <v>19</v>
      </c>
      <c r="N549" t="s">
        <v>187</v>
      </c>
      <c r="O549" t="s">
        <v>149</v>
      </c>
      <c r="P549">
        <v>2025</v>
      </c>
    </row>
    <row r="550" spans="1:16" hidden="1" x14ac:dyDescent="0.25">
      <c r="A550" s="96" t="s">
        <v>2</v>
      </c>
      <c r="B550" s="96" t="s">
        <v>221</v>
      </c>
      <c r="C550" s="96" t="s">
        <v>3945</v>
      </c>
      <c r="D550" s="96" t="s">
        <v>237</v>
      </c>
      <c r="E550" s="43">
        <v>45833</v>
      </c>
      <c r="F550" s="43">
        <v>45888</v>
      </c>
      <c r="G550" s="96" t="s">
        <v>92</v>
      </c>
      <c r="H550" s="96" t="s">
        <v>3946</v>
      </c>
      <c r="I550" s="96" t="s">
        <v>225</v>
      </c>
      <c r="J550" s="96" t="s">
        <v>173</v>
      </c>
      <c r="K550" s="96" t="s">
        <v>157</v>
      </c>
      <c r="L550">
        <v>55</v>
      </c>
      <c r="M550" t="s">
        <v>24</v>
      </c>
      <c r="N550" t="s">
        <v>184</v>
      </c>
      <c r="O550" t="s">
        <v>170</v>
      </c>
      <c r="P550">
        <v>2025</v>
      </c>
    </row>
    <row r="551" spans="1:16" hidden="1" x14ac:dyDescent="0.25">
      <c r="A551" s="96" t="s">
        <v>2</v>
      </c>
      <c r="B551" s="96" t="s">
        <v>231</v>
      </c>
      <c r="C551" s="96" t="s">
        <v>717</v>
      </c>
      <c r="D551" s="96" t="s">
        <v>215</v>
      </c>
      <c r="E551" s="43">
        <v>45754</v>
      </c>
      <c r="F551" s="43">
        <v>45864</v>
      </c>
      <c r="G551" s="96" t="s">
        <v>92</v>
      </c>
      <c r="H551" s="96" t="s">
        <v>703</v>
      </c>
      <c r="I551" s="96" t="s">
        <v>225</v>
      </c>
      <c r="J551" s="96" t="s">
        <v>283</v>
      </c>
      <c r="K551" s="96" t="s">
        <v>195</v>
      </c>
      <c r="L551">
        <v>110</v>
      </c>
      <c r="M551" t="s">
        <v>28</v>
      </c>
      <c r="N551" t="s">
        <v>185</v>
      </c>
      <c r="O551" t="s">
        <v>170</v>
      </c>
      <c r="P551">
        <v>2025</v>
      </c>
    </row>
    <row r="552" spans="1:16" hidden="1" x14ac:dyDescent="0.25">
      <c r="A552" s="96" t="s">
        <v>2</v>
      </c>
      <c r="B552" s="96" t="s">
        <v>251</v>
      </c>
      <c r="C552" s="96" t="s">
        <v>3947</v>
      </c>
      <c r="D552" s="96" t="s">
        <v>215</v>
      </c>
      <c r="E552" s="43">
        <v>45704</v>
      </c>
      <c r="F552" s="43">
        <v>45815</v>
      </c>
      <c r="G552" s="96" t="s">
        <v>92</v>
      </c>
      <c r="H552" s="96" t="s">
        <v>3948</v>
      </c>
      <c r="I552" s="96" t="s">
        <v>204</v>
      </c>
      <c r="J552" s="96" t="s">
        <v>283</v>
      </c>
      <c r="K552" s="96" t="s">
        <v>246</v>
      </c>
      <c r="L552">
        <v>111</v>
      </c>
      <c r="M552" t="s">
        <v>28</v>
      </c>
      <c r="N552" t="s">
        <v>188</v>
      </c>
      <c r="O552" t="s">
        <v>170</v>
      </c>
      <c r="P552">
        <v>2025</v>
      </c>
    </row>
    <row r="553" spans="1:16" hidden="1" x14ac:dyDescent="0.25">
      <c r="A553" s="96" t="s">
        <v>2</v>
      </c>
      <c r="B553" s="96" t="s">
        <v>240</v>
      </c>
      <c r="C553" s="96" t="s">
        <v>718</v>
      </c>
      <c r="D553" s="96" t="s">
        <v>223</v>
      </c>
      <c r="E553" s="43">
        <v>45813</v>
      </c>
      <c r="F553" s="43">
        <v>45828</v>
      </c>
      <c r="G553" s="96" t="s">
        <v>90</v>
      </c>
      <c r="H553" s="96" t="s">
        <v>3949</v>
      </c>
      <c r="I553" s="96" t="s">
        <v>209</v>
      </c>
      <c r="J553" s="96" t="s">
        <v>97</v>
      </c>
      <c r="K553" s="96" t="s">
        <v>157</v>
      </c>
      <c r="L553">
        <v>15</v>
      </c>
      <c r="M553" t="s">
        <v>19</v>
      </c>
      <c r="N553" t="s">
        <v>184</v>
      </c>
      <c r="O553" t="s">
        <v>149</v>
      </c>
      <c r="P553">
        <v>2025</v>
      </c>
    </row>
    <row r="554" spans="1:16" hidden="1" x14ac:dyDescent="0.25">
      <c r="A554" s="96" t="s">
        <v>2</v>
      </c>
      <c r="B554" s="96" t="s">
        <v>206</v>
      </c>
      <c r="C554" s="96" t="s">
        <v>719</v>
      </c>
      <c r="D554" s="96" t="s">
        <v>192</v>
      </c>
      <c r="E554" s="43">
        <v>45779</v>
      </c>
      <c r="F554" s="43">
        <v>45863</v>
      </c>
      <c r="G554" s="96" t="s">
        <v>92</v>
      </c>
      <c r="H554" s="96" t="s">
        <v>3950</v>
      </c>
      <c r="I554" s="96" t="s">
        <v>9</v>
      </c>
      <c r="J554" s="96" t="s">
        <v>177</v>
      </c>
      <c r="K554" s="96" t="s">
        <v>205</v>
      </c>
      <c r="L554">
        <v>84</v>
      </c>
      <c r="M554" t="s">
        <v>28</v>
      </c>
      <c r="N554" t="s">
        <v>182</v>
      </c>
      <c r="O554" t="s">
        <v>152</v>
      </c>
      <c r="P554">
        <v>2025</v>
      </c>
    </row>
    <row r="555" spans="1:16" hidden="1" x14ac:dyDescent="0.25">
      <c r="A555" s="96" t="s">
        <v>2</v>
      </c>
      <c r="B555" s="96" t="s">
        <v>211</v>
      </c>
      <c r="C555" s="96" t="s">
        <v>720</v>
      </c>
      <c r="D555" s="96" t="s">
        <v>10</v>
      </c>
      <c r="E555" s="43">
        <v>45915</v>
      </c>
      <c r="F555" s="43">
        <v>46017</v>
      </c>
      <c r="G555" s="96" t="s">
        <v>90</v>
      </c>
      <c r="H555" s="96" t="s">
        <v>3951</v>
      </c>
      <c r="I555" s="96" t="s">
        <v>228</v>
      </c>
      <c r="J555" s="96" t="s">
        <v>177</v>
      </c>
      <c r="K555" s="96" t="s">
        <v>205</v>
      </c>
      <c r="L555">
        <v>102</v>
      </c>
      <c r="M555" t="s">
        <v>28</v>
      </c>
      <c r="N555" t="s">
        <v>12</v>
      </c>
      <c r="O555" t="s">
        <v>170</v>
      </c>
      <c r="P555">
        <v>2025</v>
      </c>
    </row>
    <row r="556" spans="1:16" hidden="1" x14ac:dyDescent="0.25">
      <c r="A556" s="96" t="s">
        <v>2</v>
      </c>
      <c r="B556" s="96" t="s">
        <v>221</v>
      </c>
      <c r="C556" s="96" t="s">
        <v>721</v>
      </c>
      <c r="D556" s="96" t="s">
        <v>237</v>
      </c>
      <c r="E556" s="43">
        <v>45861</v>
      </c>
      <c r="F556" s="43">
        <v>45925</v>
      </c>
      <c r="G556" s="96" t="s">
        <v>90</v>
      </c>
      <c r="H556" s="96" t="s">
        <v>3952</v>
      </c>
      <c r="I556" s="96" t="s">
        <v>228</v>
      </c>
      <c r="J556" s="96" t="s">
        <v>168</v>
      </c>
      <c r="K556" s="96" t="s">
        <v>205</v>
      </c>
      <c r="L556">
        <v>64</v>
      </c>
      <c r="M556" t="s">
        <v>28</v>
      </c>
      <c r="N556" t="s">
        <v>187</v>
      </c>
      <c r="O556" t="s">
        <v>170</v>
      </c>
      <c r="P556">
        <v>2025</v>
      </c>
    </row>
    <row r="557" spans="1:16" x14ac:dyDescent="0.25">
      <c r="A557" s="96" t="s">
        <v>2</v>
      </c>
      <c r="B557" s="96" t="s">
        <v>234</v>
      </c>
      <c r="C557" s="96" t="s">
        <v>722</v>
      </c>
      <c r="D557" s="96" t="s">
        <v>223</v>
      </c>
      <c r="E557" s="43">
        <v>46036</v>
      </c>
      <c r="F557" s="43">
        <v>46119</v>
      </c>
      <c r="G557" s="96" t="s">
        <v>92</v>
      </c>
      <c r="H557" s="96" t="s">
        <v>3953</v>
      </c>
      <c r="I557" s="96" t="s">
        <v>9</v>
      </c>
      <c r="J557" s="96" t="s">
        <v>98</v>
      </c>
      <c r="K557" s="96" t="s">
        <v>230</v>
      </c>
      <c r="L557">
        <v>83</v>
      </c>
      <c r="M557" t="s">
        <v>28</v>
      </c>
      <c r="N557" t="s">
        <v>29</v>
      </c>
      <c r="O557" t="s">
        <v>150</v>
      </c>
      <c r="P557">
        <v>2026</v>
      </c>
    </row>
    <row r="558" spans="1:16" hidden="1" x14ac:dyDescent="0.25">
      <c r="A558" s="96" t="s">
        <v>2</v>
      </c>
      <c r="B558" s="96" t="s">
        <v>238</v>
      </c>
      <c r="C558" s="96" t="s">
        <v>3954</v>
      </c>
      <c r="D558" s="96" t="s">
        <v>215</v>
      </c>
      <c r="E558" s="43">
        <v>45867</v>
      </c>
      <c r="F558" s="43">
        <v>45982</v>
      </c>
      <c r="G558" s="96" t="s">
        <v>92</v>
      </c>
      <c r="H558" s="96" t="s">
        <v>3955</v>
      </c>
      <c r="I558" s="96" t="s">
        <v>209</v>
      </c>
      <c r="J558" s="96" t="s">
        <v>168</v>
      </c>
      <c r="K558" s="96" t="s">
        <v>210</v>
      </c>
      <c r="L558">
        <v>115</v>
      </c>
      <c r="M558" t="s">
        <v>28</v>
      </c>
      <c r="N558" t="s">
        <v>187</v>
      </c>
      <c r="O558" t="s">
        <v>170</v>
      </c>
      <c r="P558">
        <v>2025</v>
      </c>
    </row>
    <row r="559" spans="1:16" hidden="1" x14ac:dyDescent="0.25">
      <c r="A559" s="96" t="s">
        <v>2</v>
      </c>
      <c r="B559" s="96" t="s">
        <v>190</v>
      </c>
      <c r="C559" s="96" t="s">
        <v>723</v>
      </c>
      <c r="D559" s="96" t="s">
        <v>10</v>
      </c>
      <c r="E559" s="43">
        <v>45893</v>
      </c>
      <c r="F559" s="43">
        <v>45917</v>
      </c>
      <c r="G559" s="96" t="s">
        <v>95</v>
      </c>
      <c r="H559" s="96" t="s">
        <v>3956</v>
      </c>
      <c r="I559" s="96" t="s">
        <v>204</v>
      </c>
      <c r="J559" s="96" t="s">
        <v>229</v>
      </c>
      <c r="K559" s="96" t="s">
        <v>210</v>
      </c>
      <c r="L559">
        <v>24</v>
      </c>
      <c r="M559" t="s">
        <v>19</v>
      </c>
      <c r="N559" t="s">
        <v>8</v>
      </c>
      <c r="O559" t="s">
        <v>150</v>
      </c>
      <c r="P559">
        <v>2025</v>
      </c>
    </row>
    <row r="560" spans="1:16" x14ac:dyDescent="0.25">
      <c r="A560" s="96" t="s">
        <v>2</v>
      </c>
      <c r="B560" s="96" t="s">
        <v>374</v>
      </c>
      <c r="C560" s="96" t="s">
        <v>724</v>
      </c>
      <c r="D560" s="96" t="s">
        <v>14</v>
      </c>
      <c r="E560" s="43">
        <v>46071</v>
      </c>
      <c r="F560" s="43">
        <v>46080</v>
      </c>
      <c r="G560" s="96" t="s">
        <v>92</v>
      </c>
      <c r="H560" s="96" t="s">
        <v>3957</v>
      </c>
      <c r="I560" s="96" t="s">
        <v>209</v>
      </c>
      <c r="J560" s="96" t="s">
        <v>169</v>
      </c>
      <c r="K560" s="96" t="s">
        <v>210</v>
      </c>
      <c r="L560">
        <v>9</v>
      </c>
      <c r="M560" t="s">
        <v>15</v>
      </c>
      <c r="N560" t="s">
        <v>32</v>
      </c>
      <c r="O560" t="s">
        <v>150</v>
      </c>
      <c r="P560">
        <v>2026</v>
      </c>
    </row>
    <row r="561" spans="1:16" hidden="1" x14ac:dyDescent="0.25">
      <c r="A561" s="96" t="s">
        <v>2</v>
      </c>
      <c r="B561" s="96" t="s">
        <v>251</v>
      </c>
      <c r="C561" s="96" t="s">
        <v>3958</v>
      </c>
      <c r="D561" s="96" t="s">
        <v>34</v>
      </c>
      <c r="E561" s="43">
        <v>45664</v>
      </c>
      <c r="F561" s="43">
        <v>45742</v>
      </c>
      <c r="G561" s="96" t="s">
        <v>92</v>
      </c>
      <c r="H561" s="96" t="s">
        <v>3959</v>
      </c>
      <c r="I561" s="96" t="s">
        <v>225</v>
      </c>
      <c r="J561" s="96" t="s">
        <v>165</v>
      </c>
      <c r="K561" s="96" t="s">
        <v>230</v>
      </c>
      <c r="L561">
        <v>78</v>
      </c>
      <c r="M561" t="s">
        <v>28</v>
      </c>
      <c r="N561" t="s">
        <v>181</v>
      </c>
      <c r="O561" t="s">
        <v>170</v>
      </c>
      <c r="P561">
        <v>2025</v>
      </c>
    </row>
    <row r="562" spans="1:16" x14ac:dyDescent="0.25">
      <c r="A562" s="96" t="s">
        <v>2</v>
      </c>
      <c r="B562" s="96" t="s">
        <v>196</v>
      </c>
      <c r="C562" s="96" t="s">
        <v>3960</v>
      </c>
      <c r="D562" s="96" t="s">
        <v>203</v>
      </c>
      <c r="E562" s="43">
        <v>46136</v>
      </c>
      <c r="F562" s="43">
        <v>46150</v>
      </c>
      <c r="G562" s="96" t="s">
        <v>92</v>
      </c>
      <c r="H562" s="96" t="s">
        <v>3961</v>
      </c>
      <c r="I562" s="96" t="s">
        <v>9</v>
      </c>
      <c r="J562" s="96" t="s">
        <v>172</v>
      </c>
      <c r="K562" s="96" t="s">
        <v>195</v>
      </c>
      <c r="L562">
        <v>14</v>
      </c>
      <c r="M562" t="s">
        <v>15</v>
      </c>
      <c r="N562" t="s">
        <v>37</v>
      </c>
      <c r="O562" t="s">
        <v>152</v>
      </c>
      <c r="P562">
        <v>2026</v>
      </c>
    </row>
    <row r="563" spans="1:16" hidden="1" x14ac:dyDescent="0.25">
      <c r="A563" s="96" t="s">
        <v>2</v>
      </c>
      <c r="B563" s="96" t="s">
        <v>257</v>
      </c>
      <c r="C563" s="96" t="s">
        <v>725</v>
      </c>
      <c r="D563" s="96" t="s">
        <v>40</v>
      </c>
      <c r="E563" s="43">
        <v>45773</v>
      </c>
      <c r="F563" s="43">
        <v>45891</v>
      </c>
      <c r="G563" s="96" t="s">
        <v>95</v>
      </c>
      <c r="H563" s="96" t="s">
        <v>3962</v>
      </c>
      <c r="I563" s="96" t="s">
        <v>204</v>
      </c>
      <c r="J563" s="96" t="s">
        <v>165</v>
      </c>
      <c r="K563" s="96" t="s">
        <v>200</v>
      </c>
      <c r="L563">
        <v>118</v>
      </c>
      <c r="M563" t="s">
        <v>28</v>
      </c>
      <c r="N563" t="s">
        <v>185</v>
      </c>
      <c r="O563" t="s">
        <v>151</v>
      </c>
      <c r="P563">
        <v>2025</v>
      </c>
    </row>
    <row r="564" spans="1:16" hidden="1" x14ac:dyDescent="0.25">
      <c r="A564" s="96" t="s">
        <v>189</v>
      </c>
      <c r="B564" s="96" t="s">
        <v>272</v>
      </c>
      <c r="C564" s="96" t="s">
        <v>3963</v>
      </c>
      <c r="D564" s="96" t="s">
        <v>10</v>
      </c>
      <c r="E564" s="43">
        <v>45711</v>
      </c>
      <c r="F564" s="43">
        <v>45746</v>
      </c>
      <c r="G564" s="96" t="s">
        <v>90</v>
      </c>
      <c r="H564" s="96" t="s">
        <v>3964</v>
      </c>
      <c r="I564" s="96" t="s">
        <v>157</v>
      </c>
      <c r="J564" s="96" t="s">
        <v>173</v>
      </c>
      <c r="K564" s="96" t="s">
        <v>210</v>
      </c>
      <c r="L564">
        <v>35</v>
      </c>
      <c r="M564" t="s">
        <v>24</v>
      </c>
      <c r="N564" t="s">
        <v>188</v>
      </c>
      <c r="O564" t="s">
        <v>151</v>
      </c>
      <c r="P564">
        <v>2025</v>
      </c>
    </row>
    <row r="565" spans="1:16" hidden="1" x14ac:dyDescent="0.25">
      <c r="A565" s="96" t="s">
        <v>2</v>
      </c>
      <c r="B565" s="96" t="s">
        <v>257</v>
      </c>
      <c r="C565" s="96" t="s">
        <v>3965</v>
      </c>
      <c r="D565" s="96" t="s">
        <v>34</v>
      </c>
      <c r="E565" s="43">
        <v>45857</v>
      </c>
      <c r="F565" s="43">
        <v>45915</v>
      </c>
      <c r="G565" s="96" t="s">
        <v>92</v>
      </c>
      <c r="H565" s="96" t="s">
        <v>3966</v>
      </c>
      <c r="I565" s="96" t="s">
        <v>9</v>
      </c>
      <c r="J565" s="96" t="s">
        <v>174</v>
      </c>
      <c r="K565" s="96" t="s">
        <v>210</v>
      </c>
      <c r="L565">
        <v>58</v>
      </c>
      <c r="M565" t="s">
        <v>24</v>
      </c>
      <c r="N565" t="s">
        <v>187</v>
      </c>
      <c r="O565" t="s">
        <v>151</v>
      </c>
      <c r="P565">
        <v>2025</v>
      </c>
    </row>
    <row r="566" spans="1:16" hidden="1" x14ac:dyDescent="0.25">
      <c r="A566" s="96" t="s">
        <v>2</v>
      </c>
      <c r="B566" s="96" t="s">
        <v>280</v>
      </c>
      <c r="C566" s="96" t="s">
        <v>729</v>
      </c>
      <c r="D566" s="96" t="s">
        <v>192</v>
      </c>
      <c r="E566" s="43">
        <v>45912</v>
      </c>
      <c r="F566" s="43">
        <v>45981</v>
      </c>
      <c r="G566" s="96" t="s">
        <v>90</v>
      </c>
      <c r="H566" s="96" t="s">
        <v>3967</v>
      </c>
      <c r="I566" s="96" t="s">
        <v>209</v>
      </c>
      <c r="J566" s="96" t="s">
        <v>283</v>
      </c>
      <c r="K566" s="96" t="s">
        <v>157</v>
      </c>
      <c r="L566">
        <v>69</v>
      </c>
      <c r="M566" t="s">
        <v>28</v>
      </c>
      <c r="N566" t="s">
        <v>12</v>
      </c>
      <c r="O566" t="s">
        <v>170</v>
      </c>
      <c r="P566">
        <v>2025</v>
      </c>
    </row>
    <row r="567" spans="1:16" hidden="1" x14ac:dyDescent="0.25">
      <c r="A567" s="96" t="s">
        <v>2</v>
      </c>
      <c r="B567" s="96" t="s">
        <v>322</v>
      </c>
      <c r="C567" s="96" t="s">
        <v>3968</v>
      </c>
      <c r="D567" s="96" t="s">
        <v>203</v>
      </c>
      <c r="E567" s="43">
        <v>46013</v>
      </c>
      <c r="F567" s="43">
        <v>46117</v>
      </c>
      <c r="G567" s="96" t="s">
        <v>92</v>
      </c>
      <c r="H567" s="96" t="s">
        <v>3969</v>
      </c>
      <c r="I567" s="96" t="s">
        <v>194</v>
      </c>
      <c r="J567" s="96" t="s">
        <v>173</v>
      </c>
      <c r="K567" s="96" t="s">
        <v>233</v>
      </c>
      <c r="L567">
        <v>104</v>
      </c>
      <c r="M567" t="s">
        <v>28</v>
      </c>
      <c r="N567" t="s">
        <v>25</v>
      </c>
      <c r="O567" t="s">
        <v>150</v>
      </c>
      <c r="P567">
        <v>2025</v>
      </c>
    </row>
    <row r="568" spans="1:16" hidden="1" x14ac:dyDescent="0.25">
      <c r="A568" s="96" t="s">
        <v>2</v>
      </c>
      <c r="B568" s="96" t="s">
        <v>247</v>
      </c>
      <c r="C568" s="96" t="s">
        <v>731</v>
      </c>
      <c r="D568" s="96" t="s">
        <v>10</v>
      </c>
      <c r="E568" s="43">
        <v>45718</v>
      </c>
      <c r="F568" s="43">
        <v>45808</v>
      </c>
      <c r="G568" s="96" t="s">
        <v>90</v>
      </c>
      <c r="H568" s="96" t="s">
        <v>3970</v>
      </c>
      <c r="I568" s="96" t="s">
        <v>209</v>
      </c>
      <c r="J568" s="96" t="s">
        <v>199</v>
      </c>
      <c r="K568" s="96" t="s">
        <v>233</v>
      </c>
      <c r="L568">
        <v>90</v>
      </c>
      <c r="M568" t="s">
        <v>28</v>
      </c>
      <c r="N568" t="s">
        <v>186</v>
      </c>
      <c r="O568" t="s">
        <v>150</v>
      </c>
      <c r="P568">
        <v>2025</v>
      </c>
    </row>
    <row r="569" spans="1:16" hidden="1" x14ac:dyDescent="0.25">
      <c r="A569" s="96" t="s">
        <v>2</v>
      </c>
      <c r="B569" s="96" t="s">
        <v>322</v>
      </c>
      <c r="C569" s="96" t="s">
        <v>732</v>
      </c>
      <c r="D569" s="96" t="s">
        <v>10</v>
      </c>
      <c r="E569" s="43">
        <v>45962</v>
      </c>
      <c r="F569" s="43">
        <v>46074</v>
      </c>
      <c r="G569" s="96" t="s">
        <v>92</v>
      </c>
      <c r="H569" s="96" t="s">
        <v>3971</v>
      </c>
      <c r="I569" s="96" t="s">
        <v>228</v>
      </c>
      <c r="J569" s="96" t="s">
        <v>283</v>
      </c>
      <c r="K569" s="96" t="s">
        <v>210</v>
      </c>
      <c r="L569">
        <v>112</v>
      </c>
      <c r="M569" t="s">
        <v>28</v>
      </c>
      <c r="N569" t="s">
        <v>20</v>
      </c>
      <c r="O569" t="s">
        <v>150</v>
      </c>
      <c r="P569">
        <v>2025</v>
      </c>
    </row>
    <row r="570" spans="1:16" x14ac:dyDescent="0.25">
      <c r="A570" s="96" t="s">
        <v>2</v>
      </c>
      <c r="B570" s="96" t="s">
        <v>249</v>
      </c>
      <c r="C570" s="96" t="s">
        <v>733</v>
      </c>
      <c r="D570" s="96" t="s">
        <v>40</v>
      </c>
      <c r="E570" s="43">
        <v>46143</v>
      </c>
      <c r="F570" s="43">
        <v>46150</v>
      </c>
      <c r="G570" s="96" t="s">
        <v>90</v>
      </c>
      <c r="H570" s="96" t="s">
        <v>3972</v>
      </c>
      <c r="I570" s="96" t="s">
        <v>9</v>
      </c>
      <c r="J570" s="96" t="s">
        <v>173</v>
      </c>
      <c r="K570" s="96" t="s">
        <v>195</v>
      </c>
      <c r="L570">
        <v>7</v>
      </c>
      <c r="M570" t="s">
        <v>11</v>
      </c>
      <c r="N570" t="s">
        <v>183</v>
      </c>
      <c r="O570" t="s">
        <v>170</v>
      </c>
      <c r="P570">
        <v>2026</v>
      </c>
    </row>
    <row r="571" spans="1:16" x14ac:dyDescent="0.25">
      <c r="A571" s="96" t="s">
        <v>2</v>
      </c>
      <c r="B571" s="96" t="s">
        <v>234</v>
      </c>
      <c r="C571" s="96" t="s">
        <v>3973</v>
      </c>
      <c r="D571" s="96" t="s">
        <v>203</v>
      </c>
      <c r="E571" s="43">
        <v>46031</v>
      </c>
      <c r="F571" s="43">
        <v>46109</v>
      </c>
      <c r="G571" s="96" t="s">
        <v>90</v>
      </c>
      <c r="H571" s="96" t="s">
        <v>3974</v>
      </c>
      <c r="I571" s="96" t="s">
        <v>209</v>
      </c>
      <c r="J571" s="96" t="s">
        <v>168</v>
      </c>
      <c r="K571" s="96" t="s">
        <v>157</v>
      </c>
      <c r="L571">
        <v>78</v>
      </c>
      <c r="M571" t="s">
        <v>28</v>
      </c>
      <c r="N571" t="s">
        <v>29</v>
      </c>
      <c r="O571" t="s">
        <v>150</v>
      </c>
      <c r="P571">
        <v>2026</v>
      </c>
    </row>
    <row r="572" spans="1:16" hidden="1" x14ac:dyDescent="0.25">
      <c r="A572" s="96" t="s">
        <v>171</v>
      </c>
      <c r="B572" s="96" t="s">
        <v>255</v>
      </c>
      <c r="C572" s="96" t="s">
        <v>3975</v>
      </c>
      <c r="D572" s="96" t="s">
        <v>237</v>
      </c>
      <c r="E572" s="43">
        <v>45774</v>
      </c>
      <c r="F572" s="43">
        <v>45829</v>
      </c>
      <c r="G572" s="96" t="s">
        <v>92</v>
      </c>
      <c r="H572" s="96" t="s">
        <v>3976</v>
      </c>
      <c r="I572" s="96" t="s">
        <v>228</v>
      </c>
      <c r="J572" s="96" t="s">
        <v>177</v>
      </c>
      <c r="K572" s="96" t="s">
        <v>205</v>
      </c>
      <c r="L572">
        <v>55</v>
      </c>
      <c r="M572" t="s">
        <v>24</v>
      </c>
      <c r="N572" t="s">
        <v>185</v>
      </c>
      <c r="O572" t="s">
        <v>150</v>
      </c>
      <c r="P572">
        <v>2025</v>
      </c>
    </row>
    <row r="573" spans="1:16" hidden="1" x14ac:dyDescent="0.25">
      <c r="A573" s="96" t="s">
        <v>2</v>
      </c>
      <c r="B573" s="96" t="s">
        <v>251</v>
      </c>
      <c r="C573" s="96" t="s">
        <v>3977</v>
      </c>
      <c r="D573" s="96" t="s">
        <v>34</v>
      </c>
      <c r="E573" s="43">
        <v>45944</v>
      </c>
      <c r="F573" s="43">
        <v>46022</v>
      </c>
      <c r="G573" s="96" t="s">
        <v>90</v>
      </c>
      <c r="H573" s="96" t="s">
        <v>3978</v>
      </c>
      <c r="I573" s="96" t="s">
        <v>9</v>
      </c>
      <c r="J573" s="96" t="s">
        <v>97</v>
      </c>
      <c r="K573" s="96" t="s">
        <v>217</v>
      </c>
      <c r="L573">
        <v>78</v>
      </c>
      <c r="M573" t="s">
        <v>28</v>
      </c>
      <c r="N573" t="s">
        <v>16</v>
      </c>
      <c r="O573" t="s">
        <v>170</v>
      </c>
      <c r="P573">
        <v>2025</v>
      </c>
    </row>
    <row r="574" spans="1:16" x14ac:dyDescent="0.25">
      <c r="A574" s="96" t="s">
        <v>2</v>
      </c>
      <c r="B574" s="96" t="s">
        <v>226</v>
      </c>
      <c r="C574" s="96" t="s">
        <v>3979</v>
      </c>
      <c r="D574" s="96" t="s">
        <v>208</v>
      </c>
      <c r="E574" s="43">
        <v>46047</v>
      </c>
      <c r="F574" s="43">
        <v>46090</v>
      </c>
      <c r="G574" s="96" t="s">
        <v>90</v>
      </c>
      <c r="H574" s="96" t="s">
        <v>3980</v>
      </c>
      <c r="I574" s="96" t="s">
        <v>228</v>
      </c>
      <c r="J574" s="96" t="s">
        <v>177</v>
      </c>
      <c r="K574" s="96" t="s">
        <v>230</v>
      </c>
      <c r="L574">
        <v>43</v>
      </c>
      <c r="M574" t="s">
        <v>24</v>
      </c>
      <c r="N574" t="s">
        <v>29</v>
      </c>
      <c r="O574" t="s">
        <v>151</v>
      </c>
      <c r="P574">
        <v>2026</v>
      </c>
    </row>
    <row r="575" spans="1:16" x14ac:dyDescent="0.25">
      <c r="A575" s="96" t="s">
        <v>2</v>
      </c>
      <c r="B575" s="96" t="s">
        <v>196</v>
      </c>
      <c r="C575" s="96" t="s">
        <v>735</v>
      </c>
      <c r="D575" s="96" t="s">
        <v>237</v>
      </c>
      <c r="E575" s="43">
        <v>46110</v>
      </c>
      <c r="F575" s="43">
        <v>46150</v>
      </c>
      <c r="G575" s="96" t="s">
        <v>90</v>
      </c>
      <c r="H575" s="96" t="s">
        <v>3981</v>
      </c>
      <c r="I575" s="96" t="s">
        <v>225</v>
      </c>
      <c r="J575" s="96" t="s">
        <v>91</v>
      </c>
      <c r="K575" s="96" t="s">
        <v>233</v>
      </c>
      <c r="L575">
        <v>40</v>
      </c>
      <c r="M575" t="s">
        <v>24</v>
      </c>
      <c r="N575" t="s">
        <v>35</v>
      </c>
      <c r="O575" t="s">
        <v>152</v>
      </c>
      <c r="P575">
        <v>2026</v>
      </c>
    </row>
    <row r="576" spans="1:16" x14ac:dyDescent="0.25">
      <c r="A576" s="96" t="s">
        <v>2</v>
      </c>
      <c r="B576" s="96" t="s">
        <v>244</v>
      </c>
      <c r="C576" s="96" t="s">
        <v>3982</v>
      </c>
      <c r="D576" s="96" t="s">
        <v>14</v>
      </c>
      <c r="E576" s="43">
        <v>46150</v>
      </c>
      <c r="F576" s="43">
        <v>46151</v>
      </c>
      <c r="G576" s="96" t="s">
        <v>95</v>
      </c>
      <c r="H576" s="96" t="s">
        <v>3983</v>
      </c>
      <c r="I576" s="96" t="s">
        <v>194</v>
      </c>
      <c r="J576" s="96" t="s">
        <v>174</v>
      </c>
      <c r="K576" s="96" t="s">
        <v>210</v>
      </c>
      <c r="L576">
        <v>1</v>
      </c>
      <c r="M576" t="s">
        <v>11</v>
      </c>
      <c r="N576" t="s">
        <v>183</v>
      </c>
      <c r="O576" t="s">
        <v>150</v>
      </c>
      <c r="P576">
        <v>2026</v>
      </c>
    </row>
    <row r="577" spans="1:16" x14ac:dyDescent="0.25">
      <c r="A577" s="96" t="s">
        <v>2</v>
      </c>
      <c r="B577" s="96" t="s">
        <v>269</v>
      </c>
      <c r="C577" s="96" t="s">
        <v>736</v>
      </c>
      <c r="D577" s="96" t="s">
        <v>40</v>
      </c>
      <c r="E577" s="43">
        <v>46064</v>
      </c>
      <c r="F577" s="43">
        <v>46073</v>
      </c>
      <c r="G577" s="96" t="s">
        <v>92</v>
      </c>
      <c r="H577" s="96" t="s">
        <v>3984</v>
      </c>
      <c r="I577" s="96" t="s">
        <v>194</v>
      </c>
      <c r="J577" s="96" t="s">
        <v>168</v>
      </c>
      <c r="K577" s="96" t="s">
        <v>246</v>
      </c>
      <c r="L577">
        <v>9</v>
      </c>
      <c r="M577" t="s">
        <v>15</v>
      </c>
      <c r="N577" t="s">
        <v>32</v>
      </c>
      <c r="O577" t="s">
        <v>152</v>
      </c>
      <c r="P577">
        <v>2026</v>
      </c>
    </row>
    <row r="578" spans="1:16" hidden="1" x14ac:dyDescent="0.25">
      <c r="A578" s="96" t="s">
        <v>2</v>
      </c>
      <c r="B578" s="96" t="s">
        <v>280</v>
      </c>
      <c r="C578" s="96" t="s">
        <v>737</v>
      </c>
      <c r="D578" s="96" t="s">
        <v>192</v>
      </c>
      <c r="E578" s="43">
        <v>45729</v>
      </c>
      <c r="F578" s="43">
        <v>45745</v>
      </c>
      <c r="G578" s="96" t="s">
        <v>90</v>
      </c>
      <c r="H578" s="96" t="s">
        <v>3985</v>
      </c>
      <c r="I578" s="96" t="s">
        <v>209</v>
      </c>
      <c r="J578" s="96" t="s">
        <v>173</v>
      </c>
      <c r="K578" s="96" t="s">
        <v>246</v>
      </c>
      <c r="L578">
        <v>16</v>
      </c>
      <c r="M578" t="s">
        <v>19</v>
      </c>
      <c r="N578" t="s">
        <v>186</v>
      </c>
      <c r="O578" t="s">
        <v>170</v>
      </c>
      <c r="P578">
        <v>2025</v>
      </c>
    </row>
    <row r="579" spans="1:16" hidden="1" x14ac:dyDescent="0.25">
      <c r="A579" s="96" t="s">
        <v>2</v>
      </c>
      <c r="B579" s="96" t="s">
        <v>206</v>
      </c>
      <c r="C579" s="96" t="s">
        <v>3986</v>
      </c>
      <c r="D579" s="96" t="s">
        <v>192</v>
      </c>
      <c r="E579" s="43">
        <v>45977</v>
      </c>
      <c r="F579" s="43">
        <v>46018</v>
      </c>
      <c r="G579" s="96" t="s">
        <v>92</v>
      </c>
      <c r="H579" s="96" t="s">
        <v>3987</v>
      </c>
      <c r="I579" s="96" t="s">
        <v>209</v>
      </c>
      <c r="J579" s="96" t="s">
        <v>177</v>
      </c>
      <c r="K579" s="96" t="s">
        <v>205</v>
      </c>
      <c r="L579">
        <v>41</v>
      </c>
      <c r="M579" t="s">
        <v>24</v>
      </c>
      <c r="N579" t="s">
        <v>20</v>
      </c>
      <c r="O579" t="s">
        <v>152</v>
      </c>
      <c r="P579">
        <v>2025</v>
      </c>
    </row>
    <row r="580" spans="1:16" hidden="1" x14ac:dyDescent="0.25">
      <c r="A580" s="96" t="s">
        <v>2</v>
      </c>
      <c r="B580" s="96" t="s">
        <v>322</v>
      </c>
      <c r="C580" s="96" t="s">
        <v>3988</v>
      </c>
      <c r="D580" s="96" t="s">
        <v>215</v>
      </c>
      <c r="E580" s="43">
        <v>45945</v>
      </c>
      <c r="F580" s="43">
        <v>45947</v>
      </c>
      <c r="G580" s="96" t="s">
        <v>92</v>
      </c>
      <c r="H580" s="96" t="s">
        <v>3989</v>
      </c>
      <c r="I580" s="96" t="s">
        <v>194</v>
      </c>
      <c r="J580" s="96" t="s">
        <v>93</v>
      </c>
      <c r="K580" s="96" t="s">
        <v>233</v>
      </c>
      <c r="L580">
        <v>2</v>
      </c>
      <c r="M580" t="s">
        <v>11</v>
      </c>
      <c r="N580" t="s">
        <v>16</v>
      </c>
      <c r="O580" t="s">
        <v>150</v>
      </c>
      <c r="P580">
        <v>2025</v>
      </c>
    </row>
    <row r="581" spans="1:16" hidden="1" x14ac:dyDescent="0.25">
      <c r="A581" s="96" t="s">
        <v>2</v>
      </c>
      <c r="B581" s="96" t="s">
        <v>280</v>
      </c>
      <c r="C581" s="96" t="s">
        <v>3990</v>
      </c>
      <c r="D581" s="96" t="s">
        <v>237</v>
      </c>
      <c r="E581" s="43">
        <v>45897</v>
      </c>
      <c r="F581" s="43">
        <v>45980</v>
      </c>
      <c r="G581" s="96" t="s">
        <v>92</v>
      </c>
      <c r="H581" s="96" t="s">
        <v>3991</v>
      </c>
      <c r="I581" s="96" t="s">
        <v>225</v>
      </c>
      <c r="J581" s="96" t="s">
        <v>176</v>
      </c>
      <c r="K581" s="96" t="s">
        <v>200</v>
      </c>
      <c r="L581">
        <v>83</v>
      </c>
      <c r="M581" t="s">
        <v>28</v>
      </c>
      <c r="N581" t="s">
        <v>8</v>
      </c>
      <c r="O581" t="s">
        <v>170</v>
      </c>
      <c r="P581">
        <v>2025</v>
      </c>
    </row>
    <row r="582" spans="1:16" x14ac:dyDescent="0.25">
      <c r="A582" s="96" t="s">
        <v>2</v>
      </c>
      <c r="B582" s="96" t="s">
        <v>288</v>
      </c>
      <c r="C582" s="96" t="s">
        <v>3992</v>
      </c>
      <c r="D582" s="96" t="s">
        <v>237</v>
      </c>
      <c r="E582" s="43">
        <v>46138</v>
      </c>
      <c r="F582" s="43">
        <v>46148</v>
      </c>
      <c r="G582" s="96" t="s">
        <v>92</v>
      </c>
      <c r="H582" s="96" t="s">
        <v>3993</v>
      </c>
      <c r="I582" s="96" t="s">
        <v>204</v>
      </c>
      <c r="J582" s="96" t="s">
        <v>96</v>
      </c>
      <c r="K582" s="96" t="s">
        <v>210</v>
      </c>
      <c r="L582">
        <v>10</v>
      </c>
      <c r="M582" t="s">
        <v>15</v>
      </c>
      <c r="N582" t="s">
        <v>37</v>
      </c>
      <c r="O582" t="s">
        <v>170</v>
      </c>
      <c r="P582">
        <v>2026</v>
      </c>
    </row>
    <row r="583" spans="1:16" hidden="1" x14ac:dyDescent="0.25">
      <c r="A583" s="96" t="s">
        <v>2</v>
      </c>
      <c r="B583" s="96" t="s">
        <v>255</v>
      </c>
      <c r="C583" s="96" t="s">
        <v>739</v>
      </c>
      <c r="D583" s="96" t="s">
        <v>10</v>
      </c>
      <c r="E583" s="43">
        <v>45954</v>
      </c>
      <c r="F583" s="43">
        <v>46033</v>
      </c>
      <c r="G583" s="96" t="s">
        <v>90</v>
      </c>
      <c r="H583" s="96" t="s">
        <v>726</v>
      </c>
      <c r="I583" s="96" t="s">
        <v>225</v>
      </c>
      <c r="J583" s="96" t="s">
        <v>93</v>
      </c>
      <c r="K583" s="96" t="s">
        <v>210</v>
      </c>
      <c r="L583">
        <v>79</v>
      </c>
      <c r="M583" t="s">
        <v>28</v>
      </c>
      <c r="N583" t="s">
        <v>16</v>
      </c>
      <c r="O583" t="s">
        <v>150</v>
      </c>
      <c r="P583">
        <v>2025</v>
      </c>
    </row>
    <row r="584" spans="1:16" hidden="1" x14ac:dyDescent="0.25">
      <c r="A584" s="96" t="s">
        <v>2</v>
      </c>
      <c r="B584" s="96" t="s">
        <v>272</v>
      </c>
      <c r="C584" s="96" t="s">
        <v>740</v>
      </c>
      <c r="D584" s="96" t="s">
        <v>208</v>
      </c>
      <c r="E584" s="43">
        <v>45820</v>
      </c>
      <c r="F584" s="43">
        <v>45835</v>
      </c>
      <c r="G584" s="96" t="s">
        <v>92</v>
      </c>
      <c r="H584" s="96" t="s">
        <v>727</v>
      </c>
      <c r="I584" s="96" t="s">
        <v>209</v>
      </c>
      <c r="J584" s="96" t="s">
        <v>199</v>
      </c>
      <c r="K584" s="96" t="s">
        <v>195</v>
      </c>
      <c r="L584">
        <v>15</v>
      </c>
      <c r="M584" t="s">
        <v>19</v>
      </c>
      <c r="N584" t="s">
        <v>184</v>
      </c>
      <c r="O584" t="s">
        <v>151</v>
      </c>
      <c r="P584">
        <v>2025</v>
      </c>
    </row>
    <row r="585" spans="1:16" hidden="1" x14ac:dyDescent="0.25">
      <c r="A585" s="96" t="s">
        <v>2</v>
      </c>
      <c r="B585" s="96" t="s">
        <v>247</v>
      </c>
      <c r="C585" s="96" t="s">
        <v>741</v>
      </c>
      <c r="D585" s="96" t="s">
        <v>203</v>
      </c>
      <c r="E585" s="43">
        <v>45829</v>
      </c>
      <c r="F585" s="43">
        <v>45844</v>
      </c>
      <c r="G585" s="96" t="s">
        <v>92</v>
      </c>
      <c r="H585" s="96" t="s">
        <v>728</v>
      </c>
      <c r="I585" s="96" t="s">
        <v>194</v>
      </c>
      <c r="J585" s="96" t="s">
        <v>176</v>
      </c>
      <c r="K585" s="96" t="s">
        <v>230</v>
      </c>
      <c r="L585">
        <v>15</v>
      </c>
      <c r="M585" t="s">
        <v>19</v>
      </c>
      <c r="N585" t="s">
        <v>184</v>
      </c>
      <c r="O585" t="s">
        <v>150</v>
      </c>
      <c r="P585">
        <v>2025</v>
      </c>
    </row>
    <row r="586" spans="1:16" x14ac:dyDescent="0.25">
      <c r="A586" s="96" t="s">
        <v>171</v>
      </c>
      <c r="B586" s="96" t="s">
        <v>317</v>
      </c>
      <c r="C586" s="96" t="s">
        <v>3994</v>
      </c>
      <c r="D586" s="96" t="s">
        <v>10</v>
      </c>
      <c r="E586" s="43">
        <v>46134</v>
      </c>
      <c r="F586" s="43">
        <v>46149</v>
      </c>
      <c r="G586" s="96" t="s">
        <v>90</v>
      </c>
      <c r="H586" s="96" t="s">
        <v>3995</v>
      </c>
      <c r="I586" s="96" t="s">
        <v>228</v>
      </c>
      <c r="J586" s="96" t="s">
        <v>283</v>
      </c>
      <c r="K586" s="96" t="s">
        <v>233</v>
      </c>
      <c r="L586">
        <v>15</v>
      </c>
      <c r="M586" t="s">
        <v>19</v>
      </c>
      <c r="N586" t="s">
        <v>37</v>
      </c>
      <c r="O586" t="s">
        <v>170</v>
      </c>
      <c r="P586">
        <v>2026</v>
      </c>
    </row>
    <row r="587" spans="1:16" hidden="1" x14ac:dyDescent="0.25">
      <c r="A587" s="96" t="s">
        <v>2</v>
      </c>
      <c r="B587" s="96" t="s">
        <v>221</v>
      </c>
      <c r="C587" s="96" t="s">
        <v>3996</v>
      </c>
      <c r="D587" s="96" t="s">
        <v>237</v>
      </c>
      <c r="E587" s="43">
        <v>45977</v>
      </c>
      <c r="F587" s="43">
        <v>46096</v>
      </c>
      <c r="G587" s="96" t="s">
        <v>92</v>
      </c>
      <c r="H587" s="96" t="s">
        <v>3997</v>
      </c>
      <c r="I587" s="96" t="s">
        <v>225</v>
      </c>
      <c r="J587" s="96" t="s">
        <v>94</v>
      </c>
      <c r="K587" s="96" t="s">
        <v>246</v>
      </c>
      <c r="L587">
        <v>119</v>
      </c>
      <c r="M587" t="s">
        <v>28</v>
      </c>
      <c r="N587" t="s">
        <v>20</v>
      </c>
      <c r="O587" t="s">
        <v>170</v>
      </c>
      <c r="P587">
        <v>2025</v>
      </c>
    </row>
    <row r="588" spans="1:16" hidden="1" x14ac:dyDescent="0.25">
      <c r="A588" s="96" t="s">
        <v>2</v>
      </c>
      <c r="B588" s="96" t="s">
        <v>257</v>
      </c>
      <c r="C588" s="96" t="s">
        <v>3998</v>
      </c>
      <c r="D588" s="96" t="s">
        <v>237</v>
      </c>
      <c r="E588" s="43">
        <v>45716</v>
      </c>
      <c r="F588" s="43">
        <v>45742</v>
      </c>
      <c r="G588" s="96" t="s">
        <v>90</v>
      </c>
      <c r="H588" s="96" t="s">
        <v>730</v>
      </c>
      <c r="I588" s="96" t="s">
        <v>9</v>
      </c>
      <c r="J588" s="96" t="s">
        <v>97</v>
      </c>
      <c r="K588" s="96" t="s">
        <v>205</v>
      </c>
      <c r="L588">
        <v>26</v>
      </c>
      <c r="M588" t="s">
        <v>19</v>
      </c>
      <c r="N588" t="s">
        <v>188</v>
      </c>
      <c r="O588" t="s">
        <v>151</v>
      </c>
      <c r="P588">
        <v>2025</v>
      </c>
    </row>
    <row r="589" spans="1:16" hidden="1" x14ac:dyDescent="0.25">
      <c r="A589" s="96" t="s">
        <v>175</v>
      </c>
      <c r="B589" s="96" t="s">
        <v>264</v>
      </c>
      <c r="C589" s="96" t="s">
        <v>742</v>
      </c>
      <c r="D589" s="96" t="s">
        <v>10</v>
      </c>
      <c r="E589" s="43">
        <v>45795</v>
      </c>
      <c r="F589" s="43">
        <v>45908</v>
      </c>
      <c r="G589" s="96" t="s">
        <v>90</v>
      </c>
      <c r="H589" s="96" t="s">
        <v>3999</v>
      </c>
      <c r="I589" s="96" t="s">
        <v>194</v>
      </c>
      <c r="J589" s="96" t="s">
        <v>177</v>
      </c>
      <c r="K589" s="96" t="s">
        <v>195</v>
      </c>
      <c r="L589">
        <v>113</v>
      </c>
      <c r="M589" t="s">
        <v>28</v>
      </c>
      <c r="N589" t="s">
        <v>182</v>
      </c>
      <c r="O589" t="s">
        <v>152</v>
      </c>
      <c r="P589">
        <v>2025</v>
      </c>
    </row>
    <row r="590" spans="1:16" x14ac:dyDescent="0.25">
      <c r="A590" s="96" t="s">
        <v>2</v>
      </c>
      <c r="B590" s="96" t="s">
        <v>226</v>
      </c>
      <c r="C590" s="96" t="s">
        <v>743</v>
      </c>
      <c r="D590" s="96" t="s">
        <v>215</v>
      </c>
      <c r="E590" s="43">
        <v>46132</v>
      </c>
      <c r="F590" s="43">
        <v>46149</v>
      </c>
      <c r="G590" s="96" t="s">
        <v>92</v>
      </c>
      <c r="H590" s="96" t="s">
        <v>734</v>
      </c>
      <c r="I590" s="96" t="s">
        <v>9</v>
      </c>
      <c r="J590" s="96" t="s">
        <v>173</v>
      </c>
      <c r="K590" s="96" t="s">
        <v>157</v>
      </c>
      <c r="L590">
        <v>17</v>
      </c>
      <c r="M590" t="s">
        <v>19</v>
      </c>
      <c r="N590" t="s">
        <v>37</v>
      </c>
      <c r="O590" t="s">
        <v>151</v>
      </c>
      <c r="P590">
        <v>2026</v>
      </c>
    </row>
    <row r="591" spans="1:16" hidden="1" x14ac:dyDescent="0.25">
      <c r="A591" s="96" t="s">
        <v>2</v>
      </c>
      <c r="B591" s="96" t="s">
        <v>240</v>
      </c>
      <c r="C591" s="96" t="s">
        <v>744</v>
      </c>
      <c r="D591" s="96" t="s">
        <v>40</v>
      </c>
      <c r="E591" s="43">
        <v>45984</v>
      </c>
      <c r="F591" s="43">
        <v>46059</v>
      </c>
      <c r="G591" s="96" t="s">
        <v>92</v>
      </c>
      <c r="H591" s="96" t="s">
        <v>4000</v>
      </c>
      <c r="I591" s="96" t="s">
        <v>204</v>
      </c>
      <c r="J591" s="96" t="s">
        <v>229</v>
      </c>
      <c r="K591" s="96" t="s">
        <v>233</v>
      </c>
      <c r="L591">
        <v>75</v>
      </c>
      <c r="M591" t="s">
        <v>28</v>
      </c>
      <c r="N591" t="s">
        <v>20</v>
      </c>
      <c r="O591" t="s">
        <v>149</v>
      </c>
      <c r="P591">
        <v>2025</v>
      </c>
    </row>
    <row r="592" spans="1:16" hidden="1" x14ac:dyDescent="0.25">
      <c r="A592" s="96" t="s">
        <v>21</v>
      </c>
      <c r="B592" s="96" t="s">
        <v>253</v>
      </c>
      <c r="C592" s="96" t="s">
        <v>745</v>
      </c>
      <c r="D592" s="96" t="s">
        <v>10</v>
      </c>
      <c r="E592" s="43">
        <v>45850</v>
      </c>
      <c r="F592" s="43">
        <v>45964</v>
      </c>
      <c r="G592" s="96" t="s">
        <v>90</v>
      </c>
      <c r="H592" s="96" t="s">
        <v>4001</v>
      </c>
      <c r="I592" s="96" t="s">
        <v>225</v>
      </c>
      <c r="J592" s="96" t="s">
        <v>177</v>
      </c>
      <c r="K592" s="96" t="s">
        <v>233</v>
      </c>
      <c r="L592">
        <v>114</v>
      </c>
      <c r="M592" t="s">
        <v>28</v>
      </c>
      <c r="N592" t="s">
        <v>187</v>
      </c>
      <c r="O592" t="s">
        <v>152</v>
      </c>
      <c r="P592">
        <v>2025</v>
      </c>
    </row>
    <row r="593" spans="1:16" x14ac:dyDescent="0.25">
      <c r="A593" s="96" t="s">
        <v>2</v>
      </c>
      <c r="B593" s="96" t="s">
        <v>317</v>
      </c>
      <c r="C593" s="96" t="s">
        <v>746</v>
      </c>
      <c r="D593" s="96" t="s">
        <v>192</v>
      </c>
      <c r="E593" s="43">
        <v>46111</v>
      </c>
      <c r="F593" s="43">
        <v>46147</v>
      </c>
      <c r="G593" s="96" t="s">
        <v>90</v>
      </c>
      <c r="H593" s="96" t="s">
        <v>4002</v>
      </c>
      <c r="I593" s="96" t="s">
        <v>9</v>
      </c>
      <c r="J593" s="96" t="s">
        <v>98</v>
      </c>
      <c r="K593" s="96" t="s">
        <v>195</v>
      </c>
      <c r="L593">
        <v>36</v>
      </c>
      <c r="M593" t="s">
        <v>24</v>
      </c>
      <c r="N593" t="s">
        <v>35</v>
      </c>
      <c r="O593" t="s">
        <v>170</v>
      </c>
      <c r="P593">
        <v>2026</v>
      </c>
    </row>
    <row r="594" spans="1:16" hidden="1" x14ac:dyDescent="0.25">
      <c r="A594" s="96" t="s">
        <v>21</v>
      </c>
      <c r="B594" s="96" t="s">
        <v>206</v>
      </c>
      <c r="C594" s="96" t="s">
        <v>747</v>
      </c>
      <c r="D594" s="96" t="s">
        <v>14</v>
      </c>
      <c r="E594" s="43">
        <v>45736</v>
      </c>
      <c r="F594" s="43">
        <v>45764</v>
      </c>
      <c r="G594" s="96" t="s">
        <v>92</v>
      </c>
      <c r="H594" s="96" t="s">
        <v>4003</v>
      </c>
      <c r="I594" s="96" t="s">
        <v>209</v>
      </c>
      <c r="J594" s="96" t="s">
        <v>173</v>
      </c>
      <c r="K594" s="96" t="s">
        <v>230</v>
      </c>
      <c r="L594">
        <v>28</v>
      </c>
      <c r="M594" t="s">
        <v>19</v>
      </c>
      <c r="N594" t="s">
        <v>186</v>
      </c>
      <c r="O594" t="s">
        <v>152</v>
      </c>
      <c r="P594">
        <v>2025</v>
      </c>
    </row>
    <row r="595" spans="1:16" hidden="1" x14ac:dyDescent="0.25">
      <c r="A595" s="96" t="s">
        <v>175</v>
      </c>
      <c r="B595" s="96" t="s">
        <v>238</v>
      </c>
      <c r="C595" s="96" t="s">
        <v>748</v>
      </c>
      <c r="D595" s="96" t="s">
        <v>237</v>
      </c>
      <c r="E595" s="43">
        <v>45886</v>
      </c>
      <c r="F595" s="43">
        <v>45941</v>
      </c>
      <c r="G595" s="96" t="s">
        <v>90</v>
      </c>
      <c r="H595" s="96" t="s">
        <v>4004</v>
      </c>
      <c r="I595" s="96" t="s">
        <v>225</v>
      </c>
      <c r="J595" s="96" t="s">
        <v>97</v>
      </c>
      <c r="K595" s="96" t="s">
        <v>200</v>
      </c>
      <c r="L595">
        <v>55</v>
      </c>
      <c r="M595" t="s">
        <v>24</v>
      </c>
      <c r="N595" t="s">
        <v>8</v>
      </c>
      <c r="O595" t="s">
        <v>170</v>
      </c>
      <c r="P595">
        <v>2025</v>
      </c>
    </row>
    <row r="596" spans="1:16" x14ac:dyDescent="0.25">
      <c r="A596" s="96" t="s">
        <v>171</v>
      </c>
      <c r="B596" s="96" t="s">
        <v>374</v>
      </c>
      <c r="C596" s="96" t="s">
        <v>4005</v>
      </c>
      <c r="D596" s="96" t="s">
        <v>192</v>
      </c>
      <c r="E596" s="43">
        <v>46039</v>
      </c>
      <c r="F596" s="43">
        <v>46097</v>
      </c>
      <c r="G596" s="96" t="s">
        <v>92</v>
      </c>
      <c r="H596" s="96" t="s">
        <v>4006</v>
      </c>
      <c r="I596" s="96" t="s">
        <v>157</v>
      </c>
      <c r="J596" s="96" t="s">
        <v>169</v>
      </c>
      <c r="K596" s="96" t="s">
        <v>200</v>
      </c>
      <c r="L596">
        <v>58</v>
      </c>
      <c r="M596" t="s">
        <v>24</v>
      </c>
      <c r="N596" t="s">
        <v>29</v>
      </c>
      <c r="O596" t="s">
        <v>150</v>
      </c>
      <c r="P596">
        <v>2026</v>
      </c>
    </row>
    <row r="597" spans="1:16" hidden="1" x14ac:dyDescent="0.25">
      <c r="A597" s="96" t="s">
        <v>175</v>
      </c>
      <c r="B597" s="96" t="s">
        <v>264</v>
      </c>
      <c r="C597" s="96" t="s">
        <v>749</v>
      </c>
      <c r="D597" s="96" t="s">
        <v>223</v>
      </c>
      <c r="E597" s="43">
        <v>45716</v>
      </c>
      <c r="F597" s="43">
        <v>45740</v>
      </c>
      <c r="G597" s="96" t="s">
        <v>92</v>
      </c>
      <c r="H597" s="96" t="s">
        <v>738</v>
      </c>
      <c r="I597" s="96" t="s">
        <v>204</v>
      </c>
      <c r="J597" s="96" t="s">
        <v>173</v>
      </c>
      <c r="K597" s="96" t="s">
        <v>200</v>
      </c>
      <c r="L597">
        <v>24</v>
      </c>
      <c r="M597" t="s">
        <v>19</v>
      </c>
      <c r="N597" t="s">
        <v>188</v>
      </c>
      <c r="O597" t="s">
        <v>152</v>
      </c>
      <c r="P597">
        <v>2025</v>
      </c>
    </row>
    <row r="598" spans="1:16" hidden="1" x14ac:dyDescent="0.25">
      <c r="A598" s="96" t="s">
        <v>2</v>
      </c>
      <c r="B598" s="96" t="s">
        <v>213</v>
      </c>
      <c r="C598" s="96" t="s">
        <v>750</v>
      </c>
      <c r="D598" s="96" t="s">
        <v>192</v>
      </c>
      <c r="E598" s="43">
        <v>45927</v>
      </c>
      <c r="F598" s="43">
        <v>45955</v>
      </c>
      <c r="G598" s="96" t="s">
        <v>95</v>
      </c>
      <c r="H598" s="96" t="s">
        <v>4007</v>
      </c>
      <c r="I598" s="96" t="s">
        <v>209</v>
      </c>
      <c r="J598" s="96" t="s">
        <v>283</v>
      </c>
      <c r="K598" s="96" t="s">
        <v>217</v>
      </c>
      <c r="L598">
        <v>28</v>
      </c>
      <c r="M598" t="s">
        <v>19</v>
      </c>
      <c r="N598" t="s">
        <v>12</v>
      </c>
      <c r="O598" t="s">
        <v>149</v>
      </c>
      <c r="P598">
        <v>2025</v>
      </c>
    </row>
    <row r="599" spans="1:16" hidden="1" x14ac:dyDescent="0.25">
      <c r="A599" s="96" t="s">
        <v>175</v>
      </c>
      <c r="B599" s="96" t="s">
        <v>322</v>
      </c>
      <c r="C599" s="96" t="s">
        <v>4008</v>
      </c>
      <c r="D599" s="96" t="s">
        <v>14</v>
      </c>
      <c r="E599" s="43">
        <v>45821</v>
      </c>
      <c r="F599" s="43">
        <v>45847</v>
      </c>
      <c r="G599" s="96" t="s">
        <v>92</v>
      </c>
      <c r="H599" s="96" t="s">
        <v>4009</v>
      </c>
      <c r="I599" s="96" t="s">
        <v>9</v>
      </c>
      <c r="J599" s="96" t="s">
        <v>93</v>
      </c>
      <c r="K599" s="96" t="s">
        <v>210</v>
      </c>
      <c r="L599">
        <v>26</v>
      </c>
      <c r="M599" t="s">
        <v>19</v>
      </c>
      <c r="N599" t="s">
        <v>184</v>
      </c>
      <c r="O599" t="s">
        <v>150</v>
      </c>
      <c r="P599">
        <v>2025</v>
      </c>
    </row>
    <row r="600" spans="1:16" hidden="1" x14ac:dyDescent="0.25">
      <c r="A600" s="96" t="s">
        <v>2</v>
      </c>
      <c r="B600" s="96" t="s">
        <v>322</v>
      </c>
      <c r="C600" s="96" t="s">
        <v>751</v>
      </c>
      <c r="D600" s="96" t="s">
        <v>208</v>
      </c>
      <c r="E600" s="43">
        <v>45960</v>
      </c>
      <c r="F600" s="43">
        <v>46010</v>
      </c>
      <c r="G600" s="96" t="s">
        <v>90</v>
      </c>
      <c r="H600" s="96" t="s">
        <v>4010</v>
      </c>
      <c r="I600" s="96" t="s">
        <v>204</v>
      </c>
      <c r="J600" s="96" t="s">
        <v>173</v>
      </c>
      <c r="K600" s="96" t="s">
        <v>217</v>
      </c>
      <c r="L600">
        <v>50</v>
      </c>
      <c r="M600" t="s">
        <v>24</v>
      </c>
      <c r="N600" t="s">
        <v>16</v>
      </c>
      <c r="O600" t="s">
        <v>150</v>
      </c>
      <c r="P600">
        <v>2025</v>
      </c>
    </row>
    <row r="601" spans="1:16" hidden="1" x14ac:dyDescent="0.25">
      <c r="A601" s="96" t="s">
        <v>2</v>
      </c>
      <c r="B601" s="96" t="s">
        <v>213</v>
      </c>
      <c r="C601" s="96" t="s">
        <v>753</v>
      </c>
      <c r="D601" s="96" t="s">
        <v>208</v>
      </c>
      <c r="E601" s="43">
        <v>45835</v>
      </c>
      <c r="F601" s="43">
        <v>45887</v>
      </c>
      <c r="G601" s="96" t="s">
        <v>92</v>
      </c>
      <c r="H601" s="96" t="s">
        <v>4011</v>
      </c>
      <c r="I601" s="96" t="s">
        <v>157</v>
      </c>
      <c r="J601" s="96" t="s">
        <v>199</v>
      </c>
      <c r="K601" s="96" t="s">
        <v>200</v>
      </c>
      <c r="L601">
        <v>52</v>
      </c>
      <c r="M601" t="s">
        <v>24</v>
      </c>
      <c r="N601" t="s">
        <v>184</v>
      </c>
      <c r="O601" t="s">
        <v>149</v>
      </c>
      <c r="P601">
        <v>2025</v>
      </c>
    </row>
    <row r="602" spans="1:16" x14ac:dyDescent="0.25">
      <c r="A602" s="96" t="s">
        <v>175</v>
      </c>
      <c r="B602" s="96" t="s">
        <v>374</v>
      </c>
      <c r="C602" s="96" t="s">
        <v>4012</v>
      </c>
      <c r="D602" s="96" t="s">
        <v>215</v>
      </c>
      <c r="E602" s="43">
        <v>46049</v>
      </c>
      <c r="F602" s="43">
        <v>46053</v>
      </c>
      <c r="G602" s="96" t="s">
        <v>92</v>
      </c>
      <c r="H602" s="96" t="s">
        <v>4013</v>
      </c>
      <c r="I602" s="96" t="s">
        <v>225</v>
      </c>
      <c r="J602" s="96" t="s">
        <v>165</v>
      </c>
      <c r="K602" s="96" t="s">
        <v>205</v>
      </c>
      <c r="L602">
        <v>4</v>
      </c>
      <c r="M602" t="s">
        <v>11</v>
      </c>
      <c r="N602" t="s">
        <v>29</v>
      </c>
      <c r="O602" t="s">
        <v>150</v>
      </c>
      <c r="P602">
        <v>2026</v>
      </c>
    </row>
    <row r="603" spans="1:16" hidden="1" x14ac:dyDescent="0.25">
      <c r="A603" s="96" t="s">
        <v>189</v>
      </c>
      <c r="B603" s="96" t="s">
        <v>221</v>
      </c>
      <c r="C603" s="96" t="s">
        <v>4014</v>
      </c>
      <c r="D603" s="96" t="s">
        <v>14</v>
      </c>
      <c r="E603" s="43">
        <v>45846</v>
      </c>
      <c r="F603" s="43">
        <v>45951</v>
      </c>
      <c r="G603" s="96" t="s">
        <v>90</v>
      </c>
      <c r="H603" s="96" t="s">
        <v>4015</v>
      </c>
      <c r="I603" s="96" t="s">
        <v>9</v>
      </c>
      <c r="J603" s="96" t="s">
        <v>96</v>
      </c>
      <c r="K603" s="96" t="s">
        <v>233</v>
      </c>
      <c r="L603">
        <v>105</v>
      </c>
      <c r="M603" t="s">
        <v>28</v>
      </c>
      <c r="N603" t="s">
        <v>187</v>
      </c>
      <c r="O603" t="s">
        <v>170</v>
      </c>
      <c r="P603">
        <v>2025</v>
      </c>
    </row>
    <row r="604" spans="1:16" x14ac:dyDescent="0.25">
      <c r="A604" s="96" t="s">
        <v>2</v>
      </c>
      <c r="B604" s="96" t="s">
        <v>305</v>
      </c>
      <c r="C604" s="96" t="s">
        <v>4016</v>
      </c>
      <c r="D604" s="96" t="s">
        <v>208</v>
      </c>
      <c r="E604" s="43">
        <v>46128</v>
      </c>
      <c r="F604" s="43">
        <v>46148</v>
      </c>
      <c r="G604" s="96" t="s">
        <v>90</v>
      </c>
      <c r="H604" s="96" t="s">
        <v>4017</v>
      </c>
      <c r="I604" s="96" t="s">
        <v>225</v>
      </c>
      <c r="J604" s="96" t="s">
        <v>165</v>
      </c>
      <c r="K604" s="96" t="s">
        <v>230</v>
      </c>
      <c r="L604">
        <v>20</v>
      </c>
      <c r="M604" t="s">
        <v>19</v>
      </c>
      <c r="N604" t="s">
        <v>37</v>
      </c>
      <c r="O604" t="s">
        <v>170</v>
      </c>
      <c r="P604">
        <v>2026</v>
      </c>
    </row>
    <row r="605" spans="1:16" x14ac:dyDescent="0.25">
      <c r="A605" s="96" t="s">
        <v>2</v>
      </c>
      <c r="B605" s="96" t="s">
        <v>288</v>
      </c>
      <c r="C605" s="96" t="s">
        <v>755</v>
      </c>
      <c r="D605" s="96" t="s">
        <v>14</v>
      </c>
      <c r="E605" s="43">
        <v>46044</v>
      </c>
      <c r="F605" s="43">
        <v>46090</v>
      </c>
      <c r="G605" s="96" t="s">
        <v>90</v>
      </c>
      <c r="H605" s="96" t="s">
        <v>4018</v>
      </c>
      <c r="I605" s="96" t="s">
        <v>194</v>
      </c>
      <c r="J605" s="96" t="s">
        <v>177</v>
      </c>
      <c r="K605" s="96" t="s">
        <v>205</v>
      </c>
      <c r="L605">
        <v>46</v>
      </c>
      <c r="M605" t="s">
        <v>24</v>
      </c>
      <c r="N605" t="s">
        <v>29</v>
      </c>
      <c r="O605" t="s">
        <v>170</v>
      </c>
      <c r="P605">
        <v>2026</v>
      </c>
    </row>
    <row r="606" spans="1:16" hidden="1" x14ac:dyDescent="0.25">
      <c r="A606" s="96" t="s">
        <v>21</v>
      </c>
      <c r="B606" s="96" t="s">
        <v>221</v>
      </c>
      <c r="C606" s="96" t="s">
        <v>756</v>
      </c>
      <c r="D606" s="96" t="s">
        <v>208</v>
      </c>
      <c r="E606" s="43">
        <v>45993</v>
      </c>
      <c r="F606" s="43">
        <v>46013</v>
      </c>
      <c r="G606" s="96" t="s">
        <v>92</v>
      </c>
      <c r="H606" s="96" t="s">
        <v>4019</v>
      </c>
      <c r="I606" s="96" t="s">
        <v>157</v>
      </c>
      <c r="J606" s="96" t="s">
        <v>169</v>
      </c>
      <c r="K606" s="96" t="s">
        <v>205</v>
      </c>
      <c r="L606">
        <v>20</v>
      </c>
      <c r="M606" t="s">
        <v>19</v>
      </c>
      <c r="N606" t="s">
        <v>25</v>
      </c>
      <c r="O606" t="s">
        <v>170</v>
      </c>
      <c r="P606">
        <v>2025</v>
      </c>
    </row>
    <row r="607" spans="1:16" x14ac:dyDescent="0.25">
      <c r="A607" s="96" t="s">
        <v>2</v>
      </c>
      <c r="B607" s="96" t="s">
        <v>196</v>
      </c>
      <c r="C607" s="96" t="s">
        <v>4020</v>
      </c>
      <c r="D607" s="96" t="s">
        <v>34</v>
      </c>
      <c r="E607" s="43">
        <v>46071</v>
      </c>
      <c r="F607" s="43">
        <v>46080</v>
      </c>
      <c r="G607" s="96" t="s">
        <v>92</v>
      </c>
      <c r="H607" s="96" t="s">
        <v>4021</v>
      </c>
      <c r="I607" s="96" t="s">
        <v>194</v>
      </c>
      <c r="J607" s="96" t="s">
        <v>199</v>
      </c>
      <c r="K607" s="96" t="s">
        <v>233</v>
      </c>
      <c r="L607">
        <v>9</v>
      </c>
      <c r="M607" t="s">
        <v>15</v>
      </c>
      <c r="N607" t="s">
        <v>32</v>
      </c>
      <c r="O607" t="s">
        <v>152</v>
      </c>
      <c r="P607">
        <v>2026</v>
      </c>
    </row>
    <row r="608" spans="1:16" hidden="1" x14ac:dyDescent="0.25">
      <c r="A608" s="96" t="s">
        <v>2</v>
      </c>
      <c r="B608" s="96" t="s">
        <v>280</v>
      </c>
      <c r="C608" s="96" t="s">
        <v>757</v>
      </c>
      <c r="D608" s="96" t="s">
        <v>14</v>
      </c>
      <c r="E608" s="43">
        <v>45735</v>
      </c>
      <c r="F608" s="43">
        <v>45786</v>
      </c>
      <c r="G608" s="96" t="s">
        <v>92</v>
      </c>
      <c r="H608" s="96" t="s">
        <v>4022</v>
      </c>
      <c r="I608" s="96" t="s">
        <v>9</v>
      </c>
      <c r="J608" s="96" t="s">
        <v>176</v>
      </c>
      <c r="K608" s="96" t="s">
        <v>217</v>
      </c>
      <c r="L608">
        <v>51</v>
      </c>
      <c r="M608" t="s">
        <v>24</v>
      </c>
      <c r="N608" t="s">
        <v>186</v>
      </c>
      <c r="O608" t="s">
        <v>170</v>
      </c>
      <c r="P608">
        <v>2025</v>
      </c>
    </row>
    <row r="609" spans="1:16" hidden="1" x14ac:dyDescent="0.25">
      <c r="A609" s="96" t="s">
        <v>2</v>
      </c>
      <c r="B609" s="96" t="s">
        <v>264</v>
      </c>
      <c r="C609" s="96" t="s">
        <v>759</v>
      </c>
      <c r="D609" s="96" t="s">
        <v>192</v>
      </c>
      <c r="E609" s="43">
        <v>45770</v>
      </c>
      <c r="F609" s="43">
        <v>45864</v>
      </c>
      <c r="G609" s="96" t="s">
        <v>90</v>
      </c>
      <c r="H609" s="96" t="s">
        <v>4023</v>
      </c>
      <c r="I609" s="96" t="s">
        <v>204</v>
      </c>
      <c r="J609" s="96" t="s">
        <v>172</v>
      </c>
      <c r="K609" s="96" t="s">
        <v>233</v>
      </c>
      <c r="L609">
        <v>94</v>
      </c>
      <c r="M609" t="s">
        <v>28</v>
      </c>
      <c r="N609" t="s">
        <v>185</v>
      </c>
      <c r="O609" t="s">
        <v>152</v>
      </c>
      <c r="P609">
        <v>2025</v>
      </c>
    </row>
    <row r="610" spans="1:16" x14ac:dyDescent="0.25">
      <c r="A610" s="96" t="s">
        <v>2</v>
      </c>
      <c r="B610" s="96" t="s">
        <v>261</v>
      </c>
      <c r="C610" s="96" t="s">
        <v>4024</v>
      </c>
      <c r="D610" s="96" t="s">
        <v>34</v>
      </c>
      <c r="E610" s="43">
        <v>46059</v>
      </c>
      <c r="F610" s="43">
        <v>46061</v>
      </c>
      <c r="G610" s="96" t="s">
        <v>92</v>
      </c>
      <c r="H610" s="96" t="s">
        <v>4025</v>
      </c>
      <c r="I610" s="96" t="s">
        <v>209</v>
      </c>
      <c r="J610" s="96" t="s">
        <v>172</v>
      </c>
      <c r="K610" s="96" t="s">
        <v>200</v>
      </c>
      <c r="L610">
        <v>2</v>
      </c>
      <c r="M610" t="s">
        <v>11</v>
      </c>
      <c r="N610" t="s">
        <v>32</v>
      </c>
      <c r="O610" t="s">
        <v>151</v>
      </c>
      <c r="P610">
        <v>2026</v>
      </c>
    </row>
    <row r="611" spans="1:16" x14ac:dyDescent="0.25">
      <c r="A611" s="96" t="s">
        <v>2</v>
      </c>
      <c r="B611" s="96" t="s">
        <v>302</v>
      </c>
      <c r="C611" s="96" t="s">
        <v>4026</v>
      </c>
      <c r="D611" s="96" t="s">
        <v>215</v>
      </c>
      <c r="E611" s="43">
        <v>46023</v>
      </c>
      <c r="F611" s="43">
        <v>46086</v>
      </c>
      <c r="G611" s="96" t="s">
        <v>90</v>
      </c>
      <c r="H611" s="96" t="s">
        <v>4027</v>
      </c>
      <c r="I611" s="96" t="s">
        <v>228</v>
      </c>
      <c r="J611" s="96" t="s">
        <v>169</v>
      </c>
      <c r="K611" s="96" t="s">
        <v>210</v>
      </c>
      <c r="L611">
        <v>63</v>
      </c>
      <c r="M611" t="s">
        <v>28</v>
      </c>
      <c r="N611" t="s">
        <v>29</v>
      </c>
      <c r="O611" t="s">
        <v>150</v>
      </c>
      <c r="P611">
        <v>2026</v>
      </c>
    </row>
    <row r="612" spans="1:16" x14ac:dyDescent="0.25">
      <c r="A612" s="96" t="s">
        <v>2</v>
      </c>
      <c r="B612" s="96" t="s">
        <v>269</v>
      </c>
      <c r="C612" s="96" t="s">
        <v>761</v>
      </c>
      <c r="D612" s="96" t="s">
        <v>208</v>
      </c>
      <c r="E612" s="43">
        <v>46047</v>
      </c>
      <c r="F612" s="43">
        <v>46060</v>
      </c>
      <c r="G612" s="96" t="s">
        <v>92</v>
      </c>
      <c r="H612" s="96" t="s">
        <v>4028</v>
      </c>
      <c r="I612" s="96" t="s">
        <v>204</v>
      </c>
      <c r="J612" s="96" t="s">
        <v>97</v>
      </c>
      <c r="K612" s="96" t="s">
        <v>246</v>
      </c>
      <c r="L612">
        <v>13</v>
      </c>
      <c r="M612" t="s">
        <v>15</v>
      </c>
      <c r="N612" t="s">
        <v>29</v>
      </c>
      <c r="O612" t="s">
        <v>152</v>
      </c>
      <c r="P612">
        <v>2026</v>
      </c>
    </row>
    <row r="613" spans="1:16" x14ac:dyDescent="0.25">
      <c r="A613" s="96" t="s">
        <v>2</v>
      </c>
      <c r="B613" s="96" t="s">
        <v>269</v>
      </c>
      <c r="C613" s="96" t="s">
        <v>4029</v>
      </c>
      <c r="D613" s="96" t="s">
        <v>34</v>
      </c>
      <c r="E613" s="43">
        <v>46119</v>
      </c>
      <c r="F613" s="43">
        <v>46151</v>
      </c>
      <c r="G613" s="96" t="s">
        <v>90</v>
      </c>
      <c r="H613" s="96" t="s">
        <v>4030</v>
      </c>
      <c r="I613" s="96" t="s">
        <v>204</v>
      </c>
      <c r="J613" s="96" t="s">
        <v>97</v>
      </c>
      <c r="K613" s="96" t="s">
        <v>200</v>
      </c>
      <c r="L613">
        <v>32</v>
      </c>
      <c r="M613" t="s">
        <v>24</v>
      </c>
      <c r="N613" t="s">
        <v>37</v>
      </c>
      <c r="O613" t="s">
        <v>152</v>
      </c>
      <c r="P613">
        <v>2026</v>
      </c>
    </row>
    <row r="614" spans="1:16" hidden="1" x14ac:dyDescent="0.25">
      <c r="A614" s="96" t="s">
        <v>2</v>
      </c>
      <c r="B614" s="96" t="s">
        <v>206</v>
      </c>
      <c r="C614" s="96" t="s">
        <v>763</v>
      </c>
      <c r="D614" s="96" t="s">
        <v>237</v>
      </c>
      <c r="E614" s="43">
        <v>45871</v>
      </c>
      <c r="F614" s="43">
        <v>45907</v>
      </c>
      <c r="G614" s="96" t="s">
        <v>92</v>
      </c>
      <c r="H614" s="96" t="s">
        <v>4031</v>
      </c>
      <c r="I614" s="96" t="s">
        <v>157</v>
      </c>
      <c r="J614" s="96" t="s">
        <v>93</v>
      </c>
      <c r="K614" s="96" t="s">
        <v>200</v>
      </c>
      <c r="L614">
        <v>36</v>
      </c>
      <c r="M614" t="s">
        <v>24</v>
      </c>
      <c r="N614" t="s">
        <v>8</v>
      </c>
      <c r="O614" t="s">
        <v>152</v>
      </c>
      <c r="P614">
        <v>2025</v>
      </c>
    </row>
    <row r="615" spans="1:16" x14ac:dyDescent="0.25">
      <c r="A615" s="96" t="s">
        <v>2</v>
      </c>
      <c r="B615" s="96" t="s">
        <v>305</v>
      </c>
      <c r="C615" s="96" t="s">
        <v>764</v>
      </c>
      <c r="D615" s="96" t="s">
        <v>40</v>
      </c>
      <c r="E615" s="43">
        <v>46026</v>
      </c>
      <c r="F615" s="43">
        <v>46085</v>
      </c>
      <c r="G615" s="96" t="s">
        <v>92</v>
      </c>
      <c r="H615" s="96" t="s">
        <v>4032</v>
      </c>
      <c r="I615" s="96" t="s">
        <v>9</v>
      </c>
      <c r="J615" s="96" t="s">
        <v>283</v>
      </c>
      <c r="K615" s="96" t="s">
        <v>200</v>
      </c>
      <c r="L615">
        <v>59</v>
      </c>
      <c r="M615" t="s">
        <v>24</v>
      </c>
      <c r="N615" t="s">
        <v>29</v>
      </c>
      <c r="O615" t="s">
        <v>170</v>
      </c>
      <c r="P615">
        <v>2026</v>
      </c>
    </row>
    <row r="616" spans="1:16" hidden="1" x14ac:dyDescent="0.25">
      <c r="A616" s="96" t="s">
        <v>2</v>
      </c>
      <c r="B616" s="96" t="s">
        <v>206</v>
      </c>
      <c r="C616" s="96" t="s">
        <v>765</v>
      </c>
      <c r="D616" s="96" t="s">
        <v>14</v>
      </c>
      <c r="E616" s="43">
        <v>45658</v>
      </c>
      <c r="F616" s="43">
        <v>45665</v>
      </c>
      <c r="G616" s="96" t="s">
        <v>92</v>
      </c>
      <c r="H616" s="96" t="s">
        <v>4033</v>
      </c>
      <c r="I616" s="96" t="s">
        <v>209</v>
      </c>
      <c r="J616" s="96" t="s">
        <v>168</v>
      </c>
      <c r="K616" s="96" t="s">
        <v>210</v>
      </c>
      <c r="L616">
        <v>7</v>
      </c>
      <c r="M616" t="s">
        <v>11</v>
      </c>
      <c r="N616" t="s">
        <v>181</v>
      </c>
      <c r="O616" t="s">
        <v>152</v>
      </c>
      <c r="P616">
        <v>2025</v>
      </c>
    </row>
    <row r="617" spans="1:16" x14ac:dyDescent="0.25">
      <c r="A617" s="96" t="s">
        <v>2</v>
      </c>
      <c r="B617" s="96" t="s">
        <v>317</v>
      </c>
      <c r="C617" s="96" t="s">
        <v>4034</v>
      </c>
      <c r="D617" s="96" t="s">
        <v>237</v>
      </c>
      <c r="E617" s="43">
        <v>46073</v>
      </c>
      <c r="F617" s="43">
        <v>46129</v>
      </c>
      <c r="G617" s="96" t="s">
        <v>92</v>
      </c>
      <c r="H617" s="96" t="s">
        <v>4035</v>
      </c>
      <c r="I617" s="96" t="s">
        <v>194</v>
      </c>
      <c r="J617" s="96" t="s">
        <v>176</v>
      </c>
      <c r="K617" s="96" t="s">
        <v>233</v>
      </c>
      <c r="L617">
        <v>56</v>
      </c>
      <c r="M617" t="s">
        <v>24</v>
      </c>
      <c r="N617" t="s">
        <v>32</v>
      </c>
      <c r="O617" t="s">
        <v>170</v>
      </c>
      <c r="P617">
        <v>2026</v>
      </c>
    </row>
    <row r="618" spans="1:16" x14ac:dyDescent="0.25">
      <c r="A618" s="96" t="s">
        <v>2</v>
      </c>
      <c r="B618" s="96" t="s">
        <v>302</v>
      </c>
      <c r="C618" s="96" t="s">
        <v>4036</v>
      </c>
      <c r="D618" s="96" t="s">
        <v>215</v>
      </c>
      <c r="E618" s="43">
        <v>46100</v>
      </c>
      <c r="F618" s="43">
        <v>46149</v>
      </c>
      <c r="G618" s="96" t="s">
        <v>92</v>
      </c>
      <c r="H618" s="96" t="s">
        <v>4037</v>
      </c>
      <c r="I618" s="96" t="s">
        <v>204</v>
      </c>
      <c r="J618" s="96" t="s">
        <v>173</v>
      </c>
      <c r="K618" s="96" t="s">
        <v>217</v>
      </c>
      <c r="L618">
        <v>49</v>
      </c>
      <c r="M618" t="s">
        <v>24</v>
      </c>
      <c r="N618" t="s">
        <v>35</v>
      </c>
      <c r="O618" t="s">
        <v>150</v>
      </c>
      <c r="P618">
        <v>2026</v>
      </c>
    </row>
    <row r="619" spans="1:16" hidden="1" x14ac:dyDescent="0.25">
      <c r="A619" s="96" t="s">
        <v>2</v>
      </c>
      <c r="B619" s="96" t="s">
        <v>213</v>
      </c>
      <c r="C619" s="96" t="s">
        <v>4038</v>
      </c>
      <c r="D619" s="96" t="s">
        <v>237</v>
      </c>
      <c r="E619" s="43">
        <v>45812</v>
      </c>
      <c r="F619" s="43">
        <v>45852</v>
      </c>
      <c r="G619" s="96" t="s">
        <v>90</v>
      </c>
      <c r="H619" s="96" t="s">
        <v>4039</v>
      </c>
      <c r="I619" s="96" t="s">
        <v>157</v>
      </c>
      <c r="J619" s="96" t="s">
        <v>283</v>
      </c>
      <c r="K619" s="96" t="s">
        <v>233</v>
      </c>
      <c r="L619">
        <v>40</v>
      </c>
      <c r="M619" t="s">
        <v>24</v>
      </c>
      <c r="N619" t="s">
        <v>184</v>
      </c>
      <c r="O619" t="s">
        <v>149</v>
      </c>
      <c r="P619">
        <v>2025</v>
      </c>
    </row>
    <row r="620" spans="1:16" hidden="1" x14ac:dyDescent="0.25">
      <c r="A620" s="96" t="s">
        <v>2</v>
      </c>
      <c r="B620" s="96" t="s">
        <v>257</v>
      </c>
      <c r="C620" s="96" t="s">
        <v>766</v>
      </c>
      <c r="D620" s="96" t="s">
        <v>192</v>
      </c>
      <c r="E620" s="43">
        <v>45944</v>
      </c>
      <c r="F620" s="43">
        <v>45948</v>
      </c>
      <c r="G620" s="96" t="s">
        <v>92</v>
      </c>
      <c r="H620" s="96" t="s">
        <v>4040</v>
      </c>
      <c r="I620" s="96" t="s">
        <v>228</v>
      </c>
      <c r="J620" s="96" t="s">
        <v>97</v>
      </c>
      <c r="K620" s="96" t="s">
        <v>210</v>
      </c>
      <c r="L620">
        <v>4</v>
      </c>
      <c r="M620" t="s">
        <v>11</v>
      </c>
      <c r="N620" t="s">
        <v>16</v>
      </c>
      <c r="O620" t="s">
        <v>151</v>
      </c>
      <c r="P620">
        <v>2025</v>
      </c>
    </row>
    <row r="621" spans="1:16" hidden="1" x14ac:dyDescent="0.25">
      <c r="A621" s="96" t="s">
        <v>2</v>
      </c>
      <c r="B621" s="96" t="s">
        <v>206</v>
      </c>
      <c r="C621" s="96" t="s">
        <v>4041</v>
      </c>
      <c r="D621" s="96" t="s">
        <v>208</v>
      </c>
      <c r="E621" s="43">
        <v>45947</v>
      </c>
      <c r="F621" s="43">
        <v>46060</v>
      </c>
      <c r="G621" s="96" t="s">
        <v>92</v>
      </c>
      <c r="H621" s="96" t="s">
        <v>4042</v>
      </c>
      <c r="I621" s="96" t="s">
        <v>157</v>
      </c>
      <c r="J621" s="96" t="s">
        <v>169</v>
      </c>
      <c r="K621" s="96" t="s">
        <v>246</v>
      </c>
      <c r="L621">
        <v>113</v>
      </c>
      <c r="M621" t="s">
        <v>28</v>
      </c>
      <c r="N621" t="s">
        <v>16</v>
      </c>
      <c r="O621" t="s">
        <v>152</v>
      </c>
      <c r="P621">
        <v>2025</v>
      </c>
    </row>
    <row r="622" spans="1:16" x14ac:dyDescent="0.25">
      <c r="A622" s="96" t="s">
        <v>2</v>
      </c>
      <c r="B622" s="96" t="s">
        <v>269</v>
      </c>
      <c r="C622" s="96" t="s">
        <v>4043</v>
      </c>
      <c r="D622" s="96" t="s">
        <v>223</v>
      </c>
      <c r="E622" s="43">
        <v>46044</v>
      </c>
      <c r="F622" s="43">
        <v>46052</v>
      </c>
      <c r="G622" s="96" t="s">
        <v>92</v>
      </c>
      <c r="H622" s="96" t="s">
        <v>4044</v>
      </c>
      <c r="I622" s="96" t="s">
        <v>157</v>
      </c>
      <c r="J622" s="96" t="s">
        <v>177</v>
      </c>
      <c r="K622" s="96" t="s">
        <v>233</v>
      </c>
      <c r="L622">
        <v>8</v>
      </c>
      <c r="M622" t="s">
        <v>15</v>
      </c>
      <c r="N622" t="s">
        <v>29</v>
      </c>
      <c r="O622" t="s">
        <v>152</v>
      </c>
      <c r="P622">
        <v>2026</v>
      </c>
    </row>
    <row r="623" spans="1:16" hidden="1" x14ac:dyDescent="0.25">
      <c r="A623" s="96" t="s">
        <v>2</v>
      </c>
      <c r="B623" s="96" t="s">
        <v>211</v>
      </c>
      <c r="C623" s="96" t="s">
        <v>4045</v>
      </c>
      <c r="D623" s="96" t="s">
        <v>215</v>
      </c>
      <c r="E623" s="43">
        <v>46003</v>
      </c>
      <c r="F623" s="43">
        <v>46069</v>
      </c>
      <c r="G623" s="96" t="s">
        <v>92</v>
      </c>
      <c r="H623" s="96" t="s">
        <v>752</v>
      </c>
      <c r="I623" s="96" t="s">
        <v>209</v>
      </c>
      <c r="J623" s="96" t="s">
        <v>173</v>
      </c>
      <c r="K623" s="96" t="s">
        <v>230</v>
      </c>
      <c r="L623">
        <v>66</v>
      </c>
      <c r="M623" t="s">
        <v>28</v>
      </c>
      <c r="N623" t="s">
        <v>25</v>
      </c>
      <c r="O623" t="s">
        <v>170</v>
      </c>
      <c r="P623">
        <v>2025</v>
      </c>
    </row>
    <row r="624" spans="1:16" hidden="1" x14ac:dyDescent="0.25">
      <c r="A624" s="96" t="s">
        <v>2</v>
      </c>
      <c r="B624" s="96" t="s">
        <v>257</v>
      </c>
      <c r="C624" s="96" t="s">
        <v>767</v>
      </c>
      <c r="D624" s="96" t="s">
        <v>203</v>
      </c>
      <c r="E624" s="43">
        <v>45661</v>
      </c>
      <c r="F624" s="43">
        <v>45765</v>
      </c>
      <c r="G624" s="96" t="s">
        <v>92</v>
      </c>
      <c r="H624" s="96" t="s">
        <v>754</v>
      </c>
      <c r="I624" s="96" t="s">
        <v>9</v>
      </c>
      <c r="J624" s="96" t="s">
        <v>94</v>
      </c>
      <c r="K624" s="96" t="s">
        <v>205</v>
      </c>
      <c r="L624">
        <v>104</v>
      </c>
      <c r="M624" t="s">
        <v>28</v>
      </c>
      <c r="N624" t="s">
        <v>181</v>
      </c>
      <c r="O624" t="s">
        <v>151</v>
      </c>
      <c r="P624">
        <v>2025</v>
      </c>
    </row>
    <row r="625" spans="1:16" hidden="1" x14ac:dyDescent="0.25">
      <c r="A625" s="96" t="s">
        <v>2</v>
      </c>
      <c r="B625" s="96" t="s">
        <v>213</v>
      </c>
      <c r="C625" s="96" t="s">
        <v>768</v>
      </c>
      <c r="D625" s="96" t="s">
        <v>10</v>
      </c>
      <c r="E625" s="43">
        <v>45875</v>
      </c>
      <c r="F625" s="43">
        <v>45894</v>
      </c>
      <c r="G625" s="96" t="s">
        <v>92</v>
      </c>
      <c r="H625" s="96" t="s">
        <v>4046</v>
      </c>
      <c r="I625" s="96" t="s">
        <v>209</v>
      </c>
      <c r="J625" s="96" t="s">
        <v>93</v>
      </c>
      <c r="K625" s="96" t="s">
        <v>195</v>
      </c>
      <c r="L625">
        <v>19</v>
      </c>
      <c r="M625" t="s">
        <v>19</v>
      </c>
      <c r="N625" t="s">
        <v>8</v>
      </c>
      <c r="O625" t="s">
        <v>149</v>
      </c>
      <c r="P625">
        <v>2025</v>
      </c>
    </row>
    <row r="626" spans="1:16" x14ac:dyDescent="0.25">
      <c r="A626" s="96" t="s">
        <v>2</v>
      </c>
      <c r="B626" s="96" t="s">
        <v>261</v>
      </c>
      <c r="C626" s="96" t="s">
        <v>770</v>
      </c>
      <c r="D626" s="96" t="s">
        <v>203</v>
      </c>
      <c r="E626" s="43">
        <v>46113</v>
      </c>
      <c r="F626" s="43">
        <v>46131</v>
      </c>
      <c r="G626" s="96" t="s">
        <v>95</v>
      </c>
      <c r="H626" s="96" t="s">
        <v>4047</v>
      </c>
      <c r="I626" s="96" t="s">
        <v>225</v>
      </c>
      <c r="J626" s="96" t="s">
        <v>97</v>
      </c>
      <c r="K626" s="96" t="s">
        <v>157</v>
      </c>
      <c r="L626">
        <v>18</v>
      </c>
      <c r="M626" t="s">
        <v>19</v>
      </c>
      <c r="N626" t="s">
        <v>37</v>
      </c>
      <c r="O626" t="s">
        <v>151</v>
      </c>
      <c r="P626">
        <v>2026</v>
      </c>
    </row>
    <row r="627" spans="1:16" hidden="1" x14ac:dyDescent="0.25">
      <c r="A627" s="96" t="s">
        <v>2</v>
      </c>
      <c r="B627" s="96" t="s">
        <v>255</v>
      </c>
      <c r="C627" s="96" t="s">
        <v>772</v>
      </c>
      <c r="D627" s="96" t="s">
        <v>40</v>
      </c>
      <c r="E627" s="43">
        <v>45690</v>
      </c>
      <c r="F627" s="43">
        <v>45713</v>
      </c>
      <c r="G627" s="96" t="s">
        <v>92</v>
      </c>
      <c r="H627" s="96" t="s">
        <v>4048</v>
      </c>
      <c r="I627" s="96" t="s">
        <v>157</v>
      </c>
      <c r="J627" s="96" t="s">
        <v>96</v>
      </c>
      <c r="K627" s="96" t="s">
        <v>217</v>
      </c>
      <c r="L627">
        <v>23</v>
      </c>
      <c r="M627" t="s">
        <v>19</v>
      </c>
      <c r="N627" t="s">
        <v>188</v>
      </c>
      <c r="O627" t="s">
        <v>150</v>
      </c>
      <c r="P627">
        <v>2025</v>
      </c>
    </row>
    <row r="628" spans="1:16" hidden="1" x14ac:dyDescent="0.25">
      <c r="A628" s="96" t="s">
        <v>2</v>
      </c>
      <c r="B628" s="96" t="s">
        <v>280</v>
      </c>
      <c r="C628" s="96" t="s">
        <v>4049</v>
      </c>
      <c r="D628" s="96" t="s">
        <v>215</v>
      </c>
      <c r="E628" s="43">
        <v>45955</v>
      </c>
      <c r="F628" s="43">
        <v>46000</v>
      </c>
      <c r="G628" s="96" t="s">
        <v>92</v>
      </c>
      <c r="H628" s="96" t="s">
        <v>4050</v>
      </c>
      <c r="I628" s="96" t="s">
        <v>9</v>
      </c>
      <c r="J628" s="96" t="s">
        <v>199</v>
      </c>
      <c r="K628" s="96" t="s">
        <v>246</v>
      </c>
      <c r="L628">
        <v>45</v>
      </c>
      <c r="M628" t="s">
        <v>24</v>
      </c>
      <c r="N628" t="s">
        <v>16</v>
      </c>
      <c r="O628" t="s">
        <v>170</v>
      </c>
      <c r="P628">
        <v>2025</v>
      </c>
    </row>
    <row r="629" spans="1:16" x14ac:dyDescent="0.25">
      <c r="A629" s="96" t="s">
        <v>21</v>
      </c>
      <c r="B629" s="96" t="s">
        <v>374</v>
      </c>
      <c r="C629" s="96" t="s">
        <v>4051</v>
      </c>
      <c r="D629" s="96" t="s">
        <v>14</v>
      </c>
      <c r="E629" s="43">
        <v>46144</v>
      </c>
      <c r="F629" s="43">
        <v>46150</v>
      </c>
      <c r="G629" s="96" t="s">
        <v>92</v>
      </c>
      <c r="H629" s="96" t="s">
        <v>4052</v>
      </c>
      <c r="I629" s="96" t="s">
        <v>9</v>
      </c>
      <c r="J629" s="96" t="s">
        <v>168</v>
      </c>
      <c r="K629" s="96" t="s">
        <v>233</v>
      </c>
      <c r="L629">
        <v>6</v>
      </c>
      <c r="M629" t="s">
        <v>11</v>
      </c>
      <c r="N629" t="s">
        <v>183</v>
      </c>
      <c r="O629" t="s">
        <v>150</v>
      </c>
      <c r="P629">
        <v>2026</v>
      </c>
    </row>
    <row r="630" spans="1:16" x14ac:dyDescent="0.25">
      <c r="A630" s="96" t="s">
        <v>2</v>
      </c>
      <c r="B630" s="96" t="s">
        <v>317</v>
      </c>
      <c r="C630" s="96" t="s">
        <v>775</v>
      </c>
      <c r="D630" s="96" t="s">
        <v>34</v>
      </c>
      <c r="E630" s="43">
        <v>46072</v>
      </c>
      <c r="F630" s="43">
        <v>46084</v>
      </c>
      <c r="G630" s="96" t="s">
        <v>90</v>
      </c>
      <c r="H630" s="96" t="s">
        <v>4053</v>
      </c>
      <c r="I630" s="96" t="s">
        <v>9</v>
      </c>
      <c r="J630" s="96" t="s">
        <v>97</v>
      </c>
      <c r="K630" s="96" t="s">
        <v>217</v>
      </c>
      <c r="L630">
        <v>12</v>
      </c>
      <c r="M630" t="s">
        <v>15</v>
      </c>
      <c r="N630" t="s">
        <v>32</v>
      </c>
      <c r="O630" t="s">
        <v>170</v>
      </c>
      <c r="P630">
        <v>2026</v>
      </c>
    </row>
    <row r="631" spans="1:16" hidden="1" x14ac:dyDescent="0.25">
      <c r="A631" s="96" t="s">
        <v>2</v>
      </c>
      <c r="B631" s="96" t="s">
        <v>247</v>
      </c>
      <c r="C631" s="96" t="s">
        <v>776</v>
      </c>
      <c r="D631" s="96" t="s">
        <v>223</v>
      </c>
      <c r="E631" s="43">
        <v>45694</v>
      </c>
      <c r="F631" s="43">
        <v>45738</v>
      </c>
      <c r="G631" s="96" t="s">
        <v>92</v>
      </c>
      <c r="H631" s="96" t="s">
        <v>758</v>
      </c>
      <c r="I631" s="96" t="s">
        <v>204</v>
      </c>
      <c r="J631" s="96" t="s">
        <v>98</v>
      </c>
      <c r="K631" s="96" t="s">
        <v>210</v>
      </c>
      <c r="L631">
        <v>44</v>
      </c>
      <c r="M631" t="s">
        <v>24</v>
      </c>
      <c r="N631" t="s">
        <v>188</v>
      </c>
      <c r="O631" t="s">
        <v>150</v>
      </c>
      <c r="P631">
        <v>2025</v>
      </c>
    </row>
    <row r="632" spans="1:16" x14ac:dyDescent="0.25">
      <c r="A632" s="96" t="s">
        <v>2</v>
      </c>
      <c r="B632" s="96" t="s">
        <v>226</v>
      </c>
      <c r="C632" s="96" t="s">
        <v>4054</v>
      </c>
      <c r="D632" s="96" t="s">
        <v>14</v>
      </c>
      <c r="E632" s="43">
        <v>46135</v>
      </c>
      <c r="F632" s="43">
        <v>46146</v>
      </c>
      <c r="G632" s="96" t="s">
        <v>92</v>
      </c>
      <c r="H632" s="96" t="s">
        <v>760</v>
      </c>
      <c r="I632" s="96" t="s">
        <v>9</v>
      </c>
      <c r="J632" s="96" t="s">
        <v>216</v>
      </c>
      <c r="K632" s="96" t="s">
        <v>205</v>
      </c>
      <c r="L632">
        <v>11</v>
      </c>
      <c r="M632" t="s">
        <v>15</v>
      </c>
      <c r="N632" t="s">
        <v>37</v>
      </c>
      <c r="O632" t="s">
        <v>151</v>
      </c>
      <c r="P632">
        <v>2026</v>
      </c>
    </row>
    <row r="633" spans="1:16" x14ac:dyDescent="0.25">
      <c r="A633" s="96" t="s">
        <v>2</v>
      </c>
      <c r="B633" s="96" t="s">
        <v>201</v>
      </c>
      <c r="C633" s="96" t="s">
        <v>4055</v>
      </c>
      <c r="D633" s="96" t="s">
        <v>34</v>
      </c>
      <c r="E633" s="43">
        <v>46032</v>
      </c>
      <c r="F633" s="43">
        <v>46077</v>
      </c>
      <c r="G633" s="96" t="s">
        <v>92</v>
      </c>
      <c r="H633" s="96" t="s">
        <v>4056</v>
      </c>
      <c r="I633" s="96" t="s">
        <v>204</v>
      </c>
      <c r="J633" s="96" t="s">
        <v>177</v>
      </c>
      <c r="K633" s="96" t="s">
        <v>233</v>
      </c>
      <c r="L633">
        <v>45</v>
      </c>
      <c r="M633" t="s">
        <v>24</v>
      </c>
      <c r="N633" t="s">
        <v>29</v>
      </c>
      <c r="O633" t="s">
        <v>170</v>
      </c>
      <c r="P633">
        <v>2026</v>
      </c>
    </row>
    <row r="634" spans="1:16" hidden="1" x14ac:dyDescent="0.25">
      <c r="A634" s="96" t="s">
        <v>2</v>
      </c>
      <c r="B634" s="96" t="s">
        <v>251</v>
      </c>
      <c r="C634" s="96" t="s">
        <v>4057</v>
      </c>
      <c r="D634" s="96" t="s">
        <v>237</v>
      </c>
      <c r="E634" s="43">
        <v>45852</v>
      </c>
      <c r="F634" s="43">
        <v>45940</v>
      </c>
      <c r="G634" s="96" t="s">
        <v>90</v>
      </c>
      <c r="H634" s="96" t="s">
        <v>762</v>
      </c>
      <c r="I634" s="96" t="s">
        <v>209</v>
      </c>
      <c r="J634" s="96" t="s">
        <v>283</v>
      </c>
      <c r="K634" s="96" t="s">
        <v>157</v>
      </c>
      <c r="L634">
        <v>88</v>
      </c>
      <c r="M634" t="s">
        <v>28</v>
      </c>
      <c r="N634" t="s">
        <v>187</v>
      </c>
      <c r="O634" t="s">
        <v>170</v>
      </c>
      <c r="P634">
        <v>2025</v>
      </c>
    </row>
    <row r="635" spans="1:16" hidden="1" x14ac:dyDescent="0.25">
      <c r="A635" s="96" t="s">
        <v>21</v>
      </c>
      <c r="B635" s="96" t="s">
        <v>240</v>
      </c>
      <c r="C635" s="96" t="s">
        <v>777</v>
      </c>
      <c r="D635" s="96" t="s">
        <v>10</v>
      </c>
      <c r="E635" s="43">
        <v>45932</v>
      </c>
      <c r="F635" s="43">
        <v>46005</v>
      </c>
      <c r="G635" s="96" t="s">
        <v>92</v>
      </c>
      <c r="H635" s="96" t="s">
        <v>4058</v>
      </c>
      <c r="I635" s="96" t="s">
        <v>225</v>
      </c>
      <c r="J635" s="96" t="s">
        <v>93</v>
      </c>
      <c r="K635" s="96" t="s">
        <v>210</v>
      </c>
      <c r="L635">
        <v>73</v>
      </c>
      <c r="M635" t="s">
        <v>28</v>
      </c>
      <c r="N635" t="s">
        <v>16</v>
      </c>
      <c r="O635" t="s">
        <v>149</v>
      </c>
      <c r="P635">
        <v>2025</v>
      </c>
    </row>
    <row r="636" spans="1:16" x14ac:dyDescent="0.25">
      <c r="A636" s="96" t="s">
        <v>2</v>
      </c>
      <c r="B636" s="96" t="s">
        <v>269</v>
      </c>
      <c r="C636" s="96" t="s">
        <v>4059</v>
      </c>
      <c r="D636" s="96" t="s">
        <v>192</v>
      </c>
      <c r="E636" s="43">
        <v>46085</v>
      </c>
      <c r="F636" s="43">
        <v>46149</v>
      </c>
      <c r="G636" s="96" t="s">
        <v>92</v>
      </c>
      <c r="H636" s="96" t="s">
        <v>4060</v>
      </c>
      <c r="I636" s="96" t="s">
        <v>194</v>
      </c>
      <c r="J636" s="96" t="s">
        <v>168</v>
      </c>
      <c r="K636" s="96" t="s">
        <v>233</v>
      </c>
      <c r="L636">
        <v>64</v>
      </c>
      <c r="M636" t="s">
        <v>28</v>
      </c>
      <c r="N636" t="s">
        <v>35</v>
      </c>
      <c r="O636" t="s">
        <v>152</v>
      </c>
      <c r="P636">
        <v>2026</v>
      </c>
    </row>
    <row r="637" spans="1:16" hidden="1" x14ac:dyDescent="0.25">
      <c r="A637" s="96" t="s">
        <v>175</v>
      </c>
      <c r="B637" s="96" t="s">
        <v>251</v>
      </c>
      <c r="C637" s="96" t="s">
        <v>780</v>
      </c>
      <c r="D637" s="96" t="s">
        <v>40</v>
      </c>
      <c r="E637" s="43">
        <v>45890</v>
      </c>
      <c r="F637" s="43">
        <v>45905</v>
      </c>
      <c r="G637" s="96" t="s">
        <v>92</v>
      </c>
      <c r="H637" s="96" t="s">
        <v>4061</v>
      </c>
      <c r="I637" s="96" t="s">
        <v>157</v>
      </c>
      <c r="J637" s="96" t="s">
        <v>165</v>
      </c>
      <c r="K637" s="96" t="s">
        <v>195</v>
      </c>
      <c r="L637">
        <v>15</v>
      </c>
      <c r="M637" t="s">
        <v>19</v>
      </c>
      <c r="N637" t="s">
        <v>8</v>
      </c>
      <c r="O637" t="s">
        <v>170</v>
      </c>
      <c r="P637">
        <v>2025</v>
      </c>
    </row>
    <row r="638" spans="1:16" hidden="1" x14ac:dyDescent="0.25">
      <c r="A638" s="96" t="s">
        <v>189</v>
      </c>
      <c r="B638" s="96" t="s">
        <v>213</v>
      </c>
      <c r="C638" s="96" t="s">
        <v>781</v>
      </c>
      <c r="D638" s="96" t="s">
        <v>192</v>
      </c>
      <c r="E638" s="43">
        <v>45996</v>
      </c>
      <c r="F638" s="43">
        <v>46036</v>
      </c>
      <c r="G638" s="96" t="s">
        <v>90</v>
      </c>
      <c r="H638" s="96" t="s">
        <v>4062</v>
      </c>
      <c r="I638" s="96" t="s">
        <v>225</v>
      </c>
      <c r="J638" s="96" t="s">
        <v>172</v>
      </c>
      <c r="K638" s="96" t="s">
        <v>200</v>
      </c>
      <c r="L638">
        <v>40</v>
      </c>
      <c r="M638" t="s">
        <v>24</v>
      </c>
      <c r="N638" t="s">
        <v>25</v>
      </c>
      <c r="O638" t="s">
        <v>149</v>
      </c>
      <c r="P638">
        <v>2025</v>
      </c>
    </row>
    <row r="639" spans="1:16" hidden="1" x14ac:dyDescent="0.25">
      <c r="A639" s="96" t="s">
        <v>175</v>
      </c>
      <c r="B639" s="96" t="s">
        <v>257</v>
      </c>
      <c r="C639" s="96" t="s">
        <v>783</v>
      </c>
      <c r="D639" s="96" t="s">
        <v>203</v>
      </c>
      <c r="E639" s="43">
        <v>45976</v>
      </c>
      <c r="F639" s="43">
        <v>46032</v>
      </c>
      <c r="G639" s="96" t="s">
        <v>92</v>
      </c>
      <c r="H639" s="96" t="s">
        <v>4063</v>
      </c>
      <c r="I639" s="96" t="s">
        <v>194</v>
      </c>
      <c r="J639" s="96" t="s">
        <v>283</v>
      </c>
      <c r="K639" s="96" t="s">
        <v>157</v>
      </c>
      <c r="L639">
        <v>56</v>
      </c>
      <c r="M639" t="s">
        <v>24</v>
      </c>
      <c r="N639" t="s">
        <v>20</v>
      </c>
      <c r="O639" t="s">
        <v>151</v>
      </c>
      <c r="P639">
        <v>2025</v>
      </c>
    </row>
    <row r="640" spans="1:16" hidden="1" x14ac:dyDescent="0.25">
      <c r="A640" s="96" t="s">
        <v>2</v>
      </c>
      <c r="B640" s="96" t="s">
        <v>238</v>
      </c>
      <c r="C640" s="96" t="s">
        <v>4064</v>
      </c>
      <c r="D640" s="96" t="s">
        <v>14</v>
      </c>
      <c r="E640" s="43">
        <v>45860</v>
      </c>
      <c r="F640" s="43">
        <v>45865</v>
      </c>
      <c r="G640" s="96" t="s">
        <v>90</v>
      </c>
      <c r="H640" s="96" t="s">
        <v>4065</v>
      </c>
      <c r="I640" s="96" t="s">
        <v>204</v>
      </c>
      <c r="J640" s="96" t="s">
        <v>174</v>
      </c>
      <c r="K640" s="96" t="s">
        <v>230</v>
      </c>
      <c r="L640">
        <v>5</v>
      </c>
      <c r="M640" t="s">
        <v>11</v>
      </c>
      <c r="N640" t="s">
        <v>187</v>
      </c>
      <c r="O640" t="s">
        <v>170</v>
      </c>
      <c r="P640">
        <v>2025</v>
      </c>
    </row>
    <row r="641" spans="1:16" x14ac:dyDescent="0.25">
      <c r="A641" s="96" t="s">
        <v>2</v>
      </c>
      <c r="B641" s="96" t="s">
        <v>226</v>
      </c>
      <c r="C641" s="96" t="s">
        <v>785</v>
      </c>
      <c r="D641" s="96" t="s">
        <v>237</v>
      </c>
      <c r="E641" s="43">
        <v>46136</v>
      </c>
      <c r="F641" s="43">
        <v>46151</v>
      </c>
      <c r="G641" s="96" t="s">
        <v>95</v>
      </c>
      <c r="H641" s="96" t="s">
        <v>4066</v>
      </c>
      <c r="I641" s="96" t="s">
        <v>9</v>
      </c>
      <c r="J641" s="96" t="s">
        <v>165</v>
      </c>
      <c r="K641" s="96" t="s">
        <v>230</v>
      </c>
      <c r="L641">
        <v>15</v>
      </c>
      <c r="M641" t="s">
        <v>19</v>
      </c>
      <c r="N641" t="s">
        <v>37</v>
      </c>
      <c r="O641" t="s">
        <v>151</v>
      </c>
      <c r="P641">
        <v>2026</v>
      </c>
    </row>
    <row r="642" spans="1:16" x14ac:dyDescent="0.25">
      <c r="A642" s="96" t="s">
        <v>2</v>
      </c>
      <c r="B642" s="96" t="s">
        <v>226</v>
      </c>
      <c r="C642" s="96" t="s">
        <v>786</v>
      </c>
      <c r="D642" s="96" t="s">
        <v>34</v>
      </c>
      <c r="E642" s="43">
        <v>46103</v>
      </c>
      <c r="F642" s="43">
        <v>46112</v>
      </c>
      <c r="G642" s="96" t="s">
        <v>90</v>
      </c>
      <c r="H642" s="96" t="s">
        <v>4067</v>
      </c>
      <c r="I642" s="96" t="s">
        <v>225</v>
      </c>
      <c r="J642" s="96" t="s">
        <v>229</v>
      </c>
      <c r="K642" s="96" t="s">
        <v>210</v>
      </c>
      <c r="L642">
        <v>9</v>
      </c>
      <c r="M642" t="s">
        <v>15</v>
      </c>
      <c r="N642" t="s">
        <v>35</v>
      </c>
      <c r="O642" t="s">
        <v>151</v>
      </c>
      <c r="P642">
        <v>2026</v>
      </c>
    </row>
    <row r="643" spans="1:16" x14ac:dyDescent="0.25">
      <c r="A643" s="96" t="s">
        <v>2</v>
      </c>
      <c r="B643" s="96" t="s">
        <v>219</v>
      </c>
      <c r="C643" s="96" t="s">
        <v>787</v>
      </c>
      <c r="D643" s="96" t="s">
        <v>10</v>
      </c>
      <c r="E643" s="43">
        <v>46035</v>
      </c>
      <c r="F643" s="43">
        <v>46065</v>
      </c>
      <c r="G643" s="96" t="s">
        <v>92</v>
      </c>
      <c r="H643" s="96" t="s">
        <v>4068</v>
      </c>
      <c r="I643" s="96" t="s">
        <v>228</v>
      </c>
      <c r="J643" s="96" t="s">
        <v>94</v>
      </c>
      <c r="K643" s="96" t="s">
        <v>195</v>
      </c>
      <c r="L643">
        <v>30</v>
      </c>
      <c r="M643" t="s">
        <v>19</v>
      </c>
      <c r="N643" t="s">
        <v>29</v>
      </c>
      <c r="O643" t="s">
        <v>149</v>
      </c>
      <c r="P643">
        <v>2026</v>
      </c>
    </row>
    <row r="644" spans="1:16" x14ac:dyDescent="0.25">
      <c r="A644" s="96" t="s">
        <v>2</v>
      </c>
      <c r="B644" s="96" t="s">
        <v>290</v>
      </c>
      <c r="C644" s="96" t="s">
        <v>788</v>
      </c>
      <c r="D644" s="96" t="s">
        <v>14</v>
      </c>
      <c r="E644" s="43">
        <v>46089</v>
      </c>
      <c r="F644" s="43">
        <v>46122</v>
      </c>
      <c r="G644" s="96" t="s">
        <v>92</v>
      </c>
      <c r="H644" s="96" t="s">
        <v>4069</v>
      </c>
      <c r="I644" s="96" t="s">
        <v>9</v>
      </c>
      <c r="J644" s="96" t="s">
        <v>169</v>
      </c>
      <c r="K644" s="96" t="s">
        <v>246</v>
      </c>
      <c r="L644">
        <v>33</v>
      </c>
      <c r="M644" t="s">
        <v>24</v>
      </c>
      <c r="N644" t="s">
        <v>35</v>
      </c>
      <c r="O644" t="s">
        <v>149</v>
      </c>
      <c r="P644">
        <v>2026</v>
      </c>
    </row>
    <row r="645" spans="1:16" hidden="1" x14ac:dyDescent="0.25">
      <c r="A645" s="96" t="s">
        <v>2</v>
      </c>
      <c r="B645" s="96" t="s">
        <v>322</v>
      </c>
      <c r="C645" s="96" t="s">
        <v>789</v>
      </c>
      <c r="D645" s="96" t="s">
        <v>203</v>
      </c>
      <c r="E645" s="43">
        <v>45806</v>
      </c>
      <c r="F645" s="43">
        <v>45926</v>
      </c>
      <c r="G645" s="96" t="s">
        <v>92</v>
      </c>
      <c r="H645" s="96" t="s">
        <v>769</v>
      </c>
      <c r="I645" s="96" t="s">
        <v>157</v>
      </c>
      <c r="J645" s="96" t="s">
        <v>97</v>
      </c>
      <c r="K645" s="96" t="s">
        <v>205</v>
      </c>
      <c r="L645">
        <v>120</v>
      </c>
      <c r="M645" t="s">
        <v>28</v>
      </c>
      <c r="N645" t="s">
        <v>182</v>
      </c>
      <c r="O645" t="s">
        <v>150</v>
      </c>
      <c r="P645">
        <v>2025</v>
      </c>
    </row>
    <row r="646" spans="1:16" hidden="1" x14ac:dyDescent="0.25">
      <c r="A646" s="96" t="s">
        <v>2</v>
      </c>
      <c r="B646" s="96" t="s">
        <v>247</v>
      </c>
      <c r="C646" s="96" t="s">
        <v>4070</v>
      </c>
      <c r="D646" s="96" t="s">
        <v>192</v>
      </c>
      <c r="E646" s="43">
        <v>45956</v>
      </c>
      <c r="F646" s="43">
        <v>45961</v>
      </c>
      <c r="G646" s="96" t="s">
        <v>90</v>
      </c>
      <c r="H646" s="96" t="s">
        <v>771</v>
      </c>
      <c r="I646" s="96" t="s">
        <v>228</v>
      </c>
      <c r="J646" s="96" t="s">
        <v>98</v>
      </c>
      <c r="K646" s="96" t="s">
        <v>217</v>
      </c>
      <c r="L646">
        <v>5</v>
      </c>
      <c r="M646" t="s">
        <v>11</v>
      </c>
      <c r="N646" t="s">
        <v>16</v>
      </c>
      <c r="O646" t="s">
        <v>150</v>
      </c>
      <c r="P646">
        <v>2025</v>
      </c>
    </row>
    <row r="647" spans="1:16" hidden="1" x14ac:dyDescent="0.25">
      <c r="A647" s="96" t="s">
        <v>2</v>
      </c>
      <c r="B647" s="96" t="s">
        <v>221</v>
      </c>
      <c r="C647" s="96" t="s">
        <v>790</v>
      </c>
      <c r="D647" s="96" t="s">
        <v>223</v>
      </c>
      <c r="E647" s="43">
        <v>45720</v>
      </c>
      <c r="F647" s="43">
        <v>45829</v>
      </c>
      <c r="G647" s="96" t="s">
        <v>90</v>
      </c>
      <c r="H647" s="96" t="s">
        <v>773</v>
      </c>
      <c r="I647" s="96" t="s">
        <v>204</v>
      </c>
      <c r="J647" s="96" t="s">
        <v>91</v>
      </c>
      <c r="K647" s="96" t="s">
        <v>230</v>
      </c>
      <c r="L647">
        <v>109</v>
      </c>
      <c r="M647" t="s">
        <v>28</v>
      </c>
      <c r="N647" t="s">
        <v>186</v>
      </c>
      <c r="O647" t="s">
        <v>170</v>
      </c>
      <c r="P647">
        <v>2025</v>
      </c>
    </row>
    <row r="648" spans="1:16" x14ac:dyDescent="0.25">
      <c r="A648" s="96" t="s">
        <v>2</v>
      </c>
      <c r="B648" s="96" t="s">
        <v>218</v>
      </c>
      <c r="C648" s="96" t="s">
        <v>791</v>
      </c>
      <c r="D648" s="96" t="s">
        <v>208</v>
      </c>
      <c r="E648" s="43">
        <v>46107</v>
      </c>
      <c r="F648" s="43">
        <v>46139</v>
      </c>
      <c r="G648" s="96" t="s">
        <v>90</v>
      </c>
      <c r="H648" s="96" t="s">
        <v>774</v>
      </c>
      <c r="I648" s="96" t="s">
        <v>209</v>
      </c>
      <c r="J648" s="96" t="s">
        <v>283</v>
      </c>
      <c r="K648" s="96" t="s">
        <v>200</v>
      </c>
      <c r="L648">
        <v>32</v>
      </c>
      <c r="M648" t="s">
        <v>24</v>
      </c>
      <c r="N648" t="s">
        <v>35</v>
      </c>
      <c r="O648" t="s">
        <v>152</v>
      </c>
      <c r="P648">
        <v>2026</v>
      </c>
    </row>
    <row r="649" spans="1:16" hidden="1" x14ac:dyDescent="0.25">
      <c r="A649" s="96" t="s">
        <v>21</v>
      </c>
      <c r="B649" s="96" t="s">
        <v>257</v>
      </c>
      <c r="C649" s="96" t="s">
        <v>792</v>
      </c>
      <c r="D649" s="96" t="s">
        <v>14</v>
      </c>
      <c r="E649" s="43">
        <v>45733</v>
      </c>
      <c r="F649" s="43">
        <v>45807</v>
      </c>
      <c r="G649" s="96" t="s">
        <v>90</v>
      </c>
      <c r="H649" s="96" t="s">
        <v>4071</v>
      </c>
      <c r="I649" s="96" t="s">
        <v>194</v>
      </c>
      <c r="J649" s="96" t="s">
        <v>168</v>
      </c>
      <c r="K649" s="96" t="s">
        <v>157</v>
      </c>
      <c r="L649">
        <v>74</v>
      </c>
      <c r="M649" t="s">
        <v>28</v>
      </c>
      <c r="N649" t="s">
        <v>186</v>
      </c>
      <c r="O649" t="s">
        <v>151</v>
      </c>
      <c r="P649">
        <v>2025</v>
      </c>
    </row>
    <row r="650" spans="1:16" hidden="1" x14ac:dyDescent="0.25">
      <c r="A650" s="96" t="s">
        <v>21</v>
      </c>
      <c r="B650" s="96" t="s">
        <v>211</v>
      </c>
      <c r="C650" s="96" t="s">
        <v>4072</v>
      </c>
      <c r="D650" s="96" t="s">
        <v>14</v>
      </c>
      <c r="E650" s="43">
        <v>45898</v>
      </c>
      <c r="F650" s="43">
        <v>45994</v>
      </c>
      <c r="G650" s="96" t="s">
        <v>90</v>
      </c>
      <c r="H650" s="96" t="s">
        <v>4073</v>
      </c>
      <c r="I650" s="96" t="s">
        <v>225</v>
      </c>
      <c r="J650" s="96" t="s">
        <v>169</v>
      </c>
      <c r="K650" s="96" t="s">
        <v>157</v>
      </c>
      <c r="L650">
        <v>96</v>
      </c>
      <c r="M650" t="s">
        <v>28</v>
      </c>
      <c r="N650" t="s">
        <v>8</v>
      </c>
      <c r="O650" t="s">
        <v>170</v>
      </c>
      <c r="P650">
        <v>2025</v>
      </c>
    </row>
    <row r="651" spans="1:16" x14ac:dyDescent="0.25">
      <c r="A651" s="96" t="s">
        <v>2</v>
      </c>
      <c r="B651" s="96" t="s">
        <v>226</v>
      </c>
      <c r="C651" s="96" t="s">
        <v>4074</v>
      </c>
      <c r="D651" s="96" t="s">
        <v>10</v>
      </c>
      <c r="E651" s="43">
        <v>46131</v>
      </c>
      <c r="F651" s="43">
        <v>46150</v>
      </c>
      <c r="G651" s="96" t="s">
        <v>92</v>
      </c>
      <c r="H651" s="96" t="s">
        <v>4075</v>
      </c>
      <c r="I651" s="96" t="s">
        <v>9</v>
      </c>
      <c r="J651" s="96" t="s">
        <v>97</v>
      </c>
      <c r="K651" s="96" t="s">
        <v>246</v>
      </c>
      <c r="L651">
        <v>19</v>
      </c>
      <c r="M651" t="s">
        <v>19</v>
      </c>
      <c r="N651" t="s">
        <v>37</v>
      </c>
      <c r="O651" t="s">
        <v>151</v>
      </c>
      <c r="P651">
        <v>2026</v>
      </c>
    </row>
    <row r="652" spans="1:16" x14ac:dyDescent="0.25">
      <c r="A652" s="96" t="s">
        <v>2</v>
      </c>
      <c r="B652" s="96" t="s">
        <v>196</v>
      </c>
      <c r="C652" s="96" t="s">
        <v>793</v>
      </c>
      <c r="D652" s="96" t="s">
        <v>14</v>
      </c>
      <c r="E652" s="43">
        <v>46138</v>
      </c>
      <c r="F652" s="43">
        <v>46148</v>
      </c>
      <c r="G652" s="96" t="s">
        <v>90</v>
      </c>
      <c r="H652" s="96" t="s">
        <v>4076</v>
      </c>
      <c r="I652" s="96" t="s">
        <v>225</v>
      </c>
      <c r="J652" s="96" t="s">
        <v>172</v>
      </c>
      <c r="K652" s="96" t="s">
        <v>200</v>
      </c>
      <c r="L652">
        <v>10</v>
      </c>
      <c r="M652" t="s">
        <v>15</v>
      </c>
      <c r="N652" t="s">
        <v>37</v>
      </c>
      <c r="O652" t="s">
        <v>152</v>
      </c>
      <c r="P652">
        <v>2026</v>
      </c>
    </row>
    <row r="653" spans="1:16" hidden="1" x14ac:dyDescent="0.25">
      <c r="A653" s="96" t="s">
        <v>2</v>
      </c>
      <c r="B653" s="96" t="s">
        <v>264</v>
      </c>
      <c r="C653" s="96" t="s">
        <v>794</v>
      </c>
      <c r="D653" s="96" t="s">
        <v>215</v>
      </c>
      <c r="E653" s="43">
        <v>45890</v>
      </c>
      <c r="F653" s="43">
        <v>45939</v>
      </c>
      <c r="G653" s="96" t="s">
        <v>90</v>
      </c>
      <c r="H653" s="96" t="s">
        <v>4077</v>
      </c>
      <c r="I653" s="96" t="s">
        <v>204</v>
      </c>
      <c r="J653" s="96" t="s">
        <v>216</v>
      </c>
      <c r="K653" s="96" t="s">
        <v>200</v>
      </c>
      <c r="L653">
        <v>49</v>
      </c>
      <c r="M653" t="s">
        <v>24</v>
      </c>
      <c r="N653" t="s">
        <v>8</v>
      </c>
      <c r="O653" t="s">
        <v>152</v>
      </c>
      <c r="P653">
        <v>2025</v>
      </c>
    </row>
    <row r="654" spans="1:16" hidden="1" x14ac:dyDescent="0.25">
      <c r="A654" s="96" t="s">
        <v>2</v>
      </c>
      <c r="B654" s="96" t="s">
        <v>238</v>
      </c>
      <c r="C654" s="96" t="s">
        <v>795</v>
      </c>
      <c r="D654" s="96" t="s">
        <v>40</v>
      </c>
      <c r="E654" s="43">
        <v>45952</v>
      </c>
      <c r="F654" s="43">
        <v>46065</v>
      </c>
      <c r="G654" s="96" t="s">
        <v>92</v>
      </c>
      <c r="H654" s="96" t="s">
        <v>4078</v>
      </c>
      <c r="I654" s="96" t="s">
        <v>194</v>
      </c>
      <c r="J654" s="96" t="s">
        <v>93</v>
      </c>
      <c r="K654" s="96" t="s">
        <v>205</v>
      </c>
      <c r="L654">
        <v>113</v>
      </c>
      <c r="M654" t="s">
        <v>28</v>
      </c>
      <c r="N654" t="s">
        <v>16</v>
      </c>
      <c r="O654" t="s">
        <v>170</v>
      </c>
      <c r="P654">
        <v>2025</v>
      </c>
    </row>
    <row r="655" spans="1:16" x14ac:dyDescent="0.25">
      <c r="A655" s="96" t="s">
        <v>189</v>
      </c>
      <c r="B655" s="96" t="s">
        <v>317</v>
      </c>
      <c r="C655" s="96" t="s">
        <v>796</v>
      </c>
      <c r="D655" s="96" t="s">
        <v>215</v>
      </c>
      <c r="E655" s="43">
        <v>46096</v>
      </c>
      <c r="F655" s="43">
        <v>46149</v>
      </c>
      <c r="G655" s="96" t="s">
        <v>90</v>
      </c>
      <c r="H655" s="96" t="s">
        <v>4079</v>
      </c>
      <c r="I655" s="96" t="s">
        <v>228</v>
      </c>
      <c r="J655" s="96" t="s">
        <v>169</v>
      </c>
      <c r="K655" s="96" t="s">
        <v>210</v>
      </c>
      <c r="L655">
        <v>53</v>
      </c>
      <c r="M655" t="s">
        <v>24</v>
      </c>
      <c r="N655" t="s">
        <v>35</v>
      </c>
      <c r="O655" t="s">
        <v>170</v>
      </c>
      <c r="P655">
        <v>2026</v>
      </c>
    </row>
    <row r="656" spans="1:16" hidden="1" x14ac:dyDescent="0.25">
      <c r="A656" s="96" t="s">
        <v>2</v>
      </c>
      <c r="B656" s="96" t="s">
        <v>240</v>
      </c>
      <c r="C656" s="96" t="s">
        <v>797</v>
      </c>
      <c r="D656" s="96" t="s">
        <v>34</v>
      </c>
      <c r="E656" s="43">
        <v>45890</v>
      </c>
      <c r="F656" s="43">
        <v>45928</v>
      </c>
      <c r="G656" s="96" t="s">
        <v>92</v>
      </c>
      <c r="H656" s="96" t="s">
        <v>4080</v>
      </c>
      <c r="I656" s="96" t="s">
        <v>204</v>
      </c>
      <c r="J656" s="96" t="s">
        <v>199</v>
      </c>
      <c r="K656" s="96" t="s">
        <v>200</v>
      </c>
      <c r="L656">
        <v>38</v>
      </c>
      <c r="M656" t="s">
        <v>24</v>
      </c>
      <c r="N656" t="s">
        <v>8</v>
      </c>
      <c r="O656" t="s">
        <v>149</v>
      </c>
      <c r="P656">
        <v>2025</v>
      </c>
    </row>
    <row r="657" spans="1:16" x14ac:dyDescent="0.25">
      <c r="A657" s="96" t="s">
        <v>2</v>
      </c>
      <c r="B657" s="96" t="s">
        <v>218</v>
      </c>
      <c r="C657" s="96" t="s">
        <v>4081</v>
      </c>
      <c r="D657" s="96" t="s">
        <v>14</v>
      </c>
      <c r="E657" s="43">
        <v>46079</v>
      </c>
      <c r="F657" s="43">
        <v>46151</v>
      </c>
      <c r="G657" s="96" t="s">
        <v>92</v>
      </c>
      <c r="H657" s="96" t="s">
        <v>4082</v>
      </c>
      <c r="I657" s="96" t="s">
        <v>209</v>
      </c>
      <c r="J657" s="96" t="s">
        <v>174</v>
      </c>
      <c r="K657" s="96" t="s">
        <v>195</v>
      </c>
      <c r="L657">
        <v>72</v>
      </c>
      <c r="M657" t="s">
        <v>28</v>
      </c>
      <c r="N657" t="s">
        <v>32</v>
      </c>
      <c r="O657" t="s">
        <v>152</v>
      </c>
      <c r="P657">
        <v>2026</v>
      </c>
    </row>
    <row r="658" spans="1:16" hidden="1" x14ac:dyDescent="0.25">
      <c r="A658" s="96" t="s">
        <v>2</v>
      </c>
      <c r="B658" s="96" t="s">
        <v>238</v>
      </c>
      <c r="C658" s="96" t="s">
        <v>4083</v>
      </c>
      <c r="D658" s="96" t="s">
        <v>10</v>
      </c>
      <c r="E658" s="43">
        <v>46019</v>
      </c>
      <c r="F658" s="43">
        <v>46121</v>
      </c>
      <c r="G658" s="96" t="s">
        <v>92</v>
      </c>
      <c r="H658" s="96" t="s">
        <v>4084</v>
      </c>
      <c r="I658" s="96" t="s">
        <v>225</v>
      </c>
      <c r="J658" s="96" t="s">
        <v>173</v>
      </c>
      <c r="K658" s="96" t="s">
        <v>217</v>
      </c>
      <c r="L658">
        <v>102</v>
      </c>
      <c r="M658" t="s">
        <v>28</v>
      </c>
      <c r="N658" t="s">
        <v>25</v>
      </c>
      <c r="O658" t="s">
        <v>170</v>
      </c>
      <c r="P658">
        <v>2025</v>
      </c>
    </row>
    <row r="659" spans="1:16" x14ac:dyDescent="0.25">
      <c r="A659" s="96" t="s">
        <v>2</v>
      </c>
      <c r="B659" s="96" t="s">
        <v>196</v>
      </c>
      <c r="C659" s="96" t="s">
        <v>4085</v>
      </c>
      <c r="D659" s="96" t="s">
        <v>40</v>
      </c>
      <c r="E659" s="43">
        <v>46079</v>
      </c>
      <c r="F659" s="43">
        <v>46150</v>
      </c>
      <c r="G659" s="96" t="s">
        <v>90</v>
      </c>
      <c r="H659" s="96" t="s">
        <v>4086</v>
      </c>
      <c r="I659" s="96" t="s">
        <v>225</v>
      </c>
      <c r="J659" s="96" t="s">
        <v>91</v>
      </c>
      <c r="K659" s="96" t="s">
        <v>233</v>
      </c>
      <c r="L659">
        <v>71</v>
      </c>
      <c r="M659" t="s">
        <v>28</v>
      </c>
      <c r="N659" t="s">
        <v>32</v>
      </c>
      <c r="O659" t="s">
        <v>152</v>
      </c>
      <c r="P659">
        <v>2026</v>
      </c>
    </row>
    <row r="660" spans="1:16" x14ac:dyDescent="0.25">
      <c r="A660" s="96" t="s">
        <v>2</v>
      </c>
      <c r="B660" s="96" t="s">
        <v>226</v>
      </c>
      <c r="C660" s="96" t="s">
        <v>798</v>
      </c>
      <c r="D660" s="96" t="s">
        <v>10</v>
      </c>
      <c r="E660" s="43">
        <v>46077</v>
      </c>
      <c r="F660" s="43">
        <v>46078</v>
      </c>
      <c r="G660" s="96" t="s">
        <v>92</v>
      </c>
      <c r="H660" s="96" t="s">
        <v>4087</v>
      </c>
      <c r="I660" s="96" t="s">
        <v>194</v>
      </c>
      <c r="J660" s="96" t="s">
        <v>168</v>
      </c>
      <c r="K660" s="96" t="s">
        <v>217</v>
      </c>
      <c r="L660">
        <v>1</v>
      </c>
      <c r="M660" t="s">
        <v>11</v>
      </c>
      <c r="N660" t="s">
        <v>32</v>
      </c>
      <c r="O660" t="s">
        <v>151</v>
      </c>
      <c r="P660">
        <v>2026</v>
      </c>
    </row>
    <row r="661" spans="1:16" hidden="1" x14ac:dyDescent="0.25">
      <c r="A661" s="96" t="s">
        <v>2</v>
      </c>
      <c r="B661" s="96" t="s">
        <v>264</v>
      </c>
      <c r="C661" s="96" t="s">
        <v>799</v>
      </c>
      <c r="D661" s="96" t="s">
        <v>40</v>
      </c>
      <c r="E661" s="43">
        <v>45778</v>
      </c>
      <c r="F661" s="43">
        <v>45860</v>
      </c>
      <c r="G661" s="96" t="s">
        <v>95</v>
      </c>
      <c r="H661" s="96" t="s">
        <v>778</v>
      </c>
      <c r="I661" s="96" t="s">
        <v>209</v>
      </c>
      <c r="J661" s="96" t="s">
        <v>216</v>
      </c>
      <c r="K661" s="96" t="s">
        <v>246</v>
      </c>
      <c r="L661">
        <v>82</v>
      </c>
      <c r="M661" t="s">
        <v>28</v>
      </c>
      <c r="N661" t="s">
        <v>182</v>
      </c>
      <c r="O661" t="s">
        <v>152</v>
      </c>
      <c r="P661">
        <v>2025</v>
      </c>
    </row>
    <row r="662" spans="1:16" x14ac:dyDescent="0.25">
      <c r="A662" s="96" t="s">
        <v>2</v>
      </c>
      <c r="B662" s="96" t="s">
        <v>274</v>
      </c>
      <c r="C662" s="96" t="s">
        <v>800</v>
      </c>
      <c r="D662" s="96" t="s">
        <v>208</v>
      </c>
      <c r="E662" s="43">
        <v>46123</v>
      </c>
      <c r="F662" s="43">
        <v>46149</v>
      </c>
      <c r="G662" s="96" t="s">
        <v>92</v>
      </c>
      <c r="H662" s="96" t="s">
        <v>779</v>
      </c>
      <c r="I662" s="96" t="s">
        <v>204</v>
      </c>
      <c r="J662" s="96" t="s">
        <v>94</v>
      </c>
      <c r="K662" s="96" t="s">
        <v>217</v>
      </c>
      <c r="L662">
        <v>26</v>
      </c>
      <c r="M662" t="s">
        <v>19</v>
      </c>
      <c r="N662" t="s">
        <v>37</v>
      </c>
      <c r="O662" t="s">
        <v>170</v>
      </c>
      <c r="P662">
        <v>2026</v>
      </c>
    </row>
    <row r="663" spans="1:16" hidden="1" x14ac:dyDescent="0.25">
      <c r="A663" s="96" t="s">
        <v>2</v>
      </c>
      <c r="B663" s="96" t="s">
        <v>257</v>
      </c>
      <c r="C663" s="96" t="s">
        <v>801</v>
      </c>
      <c r="D663" s="96" t="s">
        <v>237</v>
      </c>
      <c r="E663" s="43">
        <v>45685</v>
      </c>
      <c r="F663" s="43">
        <v>45720</v>
      </c>
      <c r="G663" s="96" t="s">
        <v>90</v>
      </c>
      <c r="H663" s="96" t="s">
        <v>4088</v>
      </c>
      <c r="I663" s="96" t="s">
        <v>225</v>
      </c>
      <c r="J663" s="96" t="s">
        <v>229</v>
      </c>
      <c r="K663" s="96" t="s">
        <v>157</v>
      </c>
      <c r="L663">
        <v>35</v>
      </c>
      <c r="M663" t="s">
        <v>24</v>
      </c>
      <c r="N663" t="s">
        <v>181</v>
      </c>
      <c r="O663" t="s">
        <v>151</v>
      </c>
      <c r="P663">
        <v>2025</v>
      </c>
    </row>
    <row r="664" spans="1:16" x14ac:dyDescent="0.25">
      <c r="A664" s="96" t="s">
        <v>2</v>
      </c>
      <c r="B664" s="96" t="s">
        <v>305</v>
      </c>
      <c r="C664" s="96" t="s">
        <v>802</v>
      </c>
      <c r="D664" s="96" t="s">
        <v>237</v>
      </c>
      <c r="E664" s="43">
        <v>46039</v>
      </c>
      <c r="F664" s="43">
        <v>46123</v>
      </c>
      <c r="G664" s="96" t="s">
        <v>92</v>
      </c>
      <c r="H664" s="96" t="s">
        <v>782</v>
      </c>
      <c r="I664" s="96" t="s">
        <v>157</v>
      </c>
      <c r="J664" s="96" t="s">
        <v>94</v>
      </c>
      <c r="K664" s="96" t="s">
        <v>230</v>
      </c>
      <c r="L664">
        <v>84</v>
      </c>
      <c r="M664" t="s">
        <v>28</v>
      </c>
      <c r="N664" t="s">
        <v>29</v>
      </c>
      <c r="O664" t="s">
        <v>170</v>
      </c>
      <c r="P664">
        <v>2026</v>
      </c>
    </row>
    <row r="665" spans="1:16" x14ac:dyDescent="0.25">
      <c r="A665" s="96" t="s">
        <v>189</v>
      </c>
      <c r="B665" s="96" t="s">
        <v>234</v>
      </c>
      <c r="C665" s="96" t="s">
        <v>803</v>
      </c>
      <c r="D665" s="96" t="s">
        <v>14</v>
      </c>
      <c r="E665" s="43">
        <v>46118</v>
      </c>
      <c r="F665" s="43">
        <v>46148</v>
      </c>
      <c r="G665" s="96" t="s">
        <v>92</v>
      </c>
      <c r="H665" s="96" t="s">
        <v>784</v>
      </c>
      <c r="I665" s="96" t="s">
        <v>228</v>
      </c>
      <c r="J665" s="96" t="s">
        <v>176</v>
      </c>
      <c r="K665" s="96" t="s">
        <v>246</v>
      </c>
      <c r="L665">
        <v>30</v>
      </c>
      <c r="M665" t="s">
        <v>19</v>
      </c>
      <c r="N665" t="s">
        <v>37</v>
      </c>
      <c r="O665" t="s">
        <v>150</v>
      </c>
      <c r="P665">
        <v>2026</v>
      </c>
    </row>
    <row r="666" spans="1:16" hidden="1" x14ac:dyDescent="0.25">
      <c r="A666" s="96" t="s">
        <v>2</v>
      </c>
      <c r="B666" s="96" t="s">
        <v>231</v>
      </c>
      <c r="C666" s="96" t="s">
        <v>804</v>
      </c>
      <c r="D666" s="96" t="s">
        <v>223</v>
      </c>
      <c r="E666" s="43">
        <v>46017</v>
      </c>
      <c r="F666" s="43">
        <v>46086</v>
      </c>
      <c r="G666" s="96" t="s">
        <v>95</v>
      </c>
      <c r="H666" s="96" t="s">
        <v>4089</v>
      </c>
      <c r="I666" s="96" t="s">
        <v>157</v>
      </c>
      <c r="J666" s="96" t="s">
        <v>98</v>
      </c>
      <c r="K666" s="96" t="s">
        <v>233</v>
      </c>
      <c r="L666">
        <v>69</v>
      </c>
      <c r="M666" t="s">
        <v>28</v>
      </c>
      <c r="N666" t="s">
        <v>25</v>
      </c>
      <c r="O666" t="s">
        <v>170</v>
      </c>
      <c r="P666">
        <v>2025</v>
      </c>
    </row>
    <row r="667" spans="1:16" hidden="1" x14ac:dyDescent="0.25">
      <c r="A667" s="96" t="s">
        <v>2</v>
      </c>
      <c r="B667" s="96" t="s">
        <v>257</v>
      </c>
      <c r="C667" s="96" t="s">
        <v>805</v>
      </c>
      <c r="D667" s="96" t="s">
        <v>223</v>
      </c>
      <c r="E667" s="43">
        <v>45953</v>
      </c>
      <c r="F667" s="43">
        <v>45957</v>
      </c>
      <c r="G667" s="96" t="s">
        <v>92</v>
      </c>
      <c r="H667" s="96" t="s">
        <v>4090</v>
      </c>
      <c r="I667" s="96" t="s">
        <v>225</v>
      </c>
      <c r="J667" s="96" t="s">
        <v>165</v>
      </c>
      <c r="K667" s="96" t="s">
        <v>233</v>
      </c>
      <c r="L667">
        <v>4</v>
      </c>
      <c r="M667" t="s">
        <v>11</v>
      </c>
      <c r="N667" t="s">
        <v>16</v>
      </c>
      <c r="O667" t="s">
        <v>151</v>
      </c>
      <c r="P667">
        <v>2025</v>
      </c>
    </row>
    <row r="668" spans="1:16" hidden="1" x14ac:dyDescent="0.25">
      <c r="A668" s="96" t="s">
        <v>2</v>
      </c>
      <c r="B668" s="96" t="s">
        <v>257</v>
      </c>
      <c r="C668" s="96" t="s">
        <v>806</v>
      </c>
      <c r="D668" s="96" t="s">
        <v>192</v>
      </c>
      <c r="E668" s="43">
        <v>45764</v>
      </c>
      <c r="F668" s="43">
        <v>45875</v>
      </c>
      <c r="G668" s="96" t="s">
        <v>92</v>
      </c>
      <c r="H668" s="96" t="s">
        <v>4091</v>
      </c>
      <c r="I668" s="96" t="s">
        <v>157</v>
      </c>
      <c r="J668" s="96" t="s">
        <v>94</v>
      </c>
      <c r="K668" s="96" t="s">
        <v>195</v>
      </c>
      <c r="L668">
        <v>111</v>
      </c>
      <c r="M668" t="s">
        <v>28</v>
      </c>
      <c r="N668" t="s">
        <v>185</v>
      </c>
      <c r="O668" t="s">
        <v>151</v>
      </c>
      <c r="P668">
        <v>2025</v>
      </c>
    </row>
    <row r="669" spans="1:16" x14ac:dyDescent="0.25">
      <c r="A669" s="96" t="s">
        <v>2</v>
      </c>
      <c r="B669" s="96" t="s">
        <v>269</v>
      </c>
      <c r="C669" s="96" t="s">
        <v>807</v>
      </c>
      <c r="D669" s="96" t="s">
        <v>10</v>
      </c>
      <c r="E669" s="43">
        <v>46087</v>
      </c>
      <c r="F669" s="43">
        <v>46140</v>
      </c>
      <c r="G669" s="96" t="s">
        <v>92</v>
      </c>
      <c r="H669" s="96" t="s">
        <v>4092</v>
      </c>
      <c r="I669" s="96" t="s">
        <v>204</v>
      </c>
      <c r="J669" s="96" t="s">
        <v>91</v>
      </c>
      <c r="K669" s="96" t="s">
        <v>157</v>
      </c>
      <c r="L669">
        <v>53</v>
      </c>
      <c r="M669" t="s">
        <v>24</v>
      </c>
      <c r="N669" t="s">
        <v>35</v>
      </c>
      <c r="O669" t="s">
        <v>152</v>
      </c>
      <c r="P669">
        <v>2026</v>
      </c>
    </row>
    <row r="670" spans="1:16" x14ac:dyDescent="0.25">
      <c r="A670" s="96" t="s">
        <v>2</v>
      </c>
      <c r="B670" s="96" t="s">
        <v>244</v>
      </c>
      <c r="C670" s="96" t="s">
        <v>808</v>
      </c>
      <c r="D670" s="96" t="s">
        <v>14</v>
      </c>
      <c r="E670" s="43">
        <v>46150</v>
      </c>
      <c r="F670" s="43">
        <v>46146</v>
      </c>
      <c r="G670" s="96" t="s">
        <v>92</v>
      </c>
      <c r="H670" s="96" t="s">
        <v>4093</v>
      </c>
      <c r="I670" s="96" t="s">
        <v>194</v>
      </c>
      <c r="J670" s="96" t="s">
        <v>165</v>
      </c>
      <c r="K670" s="96" t="s">
        <v>217</v>
      </c>
      <c r="L670">
        <v>-4</v>
      </c>
      <c r="M670" t="s">
        <v>11</v>
      </c>
      <c r="N670" t="s">
        <v>183</v>
      </c>
      <c r="O670" t="s">
        <v>150</v>
      </c>
      <c r="P670">
        <v>2026</v>
      </c>
    </row>
    <row r="671" spans="1:16" hidden="1" x14ac:dyDescent="0.25">
      <c r="A671" s="96" t="s">
        <v>2</v>
      </c>
      <c r="B671" s="96" t="s">
        <v>257</v>
      </c>
      <c r="C671" s="96" t="s">
        <v>809</v>
      </c>
      <c r="D671" s="96" t="s">
        <v>203</v>
      </c>
      <c r="E671" s="43">
        <v>45938</v>
      </c>
      <c r="F671" s="43">
        <v>45992</v>
      </c>
      <c r="G671" s="96" t="s">
        <v>92</v>
      </c>
      <c r="H671" s="96" t="s">
        <v>4094</v>
      </c>
      <c r="I671" s="96" t="s">
        <v>204</v>
      </c>
      <c r="J671" s="96" t="s">
        <v>97</v>
      </c>
      <c r="K671" s="96" t="s">
        <v>210</v>
      </c>
      <c r="L671">
        <v>54</v>
      </c>
      <c r="M671" t="s">
        <v>24</v>
      </c>
      <c r="N671" t="s">
        <v>16</v>
      </c>
      <c r="O671" t="s">
        <v>151</v>
      </c>
      <c r="P671">
        <v>2025</v>
      </c>
    </row>
    <row r="672" spans="1:16" hidden="1" x14ac:dyDescent="0.25">
      <c r="A672" s="96" t="s">
        <v>2</v>
      </c>
      <c r="B672" s="96" t="s">
        <v>264</v>
      </c>
      <c r="C672" s="96" t="s">
        <v>810</v>
      </c>
      <c r="D672" s="96" t="s">
        <v>215</v>
      </c>
      <c r="E672" s="43">
        <v>45900</v>
      </c>
      <c r="F672" s="43">
        <v>45902</v>
      </c>
      <c r="G672" s="96" t="s">
        <v>92</v>
      </c>
      <c r="H672" s="96" t="s">
        <v>4095</v>
      </c>
      <c r="I672" s="96" t="s">
        <v>225</v>
      </c>
      <c r="J672" s="96" t="s">
        <v>199</v>
      </c>
      <c r="K672" s="96" t="s">
        <v>157</v>
      </c>
      <c r="L672">
        <v>2</v>
      </c>
      <c r="M672" t="s">
        <v>11</v>
      </c>
      <c r="N672" t="s">
        <v>8</v>
      </c>
      <c r="O672" t="s">
        <v>152</v>
      </c>
      <c r="P672">
        <v>2025</v>
      </c>
    </row>
    <row r="673" spans="1:16" hidden="1" x14ac:dyDescent="0.25">
      <c r="A673" s="96" t="s">
        <v>2</v>
      </c>
      <c r="B673" s="96" t="s">
        <v>280</v>
      </c>
      <c r="C673" s="96" t="s">
        <v>811</v>
      </c>
      <c r="D673" s="96" t="s">
        <v>223</v>
      </c>
      <c r="E673" s="43">
        <v>45706</v>
      </c>
      <c r="F673" s="43">
        <v>45714</v>
      </c>
      <c r="G673" s="96" t="s">
        <v>92</v>
      </c>
      <c r="H673" s="96" t="s">
        <v>4096</v>
      </c>
      <c r="I673" s="96" t="s">
        <v>209</v>
      </c>
      <c r="J673" s="96" t="s">
        <v>172</v>
      </c>
      <c r="K673" s="96" t="s">
        <v>205</v>
      </c>
      <c r="L673">
        <v>8</v>
      </c>
      <c r="M673" t="s">
        <v>15</v>
      </c>
      <c r="N673" t="s">
        <v>188</v>
      </c>
      <c r="O673" t="s">
        <v>170</v>
      </c>
      <c r="P673">
        <v>2025</v>
      </c>
    </row>
    <row r="674" spans="1:16" hidden="1" x14ac:dyDescent="0.25">
      <c r="A674" s="96" t="s">
        <v>2</v>
      </c>
      <c r="B674" s="96" t="s">
        <v>253</v>
      </c>
      <c r="C674" s="96" t="s">
        <v>813</v>
      </c>
      <c r="D674" s="96" t="s">
        <v>223</v>
      </c>
      <c r="E674" s="43">
        <v>45801</v>
      </c>
      <c r="F674" s="43">
        <v>45824</v>
      </c>
      <c r="G674" s="96" t="s">
        <v>90</v>
      </c>
      <c r="H674" s="96" t="s">
        <v>4097</v>
      </c>
      <c r="I674" s="96" t="s">
        <v>228</v>
      </c>
      <c r="J674" s="96" t="s">
        <v>168</v>
      </c>
      <c r="K674" s="96" t="s">
        <v>246</v>
      </c>
      <c r="L674">
        <v>23</v>
      </c>
      <c r="M674" t="s">
        <v>19</v>
      </c>
      <c r="N674" t="s">
        <v>182</v>
      </c>
      <c r="O674" t="s">
        <v>152</v>
      </c>
      <c r="P674">
        <v>2025</v>
      </c>
    </row>
    <row r="675" spans="1:16" hidden="1" x14ac:dyDescent="0.25">
      <c r="A675" s="96" t="s">
        <v>2</v>
      </c>
      <c r="B675" s="96" t="s">
        <v>272</v>
      </c>
      <c r="C675" s="96" t="s">
        <v>816</v>
      </c>
      <c r="D675" s="96" t="s">
        <v>192</v>
      </c>
      <c r="E675" s="43">
        <v>45855</v>
      </c>
      <c r="F675" s="43">
        <v>45946</v>
      </c>
      <c r="G675" s="96" t="s">
        <v>92</v>
      </c>
      <c r="H675" s="96" t="s">
        <v>4098</v>
      </c>
      <c r="I675" s="96" t="s">
        <v>157</v>
      </c>
      <c r="J675" s="96" t="s">
        <v>91</v>
      </c>
      <c r="K675" s="96" t="s">
        <v>210</v>
      </c>
      <c r="L675">
        <v>91</v>
      </c>
      <c r="M675" t="s">
        <v>28</v>
      </c>
      <c r="N675" t="s">
        <v>187</v>
      </c>
      <c r="O675" t="s">
        <v>151</v>
      </c>
      <c r="P675">
        <v>2025</v>
      </c>
    </row>
    <row r="676" spans="1:16" x14ac:dyDescent="0.25">
      <c r="A676" s="96" t="s">
        <v>2</v>
      </c>
      <c r="B676" s="96" t="s">
        <v>261</v>
      </c>
      <c r="C676" s="96" t="s">
        <v>817</v>
      </c>
      <c r="D676" s="96" t="s">
        <v>203</v>
      </c>
      <c r="E676" s="43">
        <v>46094</v>
      </c>
      <c r="F676" s="43">
        <v>46150</v>
      </c>
      <c r="G676" s="96" t="s">
        <v>90</v>
      </c>
      <c r="H676" s="96" t="s">
        <v>4099</v>
      </c>
      <c r="I676" s="96" t="s">
        <v>194</v>
      </c>
      <c r="J676" s="96" t="s">
        <v>97</v>
      </c>
      <c r="K676" s="96" t="s">
        <v>210</v>
      </c>
      <c r="L676">
        <v>56</v>
      </c>
      <c r="M676" t="s">
        <v>24</v>
      </c>
      <c r="N676" t="s">
        <v>35</v>
      </c>
      <c r="O676" t="s">
        <v>151</v>
      </c>
      <c r="P676">
        <v>2026</v>
      </c>
    </row>
    <row r="677" spans="1:16" hidden="1" x14ac:dyDescent="0.25">
      <c r="A677" s="96" t="s">
        <v>171</v>
      </c>
      <c r="B677" s="96" t="s">
        <v>257</v>
      </c>
      <c r="C677" s="96" t="s">
        <v>818</v>
      </c>
      <c r="D677" s="96" t="s">
        <v>192</v>
      </c>
      <c r="E677" s="43">
        <v>45986</v>
      </c>
      <c r="F677" s="43">
        <v>46048</v>
      </c>
      <c r="G677" s="96" t="s">
        <v>90</v>
      </c>
      <c r="H677" s="96" t="s">
        <v>4100</v>
      </c>
      <c r="I677" s="96" t="s">
        <v>157</v>
      </c>
      <c r="J677" s="96" t="s">
        <v>172</v>
      </c>
      <c r="K677" s="96" t="s">
        <v>246</v>
      </c>
      <c r="L677">
        <v>62</v>
      </c>
      <c r="M677" t="s">
        <v>28</v>
      </c>
      <c r="N677" t="s">
        <v>20</v>
      </c>
      <c r="O677" t="s">
        <v>151</v>
      </c>
      <c r="P677">
        <v>2025</v>
      </c>
    </row>
    <row r="678" spans="1:16" x14ac:dyDescent="0.25">
      <c r="A678" s="96" t="s">
        <v>2</v>
      </c>
      <c r="B678" s="96" t="s">
        <v>226</v>
      </c>
      <c r="C678" s="96" t="s">
        <v>819</v>
      </c>
      <c r="D678" s="96" t="s">
        <v>34</v>
      </c>
      <c r="E678" s="43">
        <v>46139</v>
      </c>
      <c r="F678" s="43">
        <v>46150</v>
      </c>
      <c r="G678" s="96" t="s">
        <v>92</v>
      </c>
      <c r="H678" s="96" t="s">
        <v>4101</v>
      </c>
      <c r="I678" s="96" t="s">
        <v>157</v>
      </c>
      <c r="J678" s="96" t="s">
        <v>173</v>
      </c>
      <c r="K678" s="96" t="s">
        <v>233</v>
      </c>
      <c r="L678">
        <v>11</v>
      </c>
      <c r="M678" t="s">
        <v>15</v>
      </c>
      <c r="N678" t="s">
        <v>37</v>
      </c>
      <c r="O678" t="s">
        <v>151</v>
      </c>
      <c r="P678">
        <v>2026</v>
      </c>
    </row>
    <row r="679" spans="1:16" hidden="1" x14ac:dyDescent="0.25">
      <c r="A679" s="96" t="s">
        <v>2</v>
      </c>
      <c r="B679" s="96" t="s">
        <v>257</v>
      </c>
      <c r="C679" s="96" t="s">
        <v>820</v>
      </c>
      <c r="D679" s="96" t="s">
        <v>192</v>
      </c>
      <c r="E679" s="43">
        <v>45719</v>
      </c>
      <c r="F679" s="43">
        <v>45727</v>
      </c>
      <c r="G679" s="96" t="s">
        <v>90</v>
      </c>
      <c r="H679" s="96" t="s">
        <v>4102</v>
      </c>
      <c r="I679" s="96" t="s">
        <v>209</v>
      </c>
      <c r="J679" s="96" t="s">
        <v>172</v>
      </c>
      <c r="K679" s="96" t="s">
        <v>200</v>
      </c>
      <c r="L679">
        <v>8</v>
      </c>
      <c r="M679" t="s">
        <v>15</v>
      </c>
      <c r="N679" t="s">
        <v>186</v>
      </c>
      <c r="O679" t="s">
        <v>151</v>
      </c>
      <c r="P679">
        <v>2025</v>
      </c>
    </row>
    <row r="680" spans="1:16" x14ac:dyDescent="0.25">
      <c r="A680" s="96" t="s">
        <v>2</v>
      </c>
      <c r="B680" s="96" t="s">
        <v>244</v>
      </c>
      <c r="C680" s="96" t="s">
        <v>4103</v>
      </c>
      <c r="D680" s="96" t="s">
        <v>10</v>
      </c>
      <c r="E680" s="43">
        <v>46104</v>
      </c>
      <c r="F680" s="43">
        <v>46146</v>
      </c>
      <c r="G680" s="96" t="s">
        <v>95</v>
      </c>
      <c r="H680" s="96" t="s">
        <v>4104</v>
      </c>
      <c r="I680" s="96" t="s">
        <v>9</v>
      </c>
      <c r="J680" s="96" t="s">
        <v>91</v>
      </c>
      <c r="K680" s="96" t="s">
        <v>157</v>
      </c>
      <c r="L680">
        <v>42</v>
      </c>
      <c r="M680" t="s">
        <v>24</v>
      </c>
      <c r="N680" t="s">
        <v>35</v>
      </c>
      <c r="O680" t="s">
        <v>150</v>
      </c>
      <c r="P680">
        <v>2026</v>
      </c>
    </row>
    <row r="681" spans="1:16" hidden="1" x14ac:dyDescent="0.25">
      <c r="A681" s="96" t="s">
        <v>2</v>
      </c>
      <c r="B681" s="96" t="s">
        <v>221</v>
      </c>
      <c r="C681" s="96" t="s">
        <v>821</v>
      </c>
      <c r="D681" s="96" t="s">
        <v>208</v>
      </c>
      <c r="E681" s="43">
        <v>45753</v>
      </c>
      <c r="F681" s="43">
        <v>45794</v>
      </c>
      <c r="G681" s="96" t="s">
        <v>90</v>
      </c>
      <c r="H681" s="96" t="s">
        <v>4105</v>
      </c>
      <c r="I681" s="96" t="s">
        <v>9</v>
      </c>
      <c r="J681" s="96" t="s">
        <v>94</v>
      </c>
      <c r="K681" s="96" t="s">
        <v>230</v>
      </c>
      <c r="L681">
        <v>41</v>
      </c>
      <c r="M681" t="s">
        <v>24</v>
      </c>
      <c r="N681" t="s">
        <v>185</v>
      </c>
      <c r="O681" t="s">
        <v>170</v>
      </c>
      <c r="P681">
        <v>2025</v>
      </c>
    </row>
    <row r="682" spans="1:16" x14ac:dyDescent="0.25">
      <c r="A682" s="96" t="s">
        <v>2</v>
      </c>
      <c r="B682" s="96" t="s">
        <v>244</v>
      </c>
      <c r="C682" s="96" t="s">
        <v>4106</v>
      </c>
      <c r="D682" s="96" t="s">
        <v>34</v>
      </c>
      <c r="E682" s="43">
        <v>46071</v>
      </c>
      <c r="F682" s="43">
        <v>46146</v>
      </c>
      <c r="G682" s="96" t="s">
        <v>90</v>
      </c>
      <c r="H682" s="96" t="s">
        <v>4107</v>
      </c>
      <c r="I682" s="96" t="s">
        <v>228</v>
      </c>
      <c r="J682" s="96" t="s">
        <v>174</v>
      </c>
      <c r="K682" s="96" t="s">
        <v>217</v>
      </c>
      <c r="L682">
        <v>75</v>
      </c>
      <c r="M682" t="s">
        <v>28</v>
      </c>
      <c r="N682" t="s">
        <v>32</v>
      </c>
      <c r="O682" t="s">
        <v>150</v>
      </c>
      <c r="P682">
        <v>2026</v>
      </c>
    </row>
    <row r="683" spans="1:16" hidden="1" x14ac:dyDescent="0.25">
      <c r="A683" s="96" t="s">
        <v>2</v>
      </c>
      <c r="B683" s="96" t="s">
        <v>257</v>
      </c>
      <c r="C683" s="96" t="s">
        <v>822</v>
      </c>
      <c r="D683" s="96" t="s">
        <v>203</v>
      </c>
      <c r="E683" s="43">
        <v>45986</v>
      </c>
      <c r="F683" s="43">
        <v>46053</v>
      </c>
      <c r="G683" s="96" t="s">
        <v>90</v>
      </c>
      <c r="H683" s="96" t="s">
        <v>4108</v>
      </c>
      <c r="I683" s="96" t="s">
        <v>228</v>
      </c>
      <c r="J683" s="96" t="s">
        <v>91</v>
      </c>
      <c r="K683" s="96" t="s">
        <v>217</v>
      </c>
      <c r="L683">
        <v>67</v>
      </c>
      <c r="M683" t="s">
        <v>28</v>
      </c>
      <c r="N683" t="s">
        <v>20</v>
      </c>
      <c r="O683" t="s">
        <v>151</v>
      </c>
      <c r="P683">
        <v>2025</v>
      </c>
    </row>
    <row r="684" spans="1:16" hidden="1" x14ac:dyDescent="0.25">
      <c r="A684" s="96" t="s">
        <v>2</v>
      </c>
      <c r="B684" s="96" t="s">
        <v>206</v>
      </c>
      <c r="C684" s="96" t="s">
        <v>4109</v>
      </c>
      <c r="D684" s="96" t="s">
        <v>14</v>
      </c>
      <c r="E684" s="43">
        <v>46007</v>
      </c>
      <c r="F684" s="43">
        <v>46109</v>
      </c>
      <c r="G684" s="96" t="s">
        <v>95</v>
      </c>
      <c r="H684" s="96" t="s">
        <v>4110</v>
      </c>
      <c r="I684" s="96" t="s">
        <v>228</v>
      </c>
      <c r="J684" s="96" t="s">
        <v>91</v>
      </c>
      <c r="K684" s="96" t="s">
        <v>230</v>
      </c>
      <c r="L684">
        <v>102</v>
      </c>
      <c r="M684" t="s">
        <v>28</v>
      </c>
      <c r="N684" t="s">
        <v>25</v>
      </c>
      <c r="O684" t="s">
        <v>152</v>
      </c>
      <c r="P684">
        <v>2025</v>
      </c>
    </row>
    <row r="685" spans="1:16" hidden="1" x14ac:dyDescent="0.25">
      <c r="A685" s="96" t="s">
        <v>2</v>
      </c>
      <c r="B685" s="96" t="s">
        <v>211</v>
      </c>
      <c r="C685" s="96" t="s">
        <v>4111</v>
      </c>
      <c r="D685" s="96" t="s">
        <v>34</v>
      </c>
      <c r="E685" s="43">
        <v>45980</v>
      </c>
      <c r="F685" s="43">
        <v>46026</v>
      </c>
      <c r="G685" s="96" t="s">
        <v>92</v>
      </c>
      <c r="H685" s="96" t="s">
        <v>4112</v>
      </c>
      <c r="I685" s="96" t="s">
        <v>204</v>
      </c>
      <c r="J685" s="96" t="s">
        <v>96</v>
      </c>
      <c r="K685" s="96" t="s">
        <v>210</v>
      </c>
      <c r="L685">
        <v>46</v>
      </c>
      <c r="M685" t="s">
        <v>24</v>
      </c>
      <c r="N685" t="s">
        <v>20</v>
      </c>
      <c r="O685" t="s">
        <v>170</v>
      </c>
      <c r="P685">
        <v>2025</v>
      </c>
    </row>
    <row r="686" spans="1:16" hidden="1" x14ac:dyDescent="0.25">
      <c r="A686" s="96" t="s">
        <v>175</v>
      </c>
      <c r="B686" s="96" t="s">
        <v>251</v>
      </c>
      <c r="C686" s="96" t="s">
        <v>823</v>
      </c>
      <c r="D686" s="96" t="s">
        <v>237</v>
      </c>
      <c r="E686" s="43">
        <v>45753</v>
      </c>
      <c r="F686" s="43">
        <v>45850</v>
      </c>
      <c r="G686" s="96" t="s">
        <v>92</v>
      </c>
      <c r="H686" s="96" t="s">
        <v>4113</v>
      </c>
      <c r="I686" s="96" t="s">
        <v>194</v>
      </c>
      <c r="J686" s="96" t="s">
        <v>94</v>
      </c>
      <c r="K686" s="96" t="s">
        <v>230</v>
      </c>
      <c r="L686">
        <v>97</v>
      </c>
      <c r="M686" t="s">
        <v>28</v>
      </c>
      <c r="N686" t="s">
        <v>185</v>
      </c>
      <c r="O686" t="s">
        <v>170</v>
      </c>
      <c r="P686">
        <v>2025</v>
      </c>
    </row>
    <row r="687" spans="1:16" hidden="1" x14ac:dyDescent="0.25">
      <c r="A687" s="96" t="s">
        <v>2</v>
      </c>
      <c r="B687" s="96" t="s">
        <v>272</v>
      </c>
      <c r="C687" s="96" t="s">
        <v>824</v>
      </c>
      <c r="D687" s="96" t="s">
        <v>14</v>
      </c>
      <c r="E687" s="43">
        <v>45965</v>
      </c>
      <c r="F687" s="43">
        <v>46009</v>
      </c>
      <c r="G687" s="96" t="s">
        <v>95</v>
      </c>
      <c r="H687" s="96" t="s">
        <v>4114</v>
      </c>
      <c r="I687" s="96" t="s">
        <v>194</v>
      </c>
      <c r="J687" s="96" t="s">
        <v>283</v>
      </c>
      <c r="K687" s="96" t="s">
        <v>230</v>
      </c>
      <c r="L687">
        <v>44</v>
      </c>
      <c r="M687" t="s">
        <v>24</v>
      </c>
      <c r="N687" t="s">
        <v>20</v>
      </c>
      <c r="O687" t="s">
        <v>151</v>
      </c>
      <c r="P687">
        <v>2025</v>
      </c>
    </row>
    <row r="688" spans="1:16" x14ac:dyDescent="0.25">
      <c r="A688" s="96" t="s">
        <v>189</v>
      </c>
      <c r="B688" s="96" t="s">
        <v>234</v>
      </c>
      <c r="C688" s="96" t="s">
        <v>4115</v>
      </c>
      <c r="D688" s="96" t="s">
        <v>215</v>
      </c>
      <c r="E688" s="43">
        <v>46125</v>
      </c>
      <c r="F688" s="43">
        <v>46151</v>
      </c>
      <c r="G688" s="96" t="s">
        <v>90</v>
      </c>
      <c r="H688" s="96" t="s">
        <v>4116</v>
      </c>
      <c r="I688" s="96" t="s">
        <v>228</v>
      </c>
      <c r="J688" s="96" t="s">
        <v>173</v>
      </c>
      <c r="K688" s="96" t="s">
        <v>210</v>
      </c>
      <c r="L688">
        <v>26</v>
      </c>
      <c r="M688" t="s">
        <v>19</v>
      </c>
      <c r="N688" t="s">
        <v>37</v>
      </c>
      <c r="O688" t="s">
        <v>150</v>
      </c>
      <c r="P688">
        <v>2026</v>
      </c>
    </row>
    <row r="689" spans="1:16" hidden="1" x14ac:dyDescent="0.25">
      <c r="A689" s="96" t="s">
        <v>175</v>
      </c>
      <c r="B689" s="96" t="s">
        <v>206</v>
      </c>
      <c r="C689" s="96" t="s">
        <v>825</v>
      </c>
      <c r="D689" s="96" t="s">
        <v>10</v>
      </c>
      <c r="E689" s="43">
        <v>45685</v>
      </c>
      <c r="F689" s="43">
        <v>45697</v>
      </c>
      <c r="G689" s="96" t="s">
        <v>92</v>
      </c>
      <c r="H689" s="96" t="s">
        <v>4117</v>
      </c>
      <c r="I689" s="96" t="s">
        <v>209</v>
      </c>
      <c r="J689" s="96" t="s">
        <v>173</v>
      </c>
      <c r="K689" s="96" t="s">
        <v>205</v>
      </c>
      <c r="L689">
        <v>12</v>
      </c>
      <c r="M689" t="s">
        <v>15</v>
      </c>
      <c r="N689" t="s">
        <v>181</v>
      </c>
      <c r="O689" t="s">
        <v>152</v>
      </c>
      <c r="P689">
        <v>2025</v>
      </c>
    </row>
    <row r="690" spans="1:16" x14ac:dyDescent="0.25">
      <c r="A690" s="96" t="s">
        <v>2</v>
      </c>
      <c r="B690" s="96" t="s">
        <v>305</v>
      </c>
      <c r="C690" s="96" t="s">
        <v>827</v>
      </c>
      <c r="D690" s="96" t="s">
        <v>34</v>
      </c>
      <c r="E690" s="43">
        <v>46100</v>
      </c>
      <c r="F690" s="43">
        <v>46140</v>
      </c>
      <c r="G690" s="96" t="s">
        <v>92</v>
      </c>
      <c r="H690" s="96" t="s">
        <v>4118</v>
      </c>
      <c r="I690" s="96" t="s">
        <v>209</v>
      </c>
      <c r="J690" s="96" t="s">
        <v>98</v>
      </c>
      <c r="K690" s="96" t="s">
        <v>200</v>
      </c>
      <c r="L690">
        <v>40</v>
      </c>
      <c r="M690" t="s">
        <v>24</v>
      </c>
      <c r="N690" t="s">
        <v>35</v>
      </c>
      <c r="O690" t="s">
        <v>170</v>
      </c>
      <c r="P690">
        <v>2026</v>
      </c>
    </row>
    <row r="691" spans="1:16" x14ac:dyDescent="0.25">
      <c r="A691" s="96" t="s">
        <v>2</v>
      </c>
      <c r="B691" s="96" t="s">
        <v>244</v>
      </c>
      <c r="C691" s="96" t="s">
        <v>4119</v>
      </c>
      <c r="D691" s="96" t="s">
        <v>237</v>
      </c>
      <c r="E691" s="43">
        <v>46047</v>
      </c>
      <c r="F691" s="43">
        <v>46097</v>
      </c>
      <c r="G691" s="96" t="s">
        <v>92</v>
      </c>
      <c r="H691" s="96" t="s">
        <v>4120</v>
      </c>
      <c r="I691" s="96" t="s">
        <v>228</v>
      </c>
      <c r="J691" s="96" t="s">
        <v>176</v>
      </c>
      <c r="K691" s="96" t="s">
        <v>157</v>
      </c>
      <c r="L691">
        <v>50</v>
      </c>
      <c r="M691" t="s">
        <v>24</v>
      </c>
      <c r="N691" t="s">
        <v>29</v>
      </c>
      <c r="O691" t="s">
        <v>150</v>
      </c>
      <c r="P691">
        <v>2026</v>
      </c>
    </row>
    <row r="692" spans="1:16" hidden="1" x14ac:dyDescent="0.25">
      <c r="A692" s="96" t="s">
        <v>2</v>
      </c>
      <c r="B692" s="96" t="s">
        <v>211</v>
      </c>
      <c r="C692" s="96" t="s">
        <v>829</v>
      </c>
      <c r="D692" s="96" t="s">
        <v>237</v>
      </c>
      <c r="E692" s="43">
        <v>45861</v>
      </c>
      <c r="F692" s="43">
        <v>45979</v>
      </c>
      <c r="G692" s="96" t="s">
        <v>92</v>
      </c>
      <c r="H692" s="96" t="s">
        <v>4121</v>
      </c>
      <c r="I692" s="96" t="s">
        <v>9</v>
      </c>
      <c r="J692" s="96" t="s">
        <v>174</v>
      </c>
      <c r="K692" s="96" t="s">
        <v>217</v>
      </c>
      <c r="L692">
        <v>118</v>
      </c>
      <c r="M692" t="s">
        <v>28</v>
      </c>
      <c r="N692" t="s">
        <v>187</v>
      </c>
      <c r="O692" t="s">
        <v>170</v>
      </c>
      <c r="P692">
        <v>2025</v>
      </c>
    </row>
    <row r="693" spans="1:16" hidden="1" x14ac:dyDescent="0.25">
      <c r="A693" s="96" t="s">
        <v>2</v>
      </c>
      <c r="B693" s="96" t="s">
        <v>264</v>
      </c>
      <c r="C693" s="96" t="s">
        <v>4122</v>
      </c>
      <c r="D693" s="96" t="s">
        <v>237</v>
      </c>
      <c r="E693" s="43">
        <v>45875</v>
      </c>
      <c r="F693" s="43">
        <v>45895</v>
      </c>
      <c r="G693" s="96" t="s">
        <v>90</v>
      </c>
      <c r="H693" s="96" t="s">
        <v>4123</v>
      </c>
      <c r="I693" s="96" t="s">
        <v>225</v>
      </c>
      <c r="J693" s="96" t="s">
        <v>229</v>
      </c>
      <c r="K693" s="96" t="s">
        <v>217</v>
      </c>
      <c r="L693">
        <v>20</v>
      </c>
      <c r="M693" t="s">
        <v>19</v>
      </c>
      <c r="N693" t="s">
        <v>8</v>
      </c>
      <c r="O693" t="s">
        <v>152</v>
      </c>
      <c r="P693">
        <v>2025</v>
      </c>
    </row>
    <row r="694" spans="1:16" hidden="1" x14ac:dyDescent="0.25">
      <c r="A694" s="96" t="s">
        <v>2</v>
      </c>
      <c r="B694" s="96" t="s">
        <v>213</v>
      </c>
      <c r="C694" s="96" t="s">
        <v>831</v>
      </c>
      <c r="D694" s="96" t="s">
        <v>34</v>
      </c>
      <c r="E694" s="43">
        <v>45712</v>
      </c>
      <c r="F694" s="43">
        <v>45772</v>
      </c>
      <c r="G694" s="96" t="s">
        <v>92</v>
      </c>
      <c r="H694" s="96" t="s">
        <v>4124</v>
      </c>
      <c r="I694" s="96" t="s">
        <v>204</v>
      </c>
      <c r="J694" s="96" t="s">
        <v>173</v>
      </c>
      <c r="K694" s="96" t="s">
        <v>157</v>
      </c>
      <c r="L694">
        <v>60</v>
      </c>
      <c r="M694" t="s">
        <v>24</v>
      </c>
      <c r="N694" t="s">
        <v>188</v>
      </c>
      <c r="O694" t="s">
        <v>149</v>
      </c>
      <c r="P694">
        <v>2025</v>
      </c>
    </row>
    <row r="695" spans="1:16" hidden="1" x14ac:dyDescent="0.25">
      <c r="A695" s="96" t="s">
        <v>2</v>
      </c>
      <c r="B695" s="96" t="s">
        <v>272</v>
      </c>
      <c r="C695" s="96" t="s">
        <v>832</v>
      </c>
      <c r="D695" s="96" t="s">
        <v>14</v>
      </c>
      <c r="E695" s="43">
        <v>45890</v>
      </c>
      <c r="F695" s="43">
        <v>45892</v>
      </c>
      <c r="G695" s="96" t="s">
        <v>92</v>
      </c>
      <c r="H695" s="96" t="s">
        <v>4125</v>
      </c>
      <c r="I695" s="96" t="s">
        <v>228</v>
      </c>
      <c r="J695" s="96" t="s">
        <v>93</v>
      </c>
      <c r="K695" s="96" t="s">
        <v>157</v>
      </c>
      <c r="L695">
        <v>2</v>
      </c>
      <c r="M695" t="s">
        <v>11</v>
      </c>
      <c r="N695" t="s">
        <v>8</v>
      </c>
      <c r="O695" t="s">
        <v>151</v>
      </c>
      <c r="P695">
        <v>2025</v>
      </c>
    </row>
    <row r="696" spans="1:16" hidden="1" x14ac:dyDescent="0.25">
      <c r="A696" s="96" t="s">
        <v>171</v>
      </c>
      <c r="B696" s="96" t="s">
        <v>253</v>
      </c>
      <c r="C696" s="96" t="s">
        <v>4126</v>
      </c>
      <c r="D696" s="96" t="s">
        <v>203</v>
      </c>
      <c r="E696" s="43">
        <v>45900</v>
      </c>
      <c r="F696" s="43">
        <v>45992</v>
      </c>
      <c r="G696" s="96" t="s">
        <v>92</v>
      </c>
      <c r="H696" s="96" t="s">
        <v>4127</v>
      </c>
      <c r="I696" s="96" t="s">
        <v>157</v>
      </c>
      <c r="J696" s="96" t="s">
        <v>176</v>
      </c>
      <c r="K696" s="96" t="s">
        <v>233</v>
      </c>
      <c r="L696">
        <v>92</v>
      </c>
      <c r="M696" t="s">
        <v>28</v>
      </c>
      <c r="N696" t="s">
        <v>8</v>
      </c>
      <c r="O696" t="s">
        <v>152</v>
      </c>
      <c r="P696">
        <v>2025</v>
      </c>
    </row>
    <row r="697" spans="1:16" hidden="1" x14ac:dyDescent="0.25">
      <c r="A697" s="96" t="s">
        <v>2</v>
      </c>
      <c r="B697" s="96" t="s">
        <v>264</v>
      </c>
      <c r="C697" s="96" t="s">
        <v>4128</v>
      </c>
      <c r="D697" s="96" t="s">
        <v>192</v>
      </c>
      <c r="E697" s="43">
        <v>45749</v>
      </c>
      <c r="F697" s="43">
        <v>45787</v>
      </c>
      <c r="G697" s="96" t="s">
        <v>92</v>
      </c>
      <c r="H697" s="96" t="s">
        <v>4129</v>
      </c>
      <c r="I697" s="96" t="s">
        <v>9</v>
      </c>
      <c r="J697" s="96" t="s">
        <v>97</v>
      </c>
      <c r="K697" s="96" t="s">
        <v>195</v>
      </c>
      <c r="L697">
        <v>38</v>
      </c>
      <c r="M697" t="s">
        <v>24</v>
      </c>
      <c r="N697" t="s">
        <v>185</v>
      </c>
      <c r="O697" t="s">
        <v>152</v>
      </c>
      <c r="P697">
        <v>2025</v>
      </c>
    </row>
    <row r="698" spans="1:16" hidden="1" x14ac:dyDescent="0.25">
      <c r="A698" s="96" t="s">
        <v>2</v>
      </c>
      <c r="B698" s="96" t="s">
        <v>322</v>
      </c>
      <c r="C698" s="96" t="s">
        <v>833</v>
      </c>
      <c r="D698" s="96" t="s">
        <v>237</v>
      </c>
      <c r="E698" s="43">
        <v>45860</v>
      </c>
      <c r="F698" s="43">
        <v>45892</v>
      </c>
      <c r="G698" s="96" t="s">
        <v>92</v>
      </c>
      <c r="H698" s="96" t="s">
        <v>4130</v>
      </c>
      <c r="I698" s="96" t="s">
        <v>204</v>
      </c>
      <c r="J698" s="96" t="s">
        <v>97</v>
      </c>
      <c r="K698" s="96" t="s">
        <v>246</v>
      </c>
      <c r="L698">
        <v>32</v>
      </c>
      <c r="M698" t="s">
        <v>24</v>
      </c>
      <c r="N698" t="s">
        <v>187</v>
      </c>
      <c r="O698" t="s">
        <v>150</v>
      </c>
      <c r="P698">
        <v>2025</v>
      </c>
    </row>
    <row r="699" spans="1:16" hidden="1" x14ac:dyDescent="0.25">
      <c r="A699" s="96" t="s">
        <v>2</v>
      </c>
      <c r="B699" s="96" t="s">
        <v>280</v>
      </c>
      <c r="C699" s="96" t="s">
        <v>4131</v>
      </c>
      <c r="D699" s="96" t="s">
        <v>192</v>
      </c>
      <c r="E699" s="43">
        <v>45782</v>
      </c>
      <c r="F699" s="43">
        <v>45900</v>
      </c>
      <c r="G699" s="96" t="s">
        <v>92</v>
      </c>
      <c r="H699" s="96" t="s">
        <v>812</v>
      </c>
      <c r="I699" s="96" t="s">
        <v>209</v>
      </c>
      <c r="J699" s="96" t="s">
        <v>199</v>
      </c>
      <c r="K699" s="96" t="s">
        <v>217</v>
      </c>
      <c r="L699">
        <v>118</v>
      </c>
      <c r="M699" t="s">
        <v>28</v>
      </c>
      <c r="N699" t="s">
        <v>182</v>
      </c>
      <c r="O699" t="s">
        <v>170</v>
      </c>
      <c r="P699">
        <v>2025</v>
      </c>
    </row>
    <row r="700" spans="1:16" hidden="1" x14ac:dyDescent="0.25">
      <c r="A700" s="96" t="s">
        <v>2</v>
      </c>
      <c r="B700" s="96" t="s">
        <v>264</v>
      </c>
      <c r="C700" s="96" t="s">
        <v>834</v>
      </c>
      <c r="D700" s="96" t="s">
        <v>14</v>
      </c>
      <c r="E700" s="43">
        <v>45698</v>
      </c>
      <c r="F700" s="43">
        <v>45742</v>
      </c>
      <c r="G700" s="96" t="s">
        <v>92</v>
      </c>
      <c r="H700" s="96" t="s">
        <v>814</v>
      </c>
      <c r="I700" s="96" t="s">
        <v>157</v>
      </c>
      <c r="J700" s="96" t="s">
        <v>283</v>
      </c>
      <c r="K700" s="96" t="s">
        <v>233</v>
      </c>
      <c r="L700">
        <v>44</v>
      </c>
      <c r="M700" t="s">
        <v>24</v>
      </c>
      <c r="N700" t="s">
        <v>188</v>
      </c>
      <c r="O700" t="s">
        <v>152</v>
      </c>
      <c r="P700">
        <v>2025</v>
      </c>
    </row>
    <row r="701" spans="1:16" x14ac:dyDescent="0.25">
      <c r="A701" s="96" t="s">
        <v>2</v>
      </c>
      <c r="B701" s="96" t="s">
        <v>288</v>
      </c>
      <c r="C701" s="96" t="s">
        <v>4132</v>
      </c>
      <c r="D701" s="96" t="s">
        <v>215</v>
      </c>
      <c r="E701" s="43">
        <v>46089</v>
      </c>
      <c r="F701" s="43">
        <v>46128</v>
      </c>
      <c r="G701" s="96" t="s">
        <v>92</v>
      </c>
      <c r="H701" s="96" t="s">
        <v>815</v>
      </c>
      <c r="I701" s="96" t="s">
        <v>157</v>
      </c>
      <c r="J701" s="96" t="s">
        <v>283</v>
      </c>
      <c r="K701" s="96" t="s">
        <v>230</v>
      </c>
      <c r="L701">
        <v>39</v>
      </c>
      <c r="M701" t="s">
        <v>24</v>
      </c>
      <c r="N701" t="s">
        <v>35</v>
      </c>
      <c r="O701" t="s">
        <v>170</v>
      </c>
      <c r="P701">
        <v>2026</v>
      </c>
    </row>
    <row r="702" spans="1:16" hidden="1" x14ac:dyDescent="0.25">
      <c r="A702" s="96" t="s">
        <v>2</v>
      </c>
      <c r="B702" s="96" t="s">
        <v>221</v>
      </c>
      <c r="C702" s="96" t="s">
        <v>4133</v>
      </c>
      <c r="D702" s="96" t="s">
        <v>40</v>
      </c>
      <c r="E702" s="43">
        <v>45753</v>
      </c>
      <c r="F702" s="43">
        <v>45789</v>
      </c>
      <c r="G702" s="96" t="s">
        <v>90</v>
      </c>
      <c r="H702" s="96" t="s">
        <v>4134</v>
      </c>
      <c r="I702" s="96" t="s">
        <v>9</v>
      </c>
      <c r="J702" s="96" t="s">
        <v>283</v>
      </c>
      <c r="K702" s="96" t="s">
        <v>205</v>
      </c>
      <c r="L702">
        <v>36</v>
      </c>
      <c r="M702" t="s">
        <v>24</v>
      </c>
      <c r="N702" t="s">
        <v>185</v>
      </c>
      <c r="O702" t="s">
        <v>170</v>
      </c>
      <c r="P702">
        <v>2025</v>
      </c>
    </row>
    <row r="703" spans="1:16" hidden="1" x14ac:dyDescent="0.25">
      <c r="A703" s="96" t="s">
        <v>2</v>
      </c>
      <c r="B703" s="96" t="s">
        <v>238</v>
      </c>
      <c r="C703" s="96" t="s">
        <v>835</v>
      </c>
      <c r="D703" s="96" t="s">
        <v>192</v>
      </c>
      <c r="E703" s="43">
        <v>45771</v>
      </c>
      <c r="F703" s="43">
        <v>45780</v>
      </c>
      <c r="G703" s="96" t="s">
        <v>92</v>
      </c>
      <c r="H703" s="96" t="s">
        <v>4135</v>
      </c>
      <c r="I703" s="96" t="s">
        <v>204</v>
      </c>
      <c r="J703" s="96" t="s">
        <v>98</v>
      </c>
      <c r="K703" s="96" t="s">
        <v>217</v>
      </c>
      <c r="L703">
        <v>9</v>
      </c>
      <c r="M703" t="s">
        <v>15</v>
      </c>
      <c r="N703" t="s">
        <v>185</v>
      </c>
      <c r="O703" t="s">
        <v>170</v>
      </c>
      <c r="P703">
        <v>2025</v>
      </c>
    </row>
    <row r="704" spans="1:16" hidden="1" x14ac:dyDescent="0.25">
      <c r="A704" s="96" t="s">
        <v>2</v>
      </c>
      <c r="B704" s="96" t="s">
        <v>264</v>
      </c>
      <c r="C704" s="96" t="s">
        <v>4136</v>
      </c>
      <c r="D704" s="96" t="s">
        <v>208</v>
      </c>
      <c r="E704" s="43">
        <v>45943</v>
      </c>
      <c r="F704" s="43">
        <v>45945</v>
      </c>
      <c r="G704" s="96" t="s">
        <v>90</v>
      </c>
      <c r="H704" s="96" t="s">
        <v>4137</v>
      </c>
      <c r="I704" s="96" t="s">
        <v>225</v>
      </c>
      <c r="J704" s="96" t="s">
        <v>98</v>
      </c>
      <c r="K704" s="96" t="s">
        <v>210</v>
      </c>
      <c r="L704">
        <v>2</v>
      </c>
      <c r="M704" t="s">
        <v>11</v>
      </c>
      <c r="N704" t="s">
        <v>16</v>
      </c>
      <c r="O704" t="s">
        <v>152</v>
      </c>
      <c r="P704">
        <v>2025</v>
      </c>
    </row>
    <row r="705" spans="1:16" hidden="1" x14ac:dyDescent="0.25">
      <c r="A705" s="96" t="s">
        <v>2</v>
      </c>
      <c r="B705" s="96" t="s">
        <v>240</v>
      </c>
      <c r="C705" s="96" t="s">
        <v>4138</v>
      </c>
      <c r="D705" s="96" t="s">
        <v>215</v>
      </c>
      <c r="E705" s="43">
        <v>45788</v>
      </c>
      <c r="F705" s="43">
        <v>45840</v>
      </c>
      <c r="G705" s="96" t="s">
        <v>92</v>
      </c>
      <c r="H705" s="96" t="s">
        <v>4139</v>
      </c>
      <c r="I705" s="96" t="s">
        <v>209</v>
      </c>
      <c r="J705" s="96" t="s">
        <v>169</v>
      </c>
      <c r="K705" s="96" t="s">
        <v>200</v>
      </c>
      <c r="L705">
        <v>52</v>
      </c>
      <c r="M705" t="s">
        <v>24</v>
      </c>
      <c r="N705" t="s">
        <v>182</v>
      </c>
      <c r="O705" t="s">
        <v>149</v>
      </c>
      <c r="P705">
        <v>2025</v>
      </c>
    </row>
    <row r="706" spans="1:16" hidden="1" x14ac:dyDescent="0.25">
      <c r="A706" s="96" t="s">
        <v>2</v>
      </c>
      <c r="B706" s="96" t="s">
        <v>257</v>
      </c>
      <c r="C706" s="96" t="s">
        <v>836</v>
      </c>
      <c r="D706" s="96" t="s">
        <v>192</v>
      </c>
      <c r="E706" s="43">
        <v>45819</v>
      </c>
      <c r="F706" s="43">
        <v>45877</v>
      </c>
      <c r="G706" s="96" t="s">
        <v>92</v>
      </c>
      <c r="H706" s="96" t="s">
        <v>4140</v>
      </c>
      <c r="I706" s="96" t="s">
        <v>194</v>
      </c>
      <c r="J706" s="96" t="s">
        <v>283</v>
      </c>
      <c r="K706" s="96" t="s">
        <v>195</v>
      </c>
      <c r="L706">
        <v>58</v>
      </c>
      <c r="M706" t="s">
        <v>24</v>
      </c>
      <c r="N706" t="s">
        <v>184</v>
      </c>
      <c r="O706" t="s">
        <v>151</v>
      </c>
      <c r="P706">
        <v>2025</v>
      </c>
    </row>
    <row r="707" spans="1:16" x14ac:dyDescent="0.25">
      <c r="A707" s="96" t="s">
        <v>2</v>
      </c>
      <c r="B707" s="96" t="s">
        <v>226</v>
      </c>
      <c r="C707" s="96" t="s">
        <v>837</v>
      </c>
      <c r="D707" s="96" t="s">
        <v>14</v>
      </c>
      <c r="E707" s="43">
        <v>46095</v>
      </c>
      <c r="F707" s="43">
        <v>46146</v>
      </c>
      <c r="G707" s="96" t="s">
        <v>92</v>
      </c>
      <c r="H707" s="96" t="s">
        <v>4141</v>
      </c>
      <c r="I707" s="96" t="s">
        <v>194</v>
      </c>
      <c r="J707" s="96" t="s">
        <v>91</v>
      </c>
      <c r="K707" s="96" t="s">
        <v>205</v>
      </c>
      <c r="L707">
        <v>51</v>
      </c>
      <c r="M707" t="s">
        <v>24</v>
      </c>
      <c r="N707" t="s">
        <v>35</v>
      </c>
      <c r="O707" t="s">
        <v>151</v>
      </c>
      <c r="P707">
        <v>2026</v>
      </c>
    </row>
    <row r="708" spans="1:16" x14ac:dyDescent="0.25">
      <c r="A708" s="96" t="s">
        <v>2</v>
      </c>
      <c r="B708" s="96" t="s">
        <v>302</v>
      </c>
      <c r="C708" s="96" t="s">
        <v>838</v>
      </c>
      <c r="D708" s="96" t="s">
        <v>192</v>
      </c>
      <c r="E708" s="43">
        <v>46097</v>
      </c>
      <c r="F708" s="43">
        <v>46120</v>
      </c>
      <c r="G708" s="96" t="s">
        <v>92</v>
      </c>
      <c r="H708" s="96" t="s">
        <v>4142</v>
      </c>
      <c r="I708" s="96" t="s">
        <v>204</v>
      </c>
      <c r="J708" s="96" t="s">
        <v>174</v>
      </c>
      <c r="K708" s="96" t="s">
        <v>200</v>
      </c>
      <c r="L708">
        <v>23</v>
      </c>
      <c r="M708" t="s">
        <v>19</v>
      </c>
      <c r="N708" t="s">
        <v>35</v>
      </c>
      <c r="O708" t="s">
        <v>150</v>
      </c>
      <c r="P708">
        <v>2026</v>
      </c>
    </row>
    <row r="709" spans="1:16" hidden="1" x14ac:dyDescent="0.25">
      <c r="A709" s="96" t="s">
        <v>2</v>
      </c>
      <c r="B709" s="96" t="s">
        <v>253</v>
      </c>
      <c r="C709" s="96" t="s">
        <v>839</v>
      </c>
      <c r="D709" s="96" t="s">
        <v>208</v>
      </c>
      <c r="E709" s="43">
        <v>45998</v>
      </c>
      <c r="F709" s="43">
        <v>46112</v>
      </c>
      <c r="G709" s="96" t="s">
        <v>92</v>
      </c>
      <c r="H709" s="96" t="s">
        <v>4143</v>
      </c>
      <c r="I709" s="96" t="s">
        <v>204</v>
      </c>
      <c r="J709" s="96" t="s">
        <v>93</v>
      </c>
      <c r="K709" s="96" t="s">
        <v>210</v>
      </c>
      <c r="L709">
        <v>114</v>
      </c>
      <c r="M709" t="s">
        <v>28</v>
      </c>
      <c r="N709" t="s">
        <v>25</v>
      </c>
      <c r="O709" t="s">
        <v>152</v>
      </c>
      <c r="P709">
        <v>2025</v>
      </c>
    </row>
    <row r="710" spans="1:16" x14ac:dyDescent="0.25">
      <c r="A710" s="96" t="s">
        <v>2</v>
      </c>
      <c r="B710" s="96" t="s">
        <v>218</v>
      </c>
      <c r="C710" s="96" t="s">
        <v>840</v>
      </c>
      <c r="D710" s="96" t="s">
        <v>14</v>
      </c>
      <c r="E710" s="43">
        <v>46068</v>
      </c>
      <c r="F710" s="43">
        <v>46120</v>
      </c>
      <c r="G710" s="96" t="s">
        <v>92</v>
      </c>
      <c r="H710" s="96" t="s">
        <v>4144</v>
      </c>
      <c r="I710" s="96" t="s">
        <v>194</v>
      </c>
      <c r="J710" s="96" t="s">
        <v>283</v>
      </c>
      <c r="K710" s="96" t="s">
        <v>217</v>
      </c>
      <c r="L710">
        <v>52</v>
      </c>
      <c r="M710" t="s">
        <v>24</v>
      </c>
      <c r="N710" t="s">
        <v>32</v>
      </c>
      <c r="O710" t="s">
        <v>152</v>
      </c>
      <c r="P710">
        <v>2026</v>
      </c>
    </row>
    <row r="711" spans="1:16" hidden="1" x14ac:dyDescent="0.25">
      <c r="A711" s="96" t="s">
        <v>2</v>
      </c>
      <c r="B711" s="96" t="s">
        <v>231</v>
      </c>
      <c r="C711" s="96" t="s">
        <v>841</v>
      </c>
      <c r="D711" s="96" t="s">
        <v>10</v>
      </c>
      <c r="E711" s="43">
        <v>45983</v>
      </c>
      <c r="F711" s="43">
        <v>45987</v>
      </c>
      <c r="G711" s="96" t="s">
        <v>92</v>
      </c>
      <c r="H711" s="96" t="s">
        <v>4145</v>
      </c>
      <c r="I711" s="96" t="s">
        <v>204</v>
      </c>
      <c r="J711" s="96" t="s">
        <v>94</v>
      </c>
      <c r="K711" s="96" t="s">
        <v>210</v>
      </c>
      <c r="L711">
        <v>4</v>
      </c>
      <c r="M711" t="s">
        <v>11</v>
      </c>
      <c r="N711" t="s">
        <v>20</v>
      </c>
      <c r="O711" t="s">
        <v>170</v>
      </c>
      <c r="P711">
        <v>2025</v>
      </c>
    </row>
    <row r="712" spans="1:16" hidden="1" x14ac:dyDescent="0.25">
      <c r="A712" s="96" t="s">
        <v>2</v>
      </c>
      <c r="B712" s="96" t="s">
        <v>213</v>
      </c>
      <c r="C712" s="96" t="s">
        <v>4146</v>
      </c>
      <c r="D712" s="96" t="s">
        <v>203</v>
      </c>
      <c r="E712" s="43">
        <v>45899</v>
      </c>
      <c r="F712" s="43">
        <v>45987</v>
      </c>
      <c r="G712" s="96" t="s">
        <v>92</v>
      </c>
      <c r="H712" s="96" t="s">
        <v>4147</v>
      </c>
      <c r="I712" s="96" t="s">
        <v>228</v>
      </c>
      <c r="J712" s="96" t="s">
        <v>91</v>
      </c>
      <c r="K712" s="96" t="s">
        <v>210</v>
      </c>
      <c r="L712">
        <v>88</v>
      </c>
      <c r="M712" t="s">
        <v>28</v>
      </c>
      <c r="N712" t="s">
        <v>8</v>
      </c>
      <c r="O712" t="s">
        <v>149</v>
      </c>
      <c r="P712">
        <v>2025</v>
      </c>
    </row>
    <row r="713" spans="1:16" hidden="1" x14ac:dyDescent="0.25">
      <c r="A713" s="96" t="s">
        <v>2</v>
      </c>
      <c r="B713" s="96" t="s">
        <v>257</v>
      </c>
      <c r="C713" s="96" t="s">
        <v>842</v>
      </c>
      <c r="D713" s="96" t="s">
        <v>192</v>
      </c>
      <c r="E713" s="43">
        <v>45780</v>
      </c>
      <c r="F713" s="43">
        <v>45803</v>
      </c>
      <c r="G713" s="96" t="s">
        <v>92</v>
      </c>
      <c r="H713" s="96" t="s">
        <v>4148</v>
      </c>
      <c r="I713" s="96" t="s">
        <v>194</v>
      </c>
      <c r="J713" s="96" t="s">
        <v>93</v>
      </c>
      <c r="K713" s="96" t="s">
        <v>205</v>
      </c>
      <c r="L713">
        <v>23</v>
      </c>
      <c r="M713" t="s">
        <v>19</v>
      </c>
      <c r="N713" t="s">
        <v>182</v>
      </c>
      <c r="O713" t="s">
        <v>151</v>
      </c>
      <c r="P713">
        <v>2025</v>
      </c>
    </row>
    <row r="714" spans="1:16" hidden="1" x14ac:dyDescent="0.25">
      <c r="A714" s="96" t="s">
        <v>2</v>
      </c>
      <c r="B714" s="96" t="s">
        <v>247</v>
      </c>
      <c r="C714" s="96" t="s">
        <v>843</v>
      </c>
      <c r="D714" s="96" t="s">
        <v>34</v>
      </c>
      <c r="E714" s="43">
        <v>45885</v>
      </c>
      <c r="F714" s="43">
        <v>45916</v>
      </c>
      <c r="G714" s="96" t="s">
        <v>92</v>
      </c>
      <c r="H714" s="96" t="s">
        <v>4149</v>
      </c>
      <c r="I714" s="96" t="s">
        <v>225</v>
      </c>
      <c r="J714" s="96" t="s">
        <v>93</v>
      </c>
      <c r="K714" s="96" t="s">
        <v>233</v>
      </c>
      <c r="L714">
        <v>31</v>
      </c>
      <c r="M714" t="s">
        <v>24</v>
      </c>
      <c r="N714" t="s">
        <v>8</v>
      </c>
      <c r="O714" t="s">
        <v>150</v>
      </c>
      <c r="P714">
        <v>2025</v>
      </c>
    </row>
    <row r="715" spans="1:16" hidden="1" x14ac:dyDescent="0.25">
      <c r="A715" s="96" t="s">
        <v>2</v>
      </c>
      <c r="B715" s="96" t="s">
        <v>257</v>
      </c>
      <c r="C715" s="96" t="s">
        <v>844</v>
      </c>
      <c r="D715" s="96" t="s">
        <v>237</v>
      </c>
      <c r="E715" s="43">
        <v>45688</v>
      </c>
      <c r="F715" s="43">
        <v>45726</v>
      </c>
      <c r="G715" s="96" t="s">
        <v>90</v>
      </c>
      <c r="H715" s="96" t="s">
        <v>4150</v>
      </c>
      <c r="I715" s="96" t="s">
        <v>157</v>
      </c>
      <c r="J715" s="96" t="s">
        <v>199</v>
      </c>
      <c r="K715" s="96" t="s">
        <v>233</v>
      </c>
      <c r="L715">
        <v>38</v>
      </c>
      <c r="M715" t="s">
        <v>24</v>
      </c>
      <c r="N715" t="s">
        <v>181</v>
      </c>
      <c r="O715" t="s">
        <v>151</v>
      </c>
      <c r="P715">
        <v>2025</v>
      </c>
    </row>
    <row r="716" spans="1:16" x14ac:dyDescent="0.25">
      <c r="A716" s="96" t="s">
        <v>2</v>
      </c>
      <c r="B716" s="96" t="s">
        <v>317</v>
      </c>
      <c r="C716" s="96" t="s">
        <v>845</v>
      </c>
      <c r="D716" s="96" t="s">
        <v>215</v>
      </c>
      <c r="E716" s="43">
        <v>46089</v>
      </c>
      <c r="F716" s="43">
        <v>46149</v>
      </c>
      <c r="G716" s="96" t="s">
        <v>92</v>
      </c>
      <c r="H716" s="96" t="s">
        <v>4151</v>
      </c>
      <c r="I716" s="96" t="s">
        <v>204</v>
      </c>
      <c r="J716" s="96" t="s">
        <v>97</v>
      </c>
      <c r="K716" s="96" t="s">
        <v>230</v>
      </c>
      <c r="L716">
        <v>60</v>
      </c>
      <c r="M716" t="s">
        <v>24</v>
      </c>
      <c r="N716" t="s">
        <v>35</v>
      </c>
      <c r="O716" t="s">
        <v>170</v>
      </c>
      <c r="P716">
        <v>2026</v>
      </c>
    </row>
    <row r="717" spans="1:16" hidden="1" x14ac:dyDescent="0.25">
      <c r="A717" s="96" t="s">
        <v>2</v>
      </c>
      <c r="B717" s="96" t="s">
        <v>264</v>
      </c>
      <c r="C717" s="96" t="s">
        <v>846</v>
      </c>
      <c r="D717" s="96" t="s">
        <v>34</v>
      </c>
      <c r="E717" s="43">
        <v>45739</v>
      </c>
      <c r="F717" s="43">
        <v>45812</v>
      </c>
      <c r="G717" s="96" t="s">
        <v>90</v>
      </c>
      <c r="H717" s="96" t="s">
        <v>4152</v>
      </c>
      <c r="I717" s="96" t="s">
        <v>228</v>
      </c>
      <c r="J717" s="96" t="s">
        <v>96</v>
      </c>
      <c r="K717" s="96" t="s">
        <v>217</v>
      </c>
      <c r="L717">
        <v>73</v>
      </c>
      <c r="M717" t="s">
        <v>28</v>
      </c>
      <c r="N717" t="s">
        <v>186</v>
      </c>
      <c r="O717" t="s">
        <v>152</v>
      </c>
      <c r="P717">
        <v>2025</v>
      </c>
    </row>
    <row r="718" spans="1:16" x14ac:dyDescent="0.25">
      <c r="A718" s="96" t="s">
        <v>2</v>
      </c>
      <c r="B718" s="96" t="s">
        <v>249</v>
      </c>
      <c r="C718" s="96" t="s">
        <v>847</v>
      </c>
      <c r="D718" s="96" t="s">
        <v>203</v>
      </c>
      <c r="E718" s="43">
        <v>46062</v>
      </c>
      <c r="F718" s="43">
        <v>46138</v>
      </c>
      <c r="G718" s="96" t="s">
        <v>92</v>
      </c>
      <c r="H718" s="96" t="s">
        <v>826</v>
      </c>
      <c r="I718" s="96" t="s">
        <v>194</v>
      </c>
      <c r="J718" s="96" t="s">
        <v>229</v>
      </c>
      <c r="K718" s="96" t="s">
        <v>246</v>
      </c>
      <c r="L718">
        <v>76</v>
      </c>
      <c r="M718" t="s">
        <v>28</v>
      </c>
      <c r="N718" t="s">
        <v>32</v>
      </c>
      <c r="O718" t="s">
        <v>170</v>
      </c>
      <c r="P718">
        <v>2026</v>
      </c>
    </row>
    <row r="719" spans="1:16" x14ac:dyDescent="0.25">
      <c r="A719" s="96" t="s">
        <v>2</v>
      </c>
      <c r="B719" s="96" t="s">
        <v>290</v>
      </c>
      <c r="C719" s="96" t="s">
        <v>4153</v>
      </c>
      <c r="D719" s="96" t="s">
        <v>192</v>
      </c>
      <c r="E719" s="43">
        <v>46026</v>
      </c>
      <c r="F719" s="43">
        <v>46112</v>
      </c>
      <c r="G719" s="96" t="s">
        <v>92</v>
      </c>
      <c r="H719" s="96" t="s">
        <v>4154</v>
      </c>
      <c r="I719" s="96" t="s">
        <v>157</v>
      </c>
      <c r="J719" s="96" t="s">
        <v>199</v>
      </c>
      <c r="K719" s="96" t="s">
        <v>205</v>
      </c>
      <c r="L719">
        <v>86</v>
      </c>
      <c r="M719" t="s">
        <v>28</v>
      </c>
      <c r="N719" t="s">
        <v>29</v>
      </c>
      <c r="O719" t="s">
        <v>149</v>
      </c>
      <c r="P719">
        <v>2026</v>
      </c>
    </row>
    <row r="720" spans="1:16" hidden="1" x14ac:dyDescent="0.25">
      <c r="A720" s="96" t="s">
        <v>2</v>
      </c>
      <c r="B720" s="96" t="s">
        <v>211</v>
      </c>
      <c r="C720" s="96" t="s">
        <v>848</v>
      </c>
      <c r="D720" s="96" t="s">
        <v>14</v>
      </c>
      <c r="E720" s="43">
        <v>45893</v>
      </c>
      <c r="F720" s="43">
        <v>45966</v>
      </c>
      <c r="G720" s="96" t="s">
        <v>92</v>
      </c>
      <c r="H720" s="96" t="s">
        <v>828</v>
      </c>
      <c r="I720" s="96" t="s">
        <v>204</v>
      </c>
      <c r="J720" s="96" t="s">
        <v>169</v>
      </c>
      <c r="K720" s="96" t="s">
        <v>233</v>
      </c>
      <c r="L720">
        <v>73</v>
      </c>
      <c r="M720" t="s">
        <v>28</v>
      </c>
      <c r="N720" t="s">
        <v>8</v>
      </c>
      <c r="O720" t="s">
        <v>170</v>
      </c>
      <c r="P720">
        <v>2025</v>
      </c>
    </row>
    <row r="721" spans="1:16" hidden="1" x14ac:dyDescent="0.25">
      <c r="A721" s="96" t="s">
        <v>2</v>
      </c>
      <c r="B721" s="96" t="s">
        <v>190</v>
      </c>
      <c r="C721" s="96" t="s">
        <v>850</v>
      </c>
      <c r="D721" s="96" t="s">
        <v>203</v>
      </c>
      <c r="E721" s="43">
        <v>45991</v>
      </c>
      <c r="F721" s="43">
        <v>46101</v>
      </c>
      <c r="G721" s="96" t="s">
        <v>92</v>
      </c>
      <c r="H721" s="96" t="s">
        <v>4155</v>
      </c>
      <c r="I721" s="96" t="s">
        <v>204</v>
      </c>
      <c r="J721" s="96" t="s">
        <v>165</v>
      </c>
      <c r="K721" s="96" t="s">
        <v>205</v>
      </c>
      <c r="L721">
        <v>110</v>
      </c>
      <c r="M721" t="s">
        <v>28</v>
      </c>
      <c r="N721" t="s">
        <v>20</v>
      </c>
      <c r="O721" t="s">
        <v>150</v>
      </c>
      <c r="P721">
        <v>2025</v>
      </c>
    </row>
    <row r="722" spans="1:16" hidden="1" x14ac:dyDescent="0.25">
      <c r="A722" s="96" t="s">
        <v>2</v>
      </c>
      <c r="B722" s="96" t="s">
        <v>255</v>
      </c>
      <c r="C722" s="96" t="s">
        <v>852</v>
      </c>
      <c r="D722" s="96" t="s">
        <v>208</v>
      </c>
      <c r="E722" s="43">
        <v>45690</v>
      </c>
      <c r="F722" s="43">
        <v>45806</v>
      </c>
      <c r="G722" s="96" t="s">
        <v>92</v>
      </c>
      <c r="H722" s="96" t="s">
        <v>830</v>
      </c>
      <c r="I722" s="96" t="s">
        <v>9</v>
      </c>
      <c r="J722" s="96" t="s">
        <v>98</v>
      </c>
      <c r="K722" s="96" t="s">
        <v>195</v>
      </c>
      <c r="L722">
        <v>116</v>
      </c>
      <c r="M722" t="s">
        <v>28</v>
      </c>
      <c r="N722" t="s">
        <v>188</v>
      </c>
      <c r="O722" t="s">
        <v>150</v>
      </c>
      <c r="P722">
        <v>2025</v>
      </c>
    </row>
    <row r="723" spans="1:16" hidden="1" x14ac:dyDescent="0.25">
      <c r="A723" s="96" t="s">
        <v>2</v>
      </c>
      <c r="B723" s="96" t="s">
        <v>247</v>
      </c>
      <c r="C723" s="96" t="s">
        <v>4156</v>
      </c>
      <c r="D723" s="96" t="s">
        <v>203</v>
      </c>
      <c r="E723" s="43">
        <v>45982</v>
      </c>
      <c r="F723" s="43">
        <v>45992</v>
      </c>
      <c r="G723" s="96" t="s">
        <v>92</v>
      </c>
      <c r="H723" s="96" t="s">
        <v>4157</v>
      </c>
      <c r="I723" s="96" t="s">
        <v>228</v>
      </c>
      <c r="J723" s="96" t="s">
        <v>91</v>
      </c>
      <c r="K723" s="96" t="s">
        <v>246</v>
      </c>
      <c r="L723">
        <v>10</v>
      </c>
      <c r="M723" t="s">
        <v>15</v>
      </c>
      <c r="N723" t="s">
        <v>20</v>
      </c>
      <c r="O723" t="s">
        <v>150</v>
      </c>
      <c r="P723">
        <v>2025</v>
      </c>
    </row>
    <row r="724" spans="1:16" x14ac:dyDescent="0.25">
      <c r="A724" s="96" t="s">
        <v>2</v>
      </c>
      <c r="B724" s="96" t="s">
        <v>269</v>
      </c>
      <c r="C724" s="96" t="s">
        <v>853</v>
      </c>
      <c r="D724" s="96" t="s">
        <v>34</v>
      </c>
      <c r="E724" s="43">
        <v>46086</v>
      </c>
      <c r="F724" s="43">
        <v>46130</v>
      </c>
      <c r="G724" s="96" t="s">
        <v>92</v>
      </c>
      <c r="H724" s="96" t="s">
        <v>4158</v>
      </c>
      <c r="I724" s="96" t="s">
        <v>194</v>
      </c>
      <c r="J724" s="96" t="s">
        <v>172</v>
      </c>
      <c r="K724" s="96" t="s">
        <v>200</v>
      </c>
      <c r="L724">
        <v>44</v>
      </c>
      <c r="M724" t="s">
        <v>24</v>
      </c>
      <c r="N724" t="s">
        <v>35</v>
      </c>
      <c r="O724" t="s">
        <v>152</v>
      </c>
      <c r="P724">
        <v>2026</v>
      </c>
    </row>
    <row r="725" spans="1:16" x14ac:dyDescent="0.25">
      <c r="A725" s="96" t="s">
        <v>2</v>
      </c>
      <c r="B725" s="96" t="s">
        <v>374</v>
      </c>
      <c r="C725" s="96" t="s">
        <v>4159</v>
      </c>
      <c r="D725" s="96" t="s">
        <v>223</v>
      </c>
      <c r="E725" s="43">
        <v>46143</v>
      </c>
      <c r="F725" s="43">
        <v>46150</v>
      </c>
      <c r="G725" s="96" t="s">
        <v>90</v>
      </c>
      <c r="H725" s="96" t="s">
        <v>4160</v>
      </c>
      <c r="I725" s="96" t="s">
        <v>209</v>
      </c>
      <c r="J725" s="96" t="s">
        <v>98</v>
      </c>
      <c r="K725" s="96" t="s">
        <v>210</v>
      </c>
      <c r="L725">
        <v>7</v>
      </c>
      <c r="M725" t="s">
        <v>11</v>
      </c>
      <c r="N725" t="s">
        <v>183</v>
      </c>
      <c r="O725" t="s">
        <v>150</v>
      </c>
      <c r="P725">
        <v>2026</v>
      </c>
    </row>
    <row r="726" spans="1:16" hidden="1" x14ac:dyDescent="0.25">
      <c r="A726" s="96" t="s">
        <v>2</v>
      </c>
      <c r="B726" s="96" t="s">
        <v>190</v>
      </c>
      <c r="C726" s="96" t="s">
        <v>854</v>
      </c>
      <c r="D726" s="96" t="s">
        <v>223</v>
      </c>
      <c r="E726" s="43">
        <v>45737</v>
      </c>
      <c r="F726" s="43">
        <v>45779</v>
      </c>
      <c r="G726" s="96" t="s">
        <v>90</v>
      </c>
      <c r="H726" s="96" t="s">
        <v>4161</v>
      </c>
      <c r="I726" s="96" t="s">
        <v>228</v>
      </c>
      <c r="J726" s="96" t="s">
        <v>216</v>
      </c>
      <c r="K726" s="96" t="s">
        <v>217</v>
      </c>
      <c r="L726">
        <v>42</v>
      </c>
      <c r="M726" t="s">
        <v>24</v>
      </c>
      <c r="N726" t="s">
        <v>186</v>
      </c>
      <c r="O726" t="s">
        <v>150</v>
      </c>
      <c r="P726">
        <v>2025</v>
      </c>
    </row>
    <row r="727" spans="1:16" x14ac:dyDescent="0.25">
      <c r="A727" s="96" t="s">
        <v>189</v>
      </c>
      <c r="B727" s="96" t="s">
        <v>196</v>
      </c>
      <c r="C727" s="96" t="s">
        <v>4162</v>
      </c>
      <c r="D727" s="96" t="s">
        <v>40</v>
      </c>
      <c r="E727" s="43">
        <v>46091</v>
      </c>
      <c r="F727" s="43">
        <v>46121</v>
      </c>
      <c r="G727" s="96" t="s">
        <v>90</v>
      </c>
      <c r="H727" s="96" t="s">
        <v>4163</v>
      </c>
      <c r="I727" s="96" t="s">
        <v>204</v>
      </c>
      <c r="J727" s="96" t="s">
        <v>97</v>
      </c>
      <c r="K727" s="96" t="s">
        <v>200</v>
      </c>
      <c r="L727">
        <v>30</v>
      </c>
      <c r="M727" t="s">
        <v>19</v>
      </c>
      <c r="N727" t="s">
        <v>35</v>
      </c>
      <c r="O727" t="s">
        <v>152</v>
      </c>
      <c r="P727">
        <v>2026</v>
      </c>
    </row>
    <row r="728" spans="1:16" hidden="1" x14ac:dyDescent="0.25">
      <c r="A728" s="96" t="s">
        <v>2</v>
      </c>
      <c r="B728" s="96" t="s">
        <v>272</v>
      </c>
      <c r="C728" s="96" t="s">
        <v>4164</v>
      </c>
      <c r="D728" s="96" t="s">
        <v>223</v>
      </c>
      <c r="E728" s="43">
        <v>45875</v>
      </c>
      <c r="F728" s="43">
        <v>45948</v>
      </c>
      <c r="G728" s="96" t="s">
        <v>95</v>
      </c>
      <c r="H728" s="96" t="s">
        <v>4165</v>
      </c>
      <c r="I728" s="96" t="s">
        <v>209</v>
      </c>
      <c r="J728" s="96" t="s">
        <v>173</v>
      </c>
      <c r="K728" s="96" t="s">
        <v>246</v>
      </c>
      <c r="L728">
        <v>73</v>
      </c>
      <c r="M728" t="s">
        <v>28</v>
      </c>
      <c r="N728" t="s">
        <v>8</v>
      </c>
      <c r="O728" t="s">
        <v>151</v>
      </c>
      <c r="P728">
        <v>2025</v>
      </c>
    </row>
    <row r="729" spans="1:16" x14ac:dyDescent="0.25">
      <c r="A729" s="96" t="s">
        <v>2</v>
      </c>
      <c r="B729" s="96" t="s">
        <v>234</v>
      </c>
      <c r="C729" s="96" t="s">
        <v>4166</v>
      </c>
      <c r="D729" s="96" t="s">
        <v>223</v>
      </c>
      <c r="E729" s="43">
        <v>46027</v>
      </c>
      <c r="F729" s="43">
        <v>46132</v>
      </c>
      <c r="G729" s="96" t="s">
        <v>92</v>
      </c>
      <c r="H729" s="96" t="s">
        <v>4167</v>
      </c>
      <c r="I729" s="96" t="s">
        <v>194</v>
      </c>
      <c r="J729" s="96" t="s">
        <v>176</v>
      </c>
      <c r="K729" s="96" t="s">
        <v>200</v>
      </c>
      <c r="L729">
        <v>105</v>
      </c>
      <c r="M729" t="s">
        <v>28</v>
      </c>
      <c r="N729" t="s">
        <v>29</v>
      </c>
      <c r="O729" t="s">
        <v>150</v>
      </c>
      <c r="P729">
        <v>2026</v>
      </c>
    </row>
    <row r="730" spans="1:16" hidden="1" x14ac:dyDescent="0.25">
      <c r="A730" s="96" t="s">
        <v>175</v>
      </c>
      <c r="B730" s="96" t="s">
        <v>247</v>
      </c>
      <c r="C730" s="96" t="s">
        <v>855</v>
      </c>
      <c r="D730" s="96" t="s">
        <v>223</v>
      </c>
      <c r="E730" s="43">
        <v>45760</v>
      </c>
      <c r="F730" s="43">
        <v>45863</v>
      </c>
      <c r="G730" s="96" t="s">
        <v>92</v>
      </c>
      <c r="H730" s="96" t="s">
        <v>4168</v>
      </c>
      <c r="I730" s="96" t="s">
        <v>209</v>
      </c>
      <c r="J730" s="96" t="s">
        <v>216</v>
      </c>
      <c r="K730" s="96" t="s">
        <v>246</v>
      </c>
      <c r="L730">
        <v>103</v>
      </c>
      <c r="M730" t="s">
        <v>28</v>
      </c>
      <c r="N730" t="s">
        <v>185</v>
      </c>
      <c r="O730" t="s">
        <v>150</v>
      </c>
      <c r="P730">
        <v>2025</v>
      </c>
    </row>
    <row r="731" spans="1:16" x14ac:dyDescent="0.25">
      <c r="A731" s="96" t="s">
        <v>2</v>
      </c>
      <c r="B731" s="96" t="s">
        <v>261</v>
      </c>
      <c r="C731" s="96" t="s">
        <v>857</v>
      </c>
      <c r="D731" s="96" t="s">
        <v>10</v>
      </c>
      <c r="E731" s="43">
        <v>46034</v>
      </c>
      <c r="F731" s="43">
        <v>46134</v>
      </c>
      <c r="G731" s="96" t="s">
        <v>95</v>
      </c>
      <c r="H731" s="96" t="s">
        <v>4169</v>
      </c>
      <c r="I731" s="96" t="s">
        <v>9</v>
      </c>
      <c r="J731" s="96" t="s">
        <v>177</v>
      </c>
      <c r="K731" s="96" t="s">
        <v>200</v>
      </c>
      <c r="L731">
        <v>100</v>
      </c>
      <c r="M731" t="s">
        <v>28</v>
      </c>
      <c r="N731" t="s">
        <v>29</v>
      </c>
      <c r="O731" t="s">
        <v>151</v>
      </c>
      <c r="P731">
        <v>2026</v>
      </c>
    </row>
    <row r="732" spans="1:16" hidden="1" x14ac:dyDescent="0.25">
      <c r="A732" s="96" t="s">
        <v>2</v>
      </c>
      <c r="B732" s="96" t="s">
        <v>221</v>
      </c>
      <c r="C732" s="96" t="s">
        <v>858</v>
      </c>
      <c r="D732" s="96" t="s">
        <v>203</v>
      </c>
      <c r="E732" s="43">
        <v>45951</v>
      </c>
      <c r="F732" s="43">
        <v>45977</v>
      </c>
      <c r="G732" s="96" t="s">
        <v>92</v>
      </c>
      <c r="H732" s="96" t="s">
        <v>4170</v>
      </c>
      <c r="I732" s="96" t="s">
        <v>228</v>
      </c>
      <c r="J732" s="96" t="s">
        <v>96</v>
      </c>
      <c r="K732" s="96" t="s">
        <v>195</v>
      </c>
      <c r="L732">
        <v>26</v>
      </c>
      <c r="M732" t="s">
        <v>19</v>
      </c>
      <c r="N732" t="s">
        <v>16</v>
      </c>
      <c r="O732" t="s">
        <v>170</v>
      </c>
      <c r="P732">
        <v>2025</v>
      </c>
    </row>
    <row r="733" spans="1:16" hidden="1" x14ac:dyDescent="0.25">
      <c r="A733" s="96" t="s">
        <v>2</v>
      </c>
      <c r="B733" s="96" t="s">
        <v>264</v>
      </c>
      <c r="C733" s="96" t="s">
        <v>859</v>
      </c>
      <c r="D733" s="96" t="s">
        <v>237</v>
      </c>
      <c r="E733" s="43">
        <v>45759</v>
      </c>
      <c r="F733" s="43">
        <v>45846</v>
      </c>
      <c r="G733" s="96" t="s">
        <v>95</v>
      </c>
      <c r="H733" s="96" t="s">
        <v>4171</v>
      </c>
      <c r="I733" s="96" t="s">
        <v>194</v>
      </c>
      <c r="J733" s="96" t="s">
        <v>176</v>
      </c>
      <c r="K733" s="96" t="s">
        <v>246</v>
      </c>
      <c r="L733">
        <v>87</v>
      </c>
      <c r="M733" t="s">
        <v>28</v>
      </c>
      <c r="N733" t="s">
        <v>185</v>
      </c>
      <c r="O733" t="s">
        <v>152</v>
      </c>
      <c r="P733">
        <v>2025</v>
      </c>
    </row>
    <row r="734" spans="1:16" x14ac:dyDescent="0.25">
      <c r="A734" s="96" t="s">
        <v>2</v>
      </c>
      <c r="B734" s="96" t="s">
        <v>218</v>
      </c>
      <c r="C734" s="96" t="s">
        <v>4172</v>
      </c>
      <c r="D734" s="96" t="s">
        <v>203</v>
      </c>
      <c r="E734" s="43">
        <v>46038</v>
      </c>
      <c r="F734" s="43">
        <v>46147</v>
      </c>
      <c r="G734" s="96" t="s">
        <v>95</v>
      </c>
      <c r="H734" s="96" t="s">
        <v>4173</v>
      </c>
      <c r="I734" s="96" t="s">
        <v>194</v>
      </c>
      <c r="J734" s="96" t="s">
        <v>96</v>
      </c>
      <c r="K734" s="96" t="s">
        <v>200</v>
      </c>
      <c r="L734">
        <v>109</v>
      </c>
      <c r="M734" t="s">
        <v>28</v>
      </c>
      <c r="N734" t="s">
        <v>29</v>
      </c>
      <c r="O734" t="s">
        <v>152</v>
      </c>
      <c r="P734">
        <v>2026</v>
      </c>
    </row>
    <row r="735" spans="1:16" hidden="1" x14ac:dyDescent="0.25">
      <c r="A735" s="96" t="s">
        <v>2</v>
      </c>
      <c r="B735" s="96" t="s">
        <v>240</v>
      </c>
      <c r="C735" s="96" t="s">
        <v>4174</v>
      </c>
      <c r="D735" s="96" t="s">
        <v>192</v>
      </c>
      <c r="E735" s="43">
        <v>45696</v>
      </c>
      <c r="F735" s="43">
        <v>45769</v>
      </c>
      <c r="G735" s="96" t="s">
        <v>90</v>
      </c>
      <c r="H735" s="96" t="s">
        <v>4175</v>
      </c>
      <c r="I735" s="96" t="s">
        <v>209</v>
      </c>
      <c r="J735" s="96" t="s">
        <v>91</v>
      </c>
      <c r="K735" s="96" t="s">
        <v>233</v>
      </c>
      <c r="L735">
        <v>73</v>
      </c>
      <c r="M735" t="s">
        <v>28</v>
      </c>
      <c r="N735" t="s">
        <v>188</v>
      </c>
      <c r="O735" t="s">
        <v>149</v>
      </c>
      <c r="P735">
        <v>2025</v>
      </c>
    </row>
    <row r="736" spans="1:16" x14ac:dyDescent="0.25">
      <c r="A736" s="96" t="s">
        <v>21</v>
      </c>
      <c r="B736" s="96" t="s">
        <v>261</v>
      </c>
      <c r="C736" s="96" t="s">
        <v>860</v>
      </c>
      <c r="D736" s="96" t="s">
        <v>14</v>
      </c>
      <c r="E736" s="43">
        <v>46133</v>
      </c>
      <c r="F736" s="43">
        <v>46149</v>
      </c>
      <c r="G736" s="96" t="s">
        <v>95</v>
      </c>
      <c r="H736" s="96" t="s">
        <v>4176</v>
      </c>
      <c r="I736" s="96" t="s">
        <v>225</v>
      </c>
      <c r="J736" s="96" t="s">
        <v>174</v>
      </c>
      <c r="K736" s="96" t="s">
        <v>246</v>
      </c>
      <c r="L736">
        <v>16</v>
      </c>
      <c r="M736" t="s">
        <v>19</v>
      </c>
      <c r="N736" t="s">
        <v>37</v>
      </c>
      <c r="O736" t="s">
        <v>151</v>
      </c>
      <c r="P736">
        <v>2026</v>
      </c>
    </row>
    <row r="737" spans="1:16" hidden="1" x14ac:dyDescent="0.25">
      <c r="A737" s="96" t="s">
        <v>2</v>
      </c>
      <c r="B737" s="96" t="s">
        <v>257</v>
      </c>
      <c r="C737" s="96" t="s">
        <v>861</v>
      </c>
      <c r="D737" s="96" t="s">
        <v>10</v>
      </c>
      <c r="E737" s="43">
        <v>46012</v>
      </c>
      <c r="F737" s="43">
        <v>46107</v>
      </c>
      <c r="G737" s="96" t="s">
        <v>92</v>
      </c>
      <c r="H737" s="96" t="s">
        <v>4177</v>
      </c>
      <c r="I737" s="96" t="s">
        <v>9</v>
      </c>
      <c r="J737" s="96" t="s">
        <v>94</v>
      </c>
      <c r="K737" s="96" t="s">
        <v>200</v>
      </c>
      <c r="L737">
        <v>95</v>
      </c>
      <c r="M737" t="s">
        <v>28</v>
      </c>
      <c r="N737" t="s">
        <v>25</v>
      </c>
      <c r="O737" t="s">
        <v>151</v>
      </c>
      <c r="P737">
        <v>2025</v>
      </c>
    </row>
    <row r="738" spans="1:16" hidden="1" x14ac:dyDescent="0.25">
      <c r="A738" s="96" t="s">
        <v>2</v>
      </c>
      <c r="B738" s="96" t="s">
        <v>255</v>
      </c>
      <c r="C738" s="96" t="s">
        <v>863</v>
      </c>
      <c r="D738" s="96" t="s">
        <v>192</v>
      </c>
      <c r="E738" s="43">
        <v>45790</v>
      </c>
      <c r="F738" s="43">
        <v>45900</v>
      </c>
      <c r="G738" s="96" t="s">
        <v>90</v>
      </c>
      <c r="H738" s="96" t="s">
        <v>4178</v>
      </c>
      <c r="I738" s="96" t="s">
        <v>225</v>
      </c>
      <c r="J738" s="96" t="s">
        <v>91</v>
      </c>
      <c r="K738" s="96" t="s">
        <v>210</v>
      </c>
      <c r="L738">
        <v>110</v>
      </c>
      <c r="M738" t="s">
        <v>28</v>
      </c>
      <c r="N738" t="s">
        <v>182</v>
      </c>
      <c r="O738" t="s">
        <v>150</v>
      </c>
      <c r="P738">
        <v>2025</v>
      </c>
    </row>
    <row r="739" spans="1:16" hidden="1" x14ac:dyDescent="0.25">
      <c r="A739" s="96" t="s">
        <v>2</v>
      </c>
      <c r="B739" s="96" t="s">
        <v>190</v>
      </c>
      <c r="C739" s="96" t="s">
        <v>864</v>
      </c>
      <c r="D739" s="96" t="s">
        <v>237</v>
      </c>
      <c r="E739" s="43">
        <v>45875</v>
      </c>
      <c r="F739" s="43">
        <v>45910</v>
      </c>
      <c r="G739" s="96" t="s">
        <v>92</v>
      </c>
      <c r="H739" s="96" t="s">
        <v>4179</v>
      </c>
      <c r="I739" s="96" t="s">
        <v>9</v>
      </c>
      <c r="J739" s="96" t="s">
        <v>93</v>
      </c>
      <c r="K739" s="96" t="s">
        <v>205</v>
      </c>
      <c r="L739">
        <v>35</v>
      </c>
      <c r="M739" t="s">
        <v>24</v>
      </c>
      <c r="N739" t="s">
        <v>8</v>
      </c>
      <c r="O739" t="s">
        <v>150</v>
      </c>
      <c r="P739">
        <v>2025</v>
      </c>
    </row>
    <row r="740" spans="1:16" hidden="1" x14ac:dyDescent="0.25">
      <c r="A740" s="96" t="s">
        <v>2</v>
      </c>
      <c r="B740" s="96" t="s">
        <v>257</v>
      </c>
      <c r="C740" s="96" t="s">
        <v>865</v>
      </c>
      <c r="D740" s="96" t="s">
        <v>34</v>
      </c>
      <c r="E740" s="43">
        <v>45886</v>
      </c>
      <c r="F740" s="43">
        <v>45943</v>
      </c>
      <c r="G740" s="96" t="s">
        <v>92</v>
      </c>
      <c r="H740" s="96" t="s">
        <v>4180</v>
      </c>
      <c r="I740" s="96" t="s">
        <v>228</v>
      </c>
      <c r="J740" s="96" t="s">
        <v>169</v>
      </c>
      <c r="K740" s="96" t="s">
        <v>233</v>
      </c>
      <c r="L740">
        <v>57</v>
      </c>
      <c r="M740" t="s">
        <v>24</v>
      </c>
      <c r="N740" t="s">
        <v>8</v>
      </c>
      <c r="O740" t="s">
        <v>151</v>
      </c>
      <c r="P740">
        <v>2025</v>
      </c>
    </row>
    <row r="741" spans="1:16" hidden="1" x14ac:dyDescent="0.25">
      <c r="A741" s="96" t="s">
        <v>2</v>
      </c>
      <c r="B741" s="96" t="s">
        <v>257</v>
      </c>
      <c r="C741" s="96" t="s">
        <v>866</v>
      </c>
      <c r="D741" s="96" t="s">
        <v>223</v>
      </c>
      <c r="E741" s="43">
        <v>45918</v>
      </c>
      <c r="F741" s="43">
        <v>45933</v>
      </c>
      <c r="G741" s="96" t="s">
        <v>90</v>
      </c>
      <c r="H741" s="96" t="s">
        <v>4181</v>
      </c>
      <c r="I741" s="96" t="s">
        <v>204</v>
      </c>
      <c r="J741" s="96" t="s">
        <v>96</v>
      </c>
      <c r="K741" s="96" t="s">
        <v>233</v>
      </c>
      <c r="L741">
        <v>15</v>
      </c>
      <c r="M741" t="s">
        <v>19</v>
      </c>
      <c r="N741" t="s">
        <v>12</v>
      </c>
      <c r="O741" t="s">
        <v>151</v>
      </c>
      <c r="P741">
        <v>2025</v>
      </c>
    </row>
    <row r="742" spans="1:16" hidden="1" x14ac:dyDescent="0.25">
      <c r="A742" s="96" t="s">
        <v>2</v>
      </c>
      <c r="B742" s="96" t="s">
        <v>322</v>
      </c>
      <c r="C742" s="96" t="s">
        <v>4182</v>
      </c>
      <c r="D742" s="96" t="s">
        <v>40</v>
      </c>
      <c r="E742" s="43">
        <v>45991</v>
      </c>
      <c r="F742" s="43">
        <v>46030</v>
      </c>
      <c r="G742" s="96" t="s">
        <v>90</v>
      </c>
      <c r="H742" s="96" t="s">
        <v>4183</v>
      </c>
      <c r="I742" s="96" t="s">
        <v>209</v>
      </c>
      <c r="J742" s="96" t="s">
        <v>174</v>
      </c>
      <c r="K742" s="96" t="s">
        <v>195</v>
      </c>
      <c r="L742">
        <v>39</v>
      </c>
      <c r="M742" t="s">
        <v>24</v>
      </c>
      <c r="N742" t="s">
        <v>20</v>
      </c>
      <c r="O742" t="s">
        <v>150</v>
      </c>
      <c r="P742">
        <v>2025</v>
      </c>
    </row>
    <row r="743" spans="1:16" hidden="1" x14ac:dyDescent="0.25">
      <c r="A743" s="96" t="s">
        <v>2</v>
      </c>
      <c r="B743" s="96" t="s">
        <v>247</v>
      </c>
      <c r="C743" s="96" t="s">
        <v>867</v>
      </c>
      <c r="D743" s="96" t="s">
        <v>223</v>
      </c>
      <c r="E743" s="43">
        <v>45870</v>
      </c>
      <c r="F743" s="43">
        <v>45976</v>
      </c>
      <c r="G743" s="96" t="s">
        <v>95</v>
      </c>
      <c r="H743" s="96" t="s">
        <v>4184</v>
      </c>
      <c r="I743" s="96" t="s">
        <v>9</v>
      </c>
      <c r="J743" s="96" t="s">
        <v>229</v>
      </c>
      <c r="K743" s="96" t="s">
        <v>195</v>
      </c>
      <c r="L743">
        <v>106</v>
      </c>
      <c r="M743" t="s">
        <v>28</v>
      </c>
      <c r="N743" t="s">
        <v>8</v>
      </c>
      <c r="O743" t="s">
        <v>150</v>
      </c>
      <c r="P743">
        <v>2025</v>
      </c>
    </row>
    <row r="744" spans="1:16" hidden="1" x14ac:dyDescent="0.25">
      <c r="A744" s="96" t="s">
        <v>2</v>
      </c>
      <c r="B744" s="96" t="s">
        <v>264</v>
      </c>
      <c r="C744" s="96" t="s">
        <v>868</v>
      </c>
      <c r="D744" s="96" t="s">
        <v>10</v>
      </c>
      <c r="E744" s="43">
        <v>45814</v>
      </c>
      <c r="F744" s="43">
        <v>45866</v>
      </c>
      <c r="G744" s="96" t="s">
        <v>92</v>
      </c>
      <c r="H744" s="96" t="s">
        <v>4185</v>
      </c>
      <c r="I744" s="96" t="s">
        <v>194</v>
      </c>
      <c r="J744" s="96" t="s">
        <v>177</v>
      </c>
      <c r="K744" s="96" t="s">
        <v>210</v>
      </c>
      <c r="L744">
        <v>52</v>
      </c>
      <c r="M744" t="s">
        <v>24</v>
      </c>
      <c r="N744" t="s">
        <v>184</v>
      </c>
      <c r="O744" t="s">
        <v>152</v>
      </c>
      <c r="P744">
        <v>2025</v>
      </c>
    </row>
    <row r="745" spans="1:16" x14ac:dyDescent="0.25">
      <c r="A745" s="96" t="s">
        <v>2</v>
      </c>
      <c r="B745" s="96" t="s">
        <v>226</v>
      </c>
      <c r="C745" s="96" t="s">
        <v>869</v>
      </c>
      <c r="D745" s="96" t="s">
        <v>237</v>
      </c>
      <c r="E745" s="43">
        <v>46034</v>
      </c>
      <c r="F745" s="43">
        <v>46104</v>
      </c>
      <c r="G745" s="96" t="s">
        <v>92</v>
      </c>
      <c r="H745" s="96" t="s">
        <v>4186</v>
      </c>
      <c r="I745" s="96" t="s">
        <v>9</v>
      </c>
      <c r="J745" s="96" t="s">
        <v>199</v>
      </c>
      <c r="K745" s="96" t="s">
        <v>246</v>
      </c>
      <c r="L745">
        <v>70</v>
      </c>
      <c r="M745" t="s">
        <v>28</v>
      </c>
      <c r="N745" t="s">
        <v>29</v>
      </c>
      <c r="O745" t="s">
        <v>151</v>
      </c>
      <c r="P745">
        <v>2026</v>
      </c>
    </row>
    <row r="746" spans="1:16" hidden="1" x14ac:dyDescent="0.25">
      <c r="A746" s="96" t="s">
        <v>2</v>
      </c>
      <c r="B746" s="96" t="s">
        <v>280</v>
      </c>
      <c r="C746" s="96" t="s">
        <v>870</v>
      </c>
      <c r="D746" s="96" t="s">
        <v>40</v>
      </c>
      <c r="E746" s="43">
        <v>45870</v>
      </c>
      <c r="F746" s="43">
        <v>45980</v>
      </c>
      <c r="G746" s="96" t="s">
        <v>92</v>
      </c>
      <c r="H746" s="96" t="s">
        <v>4187</v>
      </c>
      <c r="I746" s="96" t="s">
        <v>194</v>
      </c>
      <c r="J746" s="96" t="s">
        <v>216</v>
      </c>
      <c r="K746" s="96" t="s">
        <v>230</v>
      </c>
      <c r="L746">
        <v>110</v>
      </c>
      <c r="M746" t="s">
        <v>28</v>
      </c>
      <c r="N746" t="s">
        <v>8</v>
      </c>
      <c r="O746" t="s">
        <v>170</v>
      </c>
      <c r="P746">
        <v>2025</v>
      </c>
    </row>
    <row r="747" spans="1:16" x14ac:dyDescent="0.25">
      <c r="A747" s="96" t="s">
        <v>2</v>
      </c>
      <c r="B747" s="96" t="s">
        <v>219</v>
      </c>
      <c r="C747" s="96" t="s">
        <v>4188</v>
      </c>
      <c r="D747" s="96" t="s">
        <v>215</v>
      </c>
      <c r="E747" s="43">
        <v>46059</v>
      </c>
      <c r="F747" s="43">
        <v>46088</v>
      </c>
      <c r="G747" s="96" t="s">
        <v>92</v>
      </c>
      <c r="H747" s="96" t="s">
        <v>4189</v>
      </c>
      <c r="I747" s="96" t="s">
        <v>225</v>
      </c>
      <c r="J747" s="96" t="s">
        <v>168</v>
      </c>
      <c r="K747" s="96" t="s">
        <v>210</v>
      </c>
      <c r="L747">
        <v>29</v>
      </c>
      <c r="M747" t="s">
        <v>19</v>
      </c>
      <c r="N747" t="s">
        <v>32</v>
      </c>
      <c r="O747" t="s">
        <v>149</v>
      </c>
      <c r="P747">
        <v>2026</v>
      </c>
    </row>
    <row r="748" spans="1:16" hidden="1" x14ac:dyDescent="0.25">
      <c r="A748" s="96" t="s">
        <v>2</v>
      </c>
      <c r="B748" s="96" t="s">
        <v>272</v>
      </c>
      <c r="C748" s="96" t="s">
        <v>871</v>
      </c>
      <c r="D748" s="96" t="s">
        <v>34</v>
      </c>
      <c r="E748" s="43">
        <v>45812</v>
      </c>
      <c r="F748" s="43">
        <v>45855</v>
      </c>
      <c r="G748" s="96" t="s">
        <v>92</v>
      </c>
      <c r="H748" s="96" t="s">
        <v>849</v>
      </c>
      <c r="I748" s="96" t="s">
        <v>228</v>
      </c>
      <c r="J748" s="96" t="s">
        <v>177</v>
      </c>
      <c r="K748" s="96" t="s">
        <v>217</v>
      </c>
      <c r="L748">
        <v>43</v>
      </c>
      <c r="M748" t="s">
        <v>24</v>
      </c>
      <c r="N748" t="s">
        <v>184</v>
      </c>
      <c r="O748" t="s">
        <v>151</v>
      </c>
      <c r="P748">
        <v>2025</v>
      </c>
    </row>
    <row r="749" spans="1:16" hidden="1" x14ac:dyDescent="0.25">
      <c r="A749" s="96" t="s">
        <v>2</v>
      </c>
      <c r="B749" s="96" t="s">
        <v>211</v>
      </c>
      <c r="C749" s="96" t="s">
        <v>872</v>
      </c>
      <c r="D749" s="96" t="s">
        <v>237</v>
      </c>
      <c r="E749" s="43">
        <v>45759</v>
      </c>
      <c r="F749" s="43">
        <v>45783</v>
      </c>
      <c r="G749" s="96" t="s">
        <v>90</v>
      </c>
      <c r="H749" s="96" t="s">
        <v>4190</v>
      </c>
      <c r="I749" s="96" t="s">
        <v>204</v>
      </c>
      <c r="J749" s="96" t="s">
        <v>172</v>
      </c>
      <c r="K749" s="96" t="s">
        <v>246</v>
      </c>
      <c r="L749">
        <v>24</v>
      </c>
      <c r="M749" t="s">
        <v>19</v>
      </c>
      <c r="N749" t="s">
        <v>185</v>
      </c>
      <c r="O749" t="s">
        <v>170</v>
      </c>
      <c r="P749">
        <v>2025</v>
      </c>
    </row>
    <row r="750" spans="1:16" hidden="1" x14ac:dyDescent="0.25">
      <c r="A750" s="96" t="s">
        <v>2</v>
      </c>
      <c r="B750" s="96" t="s">
        <v>280</v>
      </c>
      <c r="C750" s="96" t="s">
        <v>873</v>
      </c>
      <c r="D750" s="96" t="s">
        <v>203</v>
      </c>
      <c r="E750" s="43">
        <v>45834</v>
      </c>
      <c r="F750" s="43">
        <v>45859</v>
      </c>
      <c r="G750" s="96" t="s">
        <v>92</v>
      </c>
      <c r="H750" s="96" t="s">
        <v>851</v>
      </c>
      <c r="I750" s="96" t="s">
        <v>194</v>
      </c>
      <c r="J750" s="96" t="s">
        <v>199</v>
      </c>
      <c r="K750" s="96" t="s">
        <v>230</v>
      </c>
      <c r="L750">
        <v>25</v>
      </c>
      <c r="M750" t="s">
        <v>19</v>
      </c>
      <c r="N750" t="s">
        <v>184</v>
      </c>
      <c r="O750" t="s">
        <v>170</v>
      </c>
      <c r="P750">
        <v>2025</v>
      </c>
    </row>
    <row r="751" spans="1:16" hidden="1" x14ac:dyDescent="0.25">
      <c r="A751" s="96" t="s">
        <v>171</v>
      </c>
      <c r="B751" s="96" t="s">
        <v>264</v>
      </c>
      <c r="C751" s="96" t="s">
        <v>874</v>
      </c>
      <c r="D751" s="96" t="s">
        <v>203</v>
      </c>
      <c r="E751" s="43">
        <v>45921</v>
      </c>
      <c r="F751" s="43">
        <v>46040</v>
      </c>
      <c r="G751" s="96" t="s">
        <v>92</v>
      </c>
      <c r="H751" s="96" t="s">
        <v>4191</v>
      </c>
      <c r="I751" s="96" t="s">
        <v>194</v>
      </c>
      <c r="J751" s="96" t="s">
        <v>199</v>
      </c>
      <c r="K751" s="96" t="s">
        <v>200</v>
      </c>
      <c r="L751">
        <v>119</v>
      </c>
      <c r="M751" t="s">
        <v>28</v>
      </c>
      <c r="N751" t="s">
        <v>12</v>
      </c>
      <c r="O751" t="s">
        <v>152</v>
      </c>
      <c r="P751">
        <v>2025</v>
      </c>
    </row>
    <row r="752" spans="1:16" x14ac:dyDescent="0.25">
      <c r="A752" s="96" t="s">
        <v>2</v>
      </c>
      <c r="B752" s="96" t="s">
        <v>196</v>
      </c>
      <c r="C752" s="96" t="s">
        <v>875</v>
      </c>
      <c r="D752" s="96" t="s">
        <v>215</v>
      </c>
      <c r="E752" s="43">
        <v>46090</v>
      </c>
      <c r="F752" s="43">
        <v>46099</v>
      </c>
      <c r="G752" s="96" t="s">
        <v>95</v>
      </c>
      <c r="H752" s="96" t="s">
        <v>4192</v>
      </c>
      <c r="I752" s="96" t="s">
        <v>194</v>
      </c>
      <c r="J752" s="96" t="s">
        <v>199</v>
      </c>
      <c r="K752" s="96" t="s">
        <v>233</v>
      </c>
      <c r="L752">
        <v>9</v>
      </c>
      <c r="M752" t="s">
        <v>15</v>
      </c>
      <c r="N752" t="s">
        <v>35</v>
      </c>
      <c r="O752" t="s">
        <v>152</v>
      </c>
      <c r="P752">
        <v>2026</v>
      </c>
    </row>
    <row r="753" spans="1:16" hidden="1" x14ac:dyDescent="0.25">
      <c r="A753" s="96" t="s">
        <v>2</v>
      </c>
      <c r="B753" s="96" t="s">
        <v>264</v>
      </c>
      <c r="C753" s="96" t="s">
        <v>4193</v>
      </c>
      <c r="D753" s="96" t="s">
        <v>34</v>
      </c>
      <c r="E753" s="43">
        <v>45809</v>
      </c>
      <c r="F753" s="43">
        <v>45826</v>
      </c>
      <c r="G753" s="96" t="s">
        <v>92</v>
      </c>
      <c r="H753" s="96" t="s">
        <v>4194</v>
      </c>
      <c r="I753" s="96" t="s">
        <v>194</v>
      </c>
      <c r="J753" s="96" t="s">
        <v>169</v>
      </c>
      <c r="K753" s="96" t="s">
        <v>205</v>
      </c>
      <c r="L753">
        <v>17</v>
      </c>
      <c r="M753" t="s">
        <v>19</v>
      </c>
      <c r="N753" t="s">
        <v>184</v>
      </c>
      <c r="O753" t="s">
        <v>152</v>
      </c>
      <c r="P753">
        <v>2025</v>
      </c>
    </row>
    <row r="754" spans="1:16" x14ac:dyDescent="0.25">
      <c r="A754" s="96" t="s">
        <v>175</v>
      </c>
      <c r="B754" s="96" t="s">
        <v>274</v>
      </c>
      <c r="C754" s="96" t="s">
        <v>876</v>
      </c>
      <c r="D754" s="96" t="s">
        <v>237</v>
      </c>
      <c r="E754" s="43">
        <v>46061</v>
      </c>
      <c r="F754" s="43">
        <v>46131</v>
      </c>
      <c r="G754" s="96" t="s">
        <v>92</v>
      </c>
      <c r="H754" s="96" t="s">
        <v>4195</v>
      </c>
      <c r="I754" s="96" t="s">
        <v>228</v>
      </c>
      <c r="J754" s="96" t="s">
        <v>283</v>
      </c>
      <c r="K754" s="96" t="s">
        <v>246</v>
      </c>
      <c r="L754">
        <v>70</v>
      </c>
      <c r="M754" t="s">
        <v>28</v>
      </c>
      <c r="N754" t="s">
        <v>32</v>
      </c>
      <c r="O754" t="s">
        <v>170</v>
      </c>
      <c r="P754">
        <v>2026</v>
      </c>
    </row>
    <row r="755" spans="1:16" hidden="1" x14ac:dyDescent="0.25">
      <c r="A755" s="96" t="s">
        <v>2</v>
      </c>
      <c r="B755" s="96" t="s">
        <v>206</v>
      </c>
      <c r="C755" s="96" t="s">
        <v>4196</v>
      </c>
      <c r="D755" s="96" t="s">
        <v>215</v>
      </c>
      <c r="E755" s="43">
        <v>45727</v>
      </c>
      <c r="F755" s="43">
        <v>45820</v>
      </c>
      <c r="G755" s="96" t="s">
        <v>90</v>
      </c>
      <c r="H755" s="96" t="s">
        <v>4197</v>
      </c>
      <c r="I755" s="96" t="s">
        <v>209</v>
      </c>
      <c r="J755" s="96" t="s">
        <v>165</v>
      </c>
      <c r="K755" s="96" t="s">
        <v>195</v>
      </c>
      <c r="L755">
        <v>93</v>
      </c>
      <c r="M755" t="s">
        <v>28</v>
      </c>
      <c r="N755" t="s">
        <v>186</v>
      </c>
      <c r="O755" t="s">
        <v>152</v>
      </c>
      <c r="P755">
        <v>2025</v>
      </c>
    </row>
    <row r="756" spans="1:16" x14ac:dyDescent="0.25">
      <c r="A756" s="96" t="s">
        <v>2</v>
      </c>
      <c r="B756" s="96" t="s">
        <v>226</v>
      </c>
      <c r="C756" s="96" t="s">
        <v>877</v>
      </c>
      <c r="D756" s="96" t="s">
        <v>34</v>
      </c>
      <c r="E756" s="43">
        <v>46058</v>
      </c>
      <c r="F756" s="43">
        <v>46077</v>
      </c>
      <c r="G756" s="96" t="s">
        <v>90</v>
      </c>
      <c r="H756" s="96" t="s">
        <v>4198</v>
      </c>
      <c r="I756" s="96" t="s">
        <v>209</v>
      </c>
      <c r="J756" s="96" t="s">
        <v>283</v>
      </c>
      <c r="K756" s="96" t="s">
        <v>217</v>
      </c>
      <c r="L756">
        <v>19</v>
      </c>
      <c r="M756" t="s">
        <v>19</v>
      </c>
      <c r="N756" t="s">
        <v>32</v>
      </c>
      <c r="O756" t="s">
        <v>151</v>
      </c>
      <c r="P756">
        <v>2026</v>
      </c>
    </row>
    <row r="757" spans="1:16" hidden="1" x14ac:dyDescent="0.25">
      <c r="A757" s="96" t="s">
        <v>2</v>
      </c>
      <c r="B757" s="96" t="s">
        <v>206</v>
      </c>
      <c r="C757" s="96" t="s">
        <v>878</v>
      </c>
      <c r="D757" s="96" t="s">
        <v>14</v>
      </c>
      <c r="E757" s="43">
        <v>45785</v>
      </c>
      <c r="F757" s="43">
        <v>45892</v>
      </c>
      <c r="G757" s="96" t="s">
        <v>95</v>
      </c>
      <c r="H757" s="96" t="s">
        <v>4199</v>
      </c>
      <c r="I757" s="96" t="s">
        <v>209</v>
      </c>
      <c r="J757" s="96" t="s">
        <v>173</v>
      </c>
      <c r="K757" s="96" t="s">
        <v>205</v>
      </c>
      <c r="L757">
        <v>107</v>
      </c>
      <c r="M757" t="s">
        <v>28</v>
      </c>
      <c r="N757" t="s">
        <v>182</v>
      </c>
      <c r="O757" t="s">
        <v>152</v>
      </c>
      <c r="P757">
        <v>2025</v>
      </c>
    </row>
    <row r="758" spans="1:16" hidden="1" x14ac:dyDescent="0.25">
      <c r="A758" s="96" t="s">
        <v>2</v>
      </c>
      <c r="B758" s="96" t="s">
        <v>206</v>
      </c>
      <c r="C758" s="96" t="s">
        <v>879</v>
      </c>
      <c r="D758" s="96" t="s">
        <v>192</v>
      </c>
      <c r="E758" s="43">
        <v>46002</v>
      </c>
      <c r="F758" s="43">
        <v>46038</v>
      </c>
      <c r="G758" s="96" t="s">
        <v>92</v>
      </c>
      <c r="H758" s="96" t="s">
        <v>4200</v>
      </c>
      <c r="I758" s="96" t="s">
        <v>194</v>
      </c>
      <c r="J758" s="96" t="s">
        <v>94</v>
      </c>
      <c r="K758" s="96" t="s">
        <v>246</v>
      </c>
      <c r="L758">
        <v>36</v>
      </c>
      <c r="M758" t="s">
        <v>24</v>
      </c>
      <c r="N758" t="s">
        <v>25</v>
      </c>
      <c r="O758" t="s">
        <v>152</v>
      </c>
      <c r="P758">
        <v>2025</v>
      </c>
    </row>
    <row r="759" spans="1:16" x14ac:dyDescent="0.25">
      <c r="A759" s="96" t="s">
        <v>2</v>
      </c>
      <c r="B759" s="96" t="s">
        <v>261</v>
      </c>
      <c r="C759" s="96" t="s">
        <v>4201</v>
      </c>
      <c r="D759" s="96" t="s">
        <v>40</v>
      </c>
      <c r="E759" s="43">
        <v>46115</v>
      </c>
      <c r="F759" s="43">
        <v>46146</v>
      </c>
      <c r="G759" s="96" t="s">
        <v>90</v>
      </c>
      <c r="H759" s="96" t="s">
        <v>856</v>
      </c>
      <c r="I759" s="96" t="s">
        <v>209</v>
      </c>
      <c r="J759" s="96" t="s">
        <v>169</v>
      </c>
      <c r="K759" s="96" t="s">
        <v>200</v>
      </c>
      <c r="L759">
        <v>31</v>
      </c>
      <c r="M759" t="s">
        <v>24</v>
      </c>
      <c r="N759" t="s">
        <v>37</v>
      </c>
      <c r="O759" t="s">
        <v>151</v>
      </c>
      <c r="P759">
        <v>2026</v>
      </c>
    </row>
    <row r="760" spans="1:16" hidden="1" x14ac:dyDescent="0.25">
      <c r="A760" s="96" t="s">
        <v>2</v>
      </c>
      <c r="B760" s="96" t="s">
        <v>240</v>
      </c>
      <c r="C760" s="96" t="s">
        <v>880</v>
      </c>
      <c r="D760" s="96" t="s">
        <v>215</v>
      </c>
      <c r="E760" s="43">
        <v>45786</v>
      </c>
      <c r="F760" s="43">
        <v>45832</v>
      </c>
      <c r="G760" s="96" t="s">
        <v>90</v>
      </c>
      <c r="H760" s="96" t="s">
        <v>4202</v>
      </c>
      <c r="I760" s="96" t="s">
        <v>228</v>
      </c>
      <c r="J760" s="96" t="s">
        <v>283</v>
      </c>
      <c r="K760" s="96" t="s">
        <v>230</v>
      </c>
      <c r="L760">
        <v>46</v>
      </c>
      <c r="M760" t="s">
        <v>24</v>
      </c>
      <c r="N760" t="s">
        <v>182</v>
      </c>
      <c r="O760" t="s">
        <v>149</v>
      </c>
      <c r="P760">
        <v>2025</v>
      </c>
    </row>
    <row r="761" spans="1:16" hidden="1" x14ac:dyDescent="0.25">
      <c r="A761" s="96" t="s">
        <v>2</v>
      </c>
      <c r="B761" s="96" t="s">
        <v>255</v>
      </c>
      <c r="C761" s="96" t="s">
        <v>881</v>
      </c>
      <c r="D761" s="96" t="s">
        <v>237</v>
      </c>
      <c r="E761" s="43">
        <v>45718</v>
      </c>
      <c r="F761" s="43">
        <v>45816</v>
      </c>
      <c r="G761" s="96" t="s">
        <v>90</v>
      </c>
      <c r="H761" s="96" t="s">
        <v>4203</v>
      </c>
      <c r="I761" s="96" t="s">
        <v>209</v>
      </c>
      <c r="J761" s="96" t="s">
        <v>177</v>
      </c>
      <c r="K761" s="96" t="s">
        <v>200</v>
      </c>
      <c r="L761">
        <v>98</v>
      </c>
      <c r="M761" t="s">
        <v>28</v>
      </c>
      <c r="N761" t="s">
        <v>186</v>
      </c>
      <c r="O761" t="s">
        <v>150</v>
      </c>
      <c r="P761">
        <v>2025</v>
      </c>
    </row>
    <row r="762" spans="1:16" hidden="1" x14ac:dyDescent="0.25">
      <c r="A762" s="96" t="s">
        <v>189</v>
      </c>
      <c r="B762" s="96" t="s">
        <v>257</v>
      </c>
      <c r="C762" s="96" t="s">
        <v>882</v>
      </c>
      <c r="D762" s="96" t="s">
        <v>10</v>
      </c>
      <c r="E762" s="43">
        <v>45883</v>
      </c>
      <c r="F762" s="43">
        <v>45993</v>
      </c>
      <c r="G762" s="96" t="s">
        <v>90</v>
      </c>
      <c r="H762" s="96" t="s">
        <v>4204</v>
      </c>
      <c r="I762" s="96" t="s">
        <v>225</v>
      </c>
      <c r="J762" s="96" t="s">
        <v>229</v>
      </c>
      <c r="K762" s="96" t="s">
        <v>195</v>
      </c>
      <c r="L762">
        <v>110</v>
      </c>
      <c r="M762" t="s">
        <v>28</v>
      </c>
      <c r="N762" t="s">
        <v>8</v>
      </c>
      <c r="O762" t="s">
        <v>151</v>
      </c>
      <c r="P762">
        <v>2025</v>
      </c>
    </row>
    <row r="763" spans="1:16" hidden="1" x14ac:dyDescent="0.25">
      <c r="A763" s="96" t="s">
        <v>175</v>
      </c>
      <c r="B763" s="96" t="s">
        <v>264</v>
      </c>
      <c r="C763" s="96" t="s">
        <v>4205</v>
      </c>
      <c r="D763" s="96" t="s">
        <v>223</v>
      </c>
      <c r="E763" s="43">
        <v>45826</v>
      </c>
      <c r="F763" s="43">
        <v>45839</v>
      </c>
      <c r="G763" s="96" t="s">
        <v>90</v>
      </c>
      <c r="H763" s="96" t="s">
        <v>4206</v>
      </c>
      <c r="I763" s="96" t="s">
        <v>204</v>
      </c>
      <c r="J763" s="96" t="s">
        <v>94</v>
      </c>
      <c r="K763" s="96" t="s">
        <v>230</v>
      </c>
      <c r="L763">
        <v>13</v>
      </c>
      <c r="M763" t="s">
        <v>15</v>
      </c>
      <c r="N763" t="s">
        <v>184</v>
      </c>
      <c r="O763" t="s">
        <v>152</v>
      </c>
      <c r="P763">
        <v>2025</v>
      </c>
    </row>
    <row r="764" spans="1:16" hidden="1" x14ac:dyDescent="0.25">
      <c r="A764" s="96" t="s">
        <v>2</v>
      </c>
      <c r="B764" s="96" t="s">
        <v>272</v>
      </c>
      <c r="C764" s="96" t="s">
        <v>883</v>
      </c>
      <c r="D764" s="96" t="s">
        <v>237</v>
      </c>
      <c r="E764" s="43">
        <v>45682</v>
      </c>
      <c r="F764" s="43">
        <v>45724</v>
      </c>
      <c r="G764" s="96" t="s">
        <v>92</v>
      </c>
      <c r="H764" s="96" t="s">
        <v>4207</v>
      </c>
      <c r="I764" s="96" t="s">
        <v>157</v>
      </c>
      <c r="J764" s="96" t="s">
        <v>97</v>
      </c>
      <c r="K764" s="96" t="s">
        <v>210</v>
      </c>
      <c r="L764">
        <v>42</v>
      </c>
      <c r="M764" t="s">
        <v>24</v>
      </c>
      <c r="N764" t="s">
        <v>181</v>
      </c>
      <c r="O764" t="s">
        <v>151</v>
      </c>
      <c r="P764">
        <v>2025</v>
      </c>
    </row>
    <row r="765" spans="1:16" x14ac:dyDescent="0.25">
      <c r="A765" s="96" t="s">
        <v>2</v>
      </c>
      <c r="B765" s="96" t="s">
        <v>269</v>
      </c>
      <c r="C765" s="96" t="s">
        <v>884</v>
      </c>
      <c r="D765" s="96" t="s">
        <v>40</v>
      </c>
      <c r="E765" s="43">
        <v>46045</v>
      </c>
      <c r="F765" s="43">
        <v>46088</v>
      </c>
      <c r="G765" s="96" t="s">
        <v>90</v>
      </c>
      <c r="H765" s="96" t="s">
        <v>4208</v>
      </c>
      <c r="I765" s="96" t="s">
        <v>9</v>
      </c>
      <c r="J765" s="96" t="s">
        <v>165</v>
      </c>
      <c r="K765" s="96" t="s">
        <v>217</v>
      </c>
      <c r="L765">
        <v>43</v>
      </c>
      <c r="M765" t="s">
        <v>24</v>
      </c>
      <c r="N765" t="s">
        <v>29</v>
      </c>
      <c r="O765" t="s">
        <v>152</v>
      </c>
      <c r="P765">
        <v>2026</v>
      </c>
    </row>
    <row r="766" spans="1:16" hidden="1" x14ac:dyDescent="0.25">
      <c r="A766" s="96" t="s">
        <v>2</v>
      </c>
      <c r="B766" s="96" t="s">
        <v>247</v>
      </c>
      <c r="C766" s="96" t="s">
        <v>885</v>
      </c>
      <c r="D766" s="96" t="s">
        <v>223</v>
      </c>
      <c r="E766" s="43">
        <v>45912</v>
      </c>
      <c r="F766" s="43">
        <v>45994</v>
      </c>
      <c r="G766" s="96" t="s">
        <v>90</v>
      </c>
      <c r="H766" s="96" t="s">
        <v>4209</v>
      </c>
      <c r="I766" s="96" t="s">
        <v>157</v>
      </c>
      <c r="J766" s="96" t="s">
        <v>93</v>
      </c>
      <c r="K766" s="96" t="s">
        <v>200</v>
      </c>
      <c r="L766">
        <v>82</v>
      </c>
      <c r="M766" t="s">
        <v>28</v>
      </c>
      <c r="N766" t="s">
        <v>12</v>
      </c>
      <c r="O766" t="s">
        <v>150</v>
      </c>
      <c r="P766">
        <v>2025</v>
      </c>
    </row>
    <row r="767" spans="1:16" x14ac:dyDescent="0.25">
      <c r="A767" s="96" t="s">
        <v>2</v>
      </c>
      <c r="B767" s="96" t="s">
        <v>219</v>
      </c>
      <c r="C767" s="96" t="s">
        <v>4210</v>
      </c>
      <c r="D767" s="96" t="s">
        <v>203</v>
      </c>
      <c r="E767" s="43">
        <v>46066</v>
      </c>
      <c r="F767" s="43">
        <v>46108</v>
      </c>
      <c r="G767" s="96" t="s">
        <v>92</v>
      </c>
      <c r="H767" s="96" t="s">
        <v>4211</v>
      </c>
      <c r="I767" s="96" t="s">
        <v>228</v>
      </c>
      <c r="J767" s="96" t="s">
        <v>229</v>
      </c>
      <c r="K767" s="96" t="s">
        <v>217</v>
      </c>
      <c r="L767">
        <v>42</v>
      </c>
      <c r="M767" t="s">
        <v>24</v>
      </c>
      <c r="N767" t="s">
        <v>32</v>
      </c>
      <c r="O767" t="s">
        <v>149</v>
      </c>
      <c r="P767">
        <v>2026</v>
      </c>
    </row>
    <row r="768" spans="1:16" hidden="1" x14ac:dyDescent="0.25">
      <c r="A768" s="96" t="s">
        <v>2</v>
      </c>
      <c r="B768" s="96" t="s">
        <v>240</v>
      </c>
      <c r="C768" s="96" t="s">
        <v>886</v>
      </c>
      <c r="D768" s="96" t="s">
        <v>40</v>
      </c>
      <c r="E768" s="43">
        <v>45696</v>
      </c>
      <c r="F768" s="43">
        <v>45722</v>
      </c>
      <c r="G768" s="96" t="s">
        <v>90</v>
      </c>
      <c r="H768" s="96" t="s">
        <v>862</v>
      </c>
      <c r="I768" s="96" t="s">
        <v>225</v>
      </c>
      <c r="J768" s="96" t="s">
        <v>174</v>
      </c>
      <c r="K768" s="96" t="s">
        <v>157</v>
      </c>
      <c r="L768">
        <v>26</v>
      </c>
      <c r="M768" t="s">
        <v>19</v>
      </c>
      <c r="N768" t="s">
        <v>188</v>
      </c>
      <c r="O768" t="s">
        <v>149</v>
      </c>
      <c r="P768">
        <v>2025</v>
      </c>
    </row>
    <row r="769" spans="1:16" hidden="1" x14ac:dyDescent="0.25">
      <c r="A769" s="96" t="s">
        <v>175</v>
      </c>
      <c r="B769" s="96" t="s">
        <v>257</v>
      </c>
      <c r="C769" s="96" t="s">
        <v>887</v>
      </c>
      <c r="D769" s="96" t="s">
        <v>223</v>
      </c>
      <c r="E769" s="43">
        <v>45726</v>
      </c>
      <c r="F769" s="43">
        <v>45844</v>
      </c>
      <c r="G769" s="96" t="s">
        <v>90</v>
      </c>
      <c r="H769" s="96" t="s">
        <v>4212</v>
      </c>
      <c r="I769" s="96" t="s">
        <v>225</v>
      </c>
      <c r="J769" s="96" t="s">
        <v>93</v>
      </c>
      <c r="K769" s="96" t="s">
        <v>195</v>
      </c>
      <c r="L769">
        <v>118</v>
      </c>
      <c r="M769" t="s">
        <v>28</v>
      </c>
      <c r="N769" t="s">
        <v>186</v>
      </c>
      <c r="O769" t="s">
        <v>151</v>
      </c>
      <c r="P769">
        <v>2025</v>
      </c>
    </row>
    <row r="770" spans="1:16" hidden="1" x14ac:dyDescent="0.25">
      <c r="A770" s="96" t="s">
        <v>175</v>
      </c>
      <c r="B770" s="96" t="s">
        <v>253</v>
      </c>
      <c r="C770" s="96" t="s">
        <v>888</v>
      </c>
      <c r="D770" s="96" t="s">
        <v>223</v>
      </c>
      <c r="E770" s="43">
        <v>45856</v>
      </c>
      <c r="F770" s="43">
        <v>45952</v>
      </c>
      <c r="G770" s="96" t="s">
        <v>92</v>
      </c>
      <c r="H770" s="96" t="s">
        <v>4213</v>
      </c>
      <c r="I770" s="96" t="s">
        <v>204</v>
      </c>
      <c r="J770" s="96" t="s">
        <v>94</v>
      </c>
      <c r="K770" s="96" t="s">
        <v>200</v>
      </c>
      <c r="L770">
        <v>96</v>
      </c>
      <c r="M770" t="s">
        <v>28</v>
      </c>
      <c r="N770" t="s">
        <v>187</v>
      </c>
      <c r="O770" t="s">
        <v>152</v>
      </c>
      <c r="P770">
        <v>2025</v>
      </c>
    </row>
    <row r="771" spans="1:16" hidden="1" x14ac:dyDescent="0.25">
      <c r="A771" s="96" t="s">
        <v>175</v>
      </c>
      <c r="B771" s="96" t="s">
        <v>255</v>
      </c>
      <c r="C771" s="96" t="s">
        <v>889</v>
      </c>
      <c r="D771" s="96" t="s">
        <v>14</v>
      </c>
      <c r="E771" s="43">
        <v>45697</v>
      </c>
      <c r="F771" s="43">
        <v>45786</v>
      </c>
      <c r="G771" s="96" t="s">
        <v>95</v>
      </c>
      <c r="H771" s="96" t="s">
        <v>4214</v>
      </c>
      <c r="I771" s="96" t="s">
        <v>157</v>
      </c>
      <c r="J771" s="96" t="s">
        <v>169</v>
      </c>
      <c r="K771" s="96" t="s">
        <v>246</v>
      </c>
      <c r="L771">
        <v>89</v>
      </c>
      <c r="M771" t="s">
        <v>28</v>
      </c>
      <c r="N771" t="s">
        <v>188</v>
      </c>
      <c r="O771" t="s">
        <v>150</v>
      </c>
      <c r="P771">
        <v>2025</v>
      </c>
    </row>
    <row r="772" spans="1:16" hidden="1" x14ac:dyDescent="0.25">
      <c r="A772" s="96" t="s">
        <v>2</v>
      </c>
      <c r="B772" s="96" t="s">
        <v>231</v>
      </c>
      <c r="C772" s="96" t="s">
        <v>4215</v>
      </c>
      <c r="D772" s="96" t="s">
        <v>208</v>
      </c>
      <c r="E772" s="43">
        <v>45711</v>
      </c>
      <c r="F772" s="43">
        <v>45815</v>
      </c>
      <c r="G772" s="96" t="s">
        <v>90</v>
      </c>
      <c r="H772" s="96" t="s">
        <v>4216</v>
      </c>
      <c r="I772" s="96" t="s">
        <v>204</v>
      </c>
      <c r="J772" s="96" t="s">
        <v>177</v>
      </c>
      <c r="K772" s="96" t="s">
        <v>246</v>
      </c>
      <c r="L772">
        <v>104</v>
      </c>
      <c r="M772" t="s">
        <v>28</v>
      </c>
      <c r="N772" t="s">
        <v>188</v>
      </c>
      <c r="O772" t="s">
        <v>170</v>
      </c>
      <c r="P772">
        <v>2025</v>
      </c>
    </row>
    <row r="773" spans="1:16" hidden="1" x14ac:dyDescent="0.25">
      <c r="A773" s="96" t="s">
        <v>171</v>
      </c>
      <c r="B773" s="96" t="s">
        <v>257</v>
      </c>
      <c r="C773" s="96" t="s">
        <v>890</v>
      </c>
      <c r="D773" s="96" t="s">
        <v>203</v>
      </c>
      <c r="E773" s="43">
        <v>45912</v>
      </c>
      <c r="F773" s="43">
        <v>45988</v>
      </c>
      <c r="G773" s="96" t="s">
        <v>92</v>
      </c>
      <c r="H773" s="96" t="s">
        <v>4217</v>
      </c>
      <c r="I773" s="96" t="s">
        <v>209</v>
      </c>
      <c r="J773" s="96" t="s">
        <v>177</v>
      </c>
      <c r="K773" s="96" t="s">
        <v>200</v>
      </c>
      <c r="L773">
        <v>76</v>
      </c>
      <c r="M773" t="s">
        <v>28</v>
      </c>
      <c r="N773" t="s">
        <v>12</v>
      </c>
      <c r="O773" t="s">
        <v>151</v>
      </c>
      <c r="P773">
        <v>2025</v>
      </c>
    </row>
    <row r="774" spans="1:16" hidden="1" x14ac:dyDescent="0.25">
      <c r="A774" s="96" t="s">
        <v>2</v>
      </c>
      <c r="B774" s="96" t="s">
        <v>213</v>
      </c>
      <c r="C774" s="96" t="s">
        <v>891</v>
      </c>
      <c r="D774" s="96" t="s">
        <v>10</v>
      </c>
      <c r="E774" s="43">
        <v>46019</v>
      </c>
      <c r="F774" s="43">
        <v>46038</v>
      </c>
      <c r="G774" s="96" t="s">
        <v>90</v>
      </c>
      <c r="H774" s="96" t="s">
        <v>4218</v>
      </c>
      <c r="I774" s="96" t="s">
        <v>209</v>
      </c>
      <c r="J774" s="96" t="s">
        <v>216</v>
      </c>
      <c r="K774" s="96" t="s">
        <v>217</v>
      </c>
      <c r="L774">
        <v>19</v>
      </c>
      <c r="M774" t="s">
        <v>19</v>
      </c>
      <c r="N774" t="s">
        <v>25</v>
      </c>
      <c r="O774" t="s">
        <v>149</v>
      </c>
      <c r="P774">
        <v>2025</v>
      </c>
    </row>
    <row r="775" spans="1:16" hidden="1" x14ac:dyDescent="0.25">
      <c r="A775" s="96" t="s">
        <v>2</v>
      </c>
      <c r="B775" s="96" t="s">
        <v>247</v>
      </c>
      <c r="C775" s="96" t="s">
        <v>892</v>
      </c>
      <c r="D775" s="96" t="s">
        <v>215</v>
      </c>
      <c r="E775" s="43">
        <v>45726</v>
      </c>
      <c r="F775" s="43">
        <v>45777</v>
      </c>
      <c r="G775" s="96" t="s">
        <v>90</v>
      </c>
      <c r="H775" s="96" t="s">
        <v>4219</v>
      </c>
      <c r="I775" s="96" t="s">
        <v>228</v>
      </c>
      <c r="J775" s="96" t="s">
        <v>169</v>
      </c>
      <c r="K775" s="96" t="s">
        <v>217</v>
      </c>
      <c r="L775">
        <v>51</v>
      </c>
      <c r="M775" t="s">
        <v>24</v>
      </c>
      <c r="N775" t="s">
        <v>186</v>
      </c>
      <c r="O775" t="s">
        <v>150</v>
      </c>
      <c r="P775">
        <v>2025</v>
      </c>
    </row>
    <row r="776" spans="1:16" hidden="1" x14ac:dyDescent="0.25">
      <c r="A776" s="96" t="s">
        <v>171</v>
      </c>
      <c r="B776" s="96" t="s">
        <v>190</v>
      </c>
      <c r="C776" s="96" t="s">
        <v>4220</v>
      </c>
      <c r="D776" s="96" t="s">
        <v>10</v>
      </c>
      <c r="E776" s="43">
        <v>45740</v>
      </c>
      <c r="F776" s="43">
        <v>45834</v>
      </c>
      <c r="G776" s="96" t="s">
        <v>90</v>
      </c>
      <c r="H776" s="96" t="s">
        <v>4221</v>
      </c>
      <c r="I776" s="96" t="s">
        <v>209</v>
      </c>
      <c r="J776" s="96" t="s">
        <v>216</v>
      </c>
      <c r="K776" s="96" t="s">
        <v>233</v>
      </c>
      <c r="L776">
        <v>94</v>
      </c>
      <c r="M776" t="s">
        <v>28</v>
      </c>
      <c r="N776" t="s">
        <v>186</v>
      </c>
      <c r="O776" t="s">
        <v>150</v>
      </c>
      <c r="P776">
        <v>2025</v>
      </c>
    </row>
    <row r="777" spans="1:16" hidden="1" x14ac:dyDescent="0.25">
      <c r="A777" s="96" t="s">
        <v>175</v>
      </c>
      <c r="B777" s="96" t="s">
        <v>280</v>
      </c>
      <c r="C777" s="96" t="s">
        <v>893</v>
      </c>
      <c r="D777" s="96" t="s">
        <v>223</v>
      </c>
      <c r="E777" s="43">
        <v>45706</v>
      </c>
      <c r="F777" s="43">
        <v>45758</v>
      </c>
      <c r="G777" s="96" t="s">
        <v>92</v>
      </c>
      <c r="H777" s="96" t="s">
        <v>4222</v>
      </c>
      <c r="I777" s="96" t="s">
        <v>225</v>
      </c>
      <c r="J777" s="96" t="s">
        <v>199</v>
      </c>
      <c r="K777" s="96" t="s">
        <v>230</v>
      </c>
      <c r="L777">
        <v>52</v>
      </c>
      <c r="M777" t="s">
        <v>24</v>
      </c>
      <c r="N777" t="s">
        <v>188</v>
      </c>
      <c r="O777" t="s">
        <v>170</v>
      </c>
      <c r="P777">
        <v>2025</v>
      </c>
    </row>
    <row r="778" spans="1:16" hidden="1" x14ac:dyDescent="0.25">
      <c r="A778" s="96" t="s">
        <v>2</v>
      </c>
      <c r="B778" s="96" t="s">
        <v>264</v>
      </c>
      <c r="C778" s="96" t="s">
        <v>4223</v>
      </c>
      <c r="D778" s="96" t="s">
        <v>223</v>
      </c>
      <c r="E778" s="43">
        <v>46020</v>
      </c>
      <c r="F778" s="43">
        <v>46076</v>
      </c>
      <c r="G778" s="96" t="s">
        <v>92</v>
      </c>
      <c r="H778" s="96" t="s">
        <v>4224</v>
      </c>
      <c r="I778" s="96" t="s">
        <v>209</v>
      </c>
      <c r="J778" s="96" t="s">
        <v>165</v>
      </c>
      <c r="K778" s="96" t="s">
        <v>200</v>
      </c>
      <c r="L778">
        <v>56</v>
      </c>
      <c r="M778" t="s">
        <v>24</v>
      </c>
      <c r="N778" t="s">
        <v>25</v>
      </c>
      <c r="O778" t="s">
        <v>152</v>
      </c>
      <c r="P778">
        <v>2025</v>
      </c>
    </row>
    <row r="779" spans="1:16" hidden="1" x14ac:dyDescent="0.25">
      <c r="A779" s="96" t="s">
        <v>21</v>
      </c>
      <c r="B779" s="96" t="s">
        <v>206</v>
      </c>
      <c r="C779" s="96" t="s">
        <v>4225</v>
      </c>
      <c r="D779" s="96" t="s">
        <v>223</v>
      </c>
      <c r="E779" s="43">
        <v>45706</v>
      </c>
      <c r="F779" s="43">
        <v>45774</v>
      </c>
      <c r="G779" s="96" t="s">
        <v>92</v>
      </c>
      <c r="H779" s="96" t="s">
        <v>4226</v>
      </c>
      <c r="I779" s="96" t="s">
        <v>9</v>
      </c>
      <c r="J779" s="96" t="s">
        <v>229</v>
      </c>
      <c r="K779" s="96" t="s">
        <v>195</v>
      </c>
      <c r="L779">
        <v>68</v>
      </c>
      <c r="M779" t="s">
        <v>28</v>
      </c>
      <c r="N779" t="s">
        <v>188</v>
      </c>
      <c r="O779" t="s">
        <v>152</v>
      </c>
      <c r="P779">
        <v>2025</v>
      </c>
    </row>
    <row r="780" spans="1:16" x14ac:dyDescent="0.25">
      <c r="A780" s="96" t="s">
        <v>2</v>
      </c>
      <c r="B780" s="96" t="s">
        <v>196</v>
      </c>
      <c r="C780" s="96" t="s">
        <v>894</v>
      </c>
      <c r="D780" s="96" t="s">
        <v>14</v>
      </c>
      <c r="E780" s="43">
        <v>46026</v>
      </c>
      <c r="F780" s="43">
        <v>46027</v>
      </c>
      <c r="G780" s="96" t="s">
        <v>90</v>
      </c>
      <c r="H780" s="96" t="s">
        <v>4227</v>
      </c>
      <c r="I780" s="96" t="s">
        <v>225</v>
      </c>
      <c r="J780" s="96" t="s">
        <v>91</v>
      </c>
      <c r="K780" s="96" t="s">
        <v>246</v>
      </c>
      <c r="L780">
        <v>1</v>
      </c>
      <c r="M780" t="s">
        <v>11</v>
      </c>
      <c r="N780" t="s">
        <v>29</v>
      </c>
      <c r="O780" t="s">
        <v>152</v>
      </c>
      <c r="P780">
        <v>2026</v>
      </c>
    </row>
    <row r="781" spans="1:16" hidden="1" x14ac:dyDescent="0.25">
      <c r="A781" s="96" t="s">
        <v>189</v>
      </c>
      <c r="B781" s="96" t="s">
        <v>213</v>
      </c>
      <c r="C781" s="96" t="s">
        <v>895</v>
      </c>
      <c r="D781" s="96" t="s">
        <v>192</v>
      </c>
      <c r="E781" s="43">
        <v>45933</v>
      </c>
      <c r="F781" s="43">
        <v>46047</v>
      </c>
      <c r="G781" s="96" t="s">
        <v>92</v>
      </c>
      <c r="H781" s="96" t="s">
        <v>4228</v>
      </c>
      <c r="I781" s="96" t="s">
        <v>228</v>
      </c>
      <c r="J781" s="96" t="s">
        <v>229</v>
      </c>
      <c r="K781" s="96" t="s">
        <v>233</v>
      </c>
      <c r="L781">
        <v>114</v>
      </c>
      <c r="M781" t="s">
        <v>28</v>
      </c>
      <c r="N781" t="s">
        <v>16</v>
      </c>
      <c r="O781" t="s">
        <v>149</v>
      </c>
      <c r="P781">
        <v>2025</v>
      </c>
    </row>
    <row r="782" spans="1:16" hidden="1" x14ac:dyDescent="0.25">
      <c r="A782" s="96" t="s">
        <v>189</v>
      </c>
      <c r="B782" s="96" t="s">
        <v>238</v>
      </c>
      <c r="C782" s="96" t="s">
        <v>896</v>
      </c>
      <c r="D782" s="96" t="s">
        <v>208</v>
      </c>
      <c r="E782" s="43">
        <v>45966</v>
      </c>
      <c r="F782" s="43">
        <v>45986</v>
      </c>
      <c r="G782" s="96" t="s">
        <v>95</v>
      </c>
      <c r="H782" s="96" t="s">
        <v>4229</v>
      </c>
      <c r="I782" s="96" t="s">
        <v>9</v>
      </c>
      <c r="J782" s="96" t="s">
        <v>98</v>
      </c>
      <c r="K782" s="96" t="s">
        <v>233</v>
      </c>
      <c r="L782">
        <v>20</v>
      </c>
      <c r="M782" t="s">
        <v>19</v>
      </c>
      <c r="N782" t="s">
        <v>20</v>
      </c>
      <c r="O782" t="s">
        <v>170</v>
      </c>
      <c r="P782">
        <v>2025</v>
      </c>
    </row>
    <row r="783" spans="1:16" hidden="1" x14ac:dyDescent="0.25">
      <c r="A783" s="96" t="s">
        <v>2</v>
      </c>
      <c r="B783" s="96" t="s">
        <v>247</v>
      </c>
      <c r="C783" s="96" t="s">
        <v>897</v>
      </c>
      <c r="D783" s="96" t="s">
        <v>208</v>
      </c>
      <c r="E783" s="43">
        <v>45845</v>
      </c>
      <c r="F783" s="43">
        <v>45864</v>
      </c>
      <c r="G783" s="96" t="s">
        <v>92</v>
      </c>
      <c r="H783" s="96" t="s">
        <v>4230</v>
      </c>
      <c r="I783" s="96" t="s">
        <v>157</v>
      </c>
      <c r="J783" s="96" t="s">
        <v>199</v>
      </c>
      <c r="K783" s="96" t="s">
        <v>157</v>
      </c>
      <c r="L783">
        <v>19</v>
      </c>
      <c r="M783" t="s">
        <v>19</v>
      </c>
      <c r="N783" t="s">
        <v>187</v>
      </c>
      <c r="O783" t="s">
        <v>150</v>
      </c>
      <c r="P783">
        <v>2025</v>
      </c>
    </row>
    <row r="784" spans="1:16" x14ac:dyDescent="0.25">
      <c r="A784" s="96" t="s">
        <v>2</v>
      </c>
      <c r="B784" s="96" t="s">
        <v>226</v>
      </c>
      <c r="C784" s="96" t="s">
        <v>898</v>
      </c>
      <c r="D784" s="96" t="s">
        <v>192</v>
      </c>
      <c r="E784" s="43">
        <v>46132</v>
      </c>
      <c r="F784" s="43">
        <v>46148</v>
      </c>
      <c r="G784" s="96" t="s">
        <v>92</v>
      </c>
      <c r="H784" s="96" t="s">
        <v>4231</v>
      </c>
      <c r="I784" s="96" t="s">
        <v>194</v>
      </c>
      <c r="J784" s="96" t="s">
        <v>96</v>
      </c>
      <c r="K784" s="96" t="s">
        <v>246</v>
      </c>
      <c r="L784">
        <v>16</v>
      </c>
      <c r="M784" t="s">
        <v>19</v>
      </c>
      <c r="N784" t="s">
        <v>37</v>
      </c>
      <c r="O784" t="s">
        <v>151</v>
      </c>
      <c r="P784">
        <v>2026</v>
      </c>
    </row>
    <row r="785" spans="1:16" x14ac:dyDescent="0.25">
      <c r="A785" s="96" t="s">
        <v>2</v>
      </c>
      <c r="B785" s="96" t="s">
        <v>219</v>
      </c>
      <c r="C785" s="96" t="s">
        <v>899</v>
      </c>
      <c r="D785" s="96" t="s">
        <v>223</v>
      </c>
      <c r="E785" s="43">
        <v>46096</v>
      </c>
      <c r="F785" s="43">
        <v>46146</v>
      </c>
      <c r="G785" s="96" t="s">
        <v>92</v>
      </c>
      <c r="H785" s="96" t="s">
        <v>4232</v>
      </c>
      <c r="I785" s="96" t="s">
        <v>209</v>
      </c>
      <c r="J785" s="96" t="s">
        <v>177</v>
      </c>
      <c r="K785" s="96" t="s">
        <v>157</v>
      </c>
      <c r="L785">
        <v>50</v>
      </c>
      <c r="M785" t="s">
        <v>24</v>
      </c>
      <c r="N785" t="s">
        <v>35</v>
      </c>
      <c r="O785" t="s">
        <v>149</v>
      </c>
      <c r="P785">
        <v>2026</v>
      </c>
    </row>
    <row r="786" spans="1:16" hidden="1" x14ac:dyDescent="0.25">
      <c r="A786" s="96" t="s">
        <v>2</v>
      </c>
      <c r="B786" s="96" t="s">
        <v>322</v>
      </c>
      <c r="C786" s="96" t="s">
        <v>900</v>
      </c>
      <c r="D786" s="96" t="s">
        <v>14</v>
      </c>
      <c r="E786" s="43">
        <v>46015</v>
      </c>
      <c r="F786" s="43">
        <v>46021</v>
      </c>
      <c r="G786" s="96" t="s">
        <v>92</v>
      </c>
      <c r="H786" s="96" t="s">
        <v>4233</v>
      </c>
      <c r="I786" s="96" t="s">
        <v>209</v>
      </c>
      <c r="J786" s="96" t="s">
        <v>91</v>
      </c>
      <c r="K786" s="96" t="s">
        <v>246</v>
      </c>
      <c r="L786">
        <v>6</v>
      </c>
      <c r="M786" t="s">
        <v>11</v>
      </c>
      <c r="N786" t="s">
        <v>25</v>
      </c>
      <c r="O786" t="s">
        <v>150</v>
      </c>
      <c r="P786">
        <v>2025</v>
      </c>
    </row>
    <row r="787" spans="1:16" x14ac:dyDescent="0.25">
      <c r="A787" s="96" t="s">
        <v>2</v>
      </c>
      <c r="B787" s="96" t="s">
        <v>196</v>
      </c>
      <c r="C787" s="96" t="s">
        <v>901</v>
      </c>
      <c r="D787" s="96" t="s">
        <v>237</v>
      </c>
      <c r="E787" s="43">
        <v>46122</v>
      </c>
      <c r="F787" s="43">
        <v>46150</v>
      </c>
      <c r="G787" s="96" t="s">
        <v>92</v>
      </c>
      <c r="H787" s="96" t="s">
        <v>4234</v>
      </c>
      <c r="I787" s="96" t="s">
        <v>209</v>
      </c>
      <c r="J787" s="96" t="s">
        <v>96</v>
      </c>
      <c r="K787" s="96" t="s">
        <v>205</v>
      </c>
      <c r="L787">
        <v>28</v>
      </c>
      <c r="M787" t="s">
        <v>19</v>
      </c>
      <c r="N787" t="s">
        <v>37</v>
      </c>
      <c r="O787" t="s">
        <v>152</v>
      </c>
      <c r="P787">
        <v>2026</v>
      </c>
    </row>
    <row r="788" spans="1:16" x14ac:dyDescent="0.25">
      <c r="A788" s="96" t="s">
        <v>175</v>
      </c>
      <c r="B788" s="96" t="s">
        <v>201</v>
      </c>
      <c r="C788" s="96" t="s">
        <v>902</v>
      </c>
      <c r="D788" s="96" t="s">
        <v>40</v>
      </c>
      <c r="E788" s="43">
        <v>46092</v>
      </c>
      <c r="F788" s="43">
        <v>46145</v>
      </c>
      <c r="G788" s="96" t="s">
        <v>92</v>
      </c>
      <c r="H788" s="96" t="s">
        <v>4235</v>
      </c>
      <c r="I788" s="96" t="s">
        <v>228</v>
      </c>
      <c r="J788" s="96" t="s">
        <v>172</v>
      </c>
      <c r="K788" s="96" t="s">
        <v>217</v>
      </c>
      <c r="L788">
        <v>53</v>
      </c>
      <c r="M788" t="s">
        <v>24</v>
      </c>
      <c r="N788" t="s">
        <v>35</v>
      </c>
      <c r="O788" t="s">
        <v>170</v>
      </c>
      <c r="P788">
        <v>2026</v>
      </c>
    </row>
    <row r="789" spans="1:16" x14ac:dyDescent="0.25">
      <c r="A789" s="96" t="s">
        <v>2</v>
      </c>
      <c r="B789" s="96" t="s">
        <v>261</v>
      </c>
      <c r="C789" s="96" t="s">
        <v>4236</v>
      </c>
      <c r="D789" s="96" t="s">
        <v>14</v>
      </c>
      <c r="E789" s="43">
        <v>46088</v>
      </c>
      <c r="F789" s="43">
        <v>46146</v>
      </c>
      <c r="G789" s="96" t="s">
        <v>92</v>
      </c>
      <c r="H789" s="96" t="s">
        <v>4237</v>
      </c>
      <c r="I789" s="96" t="s">
        <v>157</v>
      </c>
      <c r="J789" s="96" t="s">
        <v>199</v>
      </c>
      <c r="K789" s="96" t="s">
        <v>217</v>
      </c>
      <c r="L789">
        <v>58</v>
      </c>
      <c r="M789" t="s">
        <v>24</v>
      </c>
      <c r="N789" t="s">
        <v>35</v>
      </c>
      <c r="O789" t="s">
        <v>151</v>
      </c>
      <c r="P789">
        <v>2026</v>
      </c>
    </row>
    <row r="790" spans="1:16" x14ac:dyDescent="0.25">
      <c r="A790" s="96" t="s">
        <v>2</v>
      </c>
      <c r="B790" s="96" t="s">
        <v>274</v>
      </c>
      <c r="C790" s="96" t="s">
        <v>903</v>
      </c>
      <c r="D790" s="96" t="s">
        <v>208</v>
      </c>
      <c r="E790" s="43">
        <v>46074</v>
      </c>
      <c r="F790" s="43">
        <v>46086</v>
      </c>
      <c r="G790" s="96" t="s">
        <v>92</v>
      </c>
      <c r="H790" s="96" t="s">
        <v>4238</v>
      </c>
      <c r="I790" s="96" t="s">
        <v>9</v>
      </c>
      <c r="J790" s="96" t="s">
        <v>199</v>
      </c>
      <c r="K790" s="96" t="s">
        <v>205</v>
      </c>
      <c r="L790">
        <v>12</v>
      </c>
      <c r="M790" t="s">
        <v>15</v>
      </c>
      <c r="N790" t="s">
        <v>32</v>
      </c>
      <c r="O790" t="s">
        <v>170</v>
      </c>
      <c r="P790">
        <v>2026</v>
      </c>
    </row>
    <row r="791" spans="1:16" x14ac:dyDescent="0.25">
      <c r="A791" s="96" t="s">
        <v>2</v>
      </c>
      <c r="B791" s="96" t="s">
        <v>218</v>
      </c>
      <c r="C791" s="96" t="s">
        <v>904</v>
      </c>
      <c r="D791" s="96" t="s">
        <v>34</v>
      </c>
      <c r="E791" s="43">
        <v>46071</v>
      </c>
      <c r="F791" s="43">
        <v>46150</v>
      </c>
      <c r="G791" s="96" t="s">
        <v>95</v>
      </c>
      <c r="H791" s="96" t="s">
        <v>4239</v>
      </c>
      <c r="I791" s="96" t="s">
        <v>204</v>
      </c>
      <c r="J791" s="96" t="s">
        <v>93</v>
      </c>
      <c r="K791" s="96" t="s">
        <v>205</v>
      </c>
      <c r="L791">
        <v>79</v>
      </c>
      <c r="M791" t="s">
        <v>28</v>
      </c>
      <c r="N791" t="s">
        <v>32</v>
      </c>
      <c r="O791" t="s">
        <v>152</v>
      </c>
      <c r="P791">
        <v>2026</v>
      </c>
    </row>
    <row r="792" spans="1:16" x14ac:dyDescent="0.25">
      <c r="A792" s="96" t="s">
        <v>189</v>
      </c>
      <c r="B792" s="96" t="s">
        <v>226</v>
      </c>
      <c r="C792" s="96" t="s">
        <v>4240</v>
      </c>
      <c r="D792" s="96" t="s">
        <v>215</v>
      </c>
      <c r="E792" s="43">
        <v>46037</v>
      </c>
      <c r="F792" s="43">
        <v>46088</v>
      </c>
      <c r="G792" s="96" t="s">
        <v>92</v>
      </c>
      <c r="H792" s="96" t="s">
        <v>4241</v>
      </c>
      <c r="I792" s="96" t="s">
        <v>204</v>
      </c>
      <c r="J792" s="96" t="s">
        <v>93</v>
      </c>
      <c r="K792" s="96" t="s">
        <v>195</v>
      </c>
      <c r="L792">
        <v>51</v>
      </c>
      <c r="M792" t="s">
        <v>24</v>
      </c>
      <c r="N792" t="s">
        <v>29</v>
      </c>
      <c r="O792" t="s">
        <v>151</v>
      </c>
      <c r="P792">
        <v>2026</v>
      </c>
    </row>
    <row r="793" spans="1:16" x14ac:dyDescent="0.25">
      <c r="A793" s="96" t="s">
        <v>2</v>
      </c>
      <c r="B793" s="96" t="s">
        <v>244</v>
      </c>
      <c r="C793" s="96" t="s">
        <v>905</v>
      </c>
      <c r="D793" s="96" t="s">
        <v>14</v>
      </c>
      <c r="E793" s="43">
        <v>46040</v>
      </c>
      <c r="F793" s="43">
        <v>46148</v>
      </c>
      <c r="G793" s="96" t="s">
        <v>92</v>
      </c>
      <c r="H793" s="96" t="s">
        <v>4242</v>
      </c>
      <c r="I793" s="96" t="s">
        <v>209</v>
      </c>
      <c r="J793" s="96" t="s">
        <v>165</v>
      </c>
      <c r="K793" s="96" t="s">
        <v>217</v>
      </c>
      <c r="L793">
        <v>108</v>
      </c>
      <c r="M793" t="s">
        <v>28</v>
      </c>
      <c r="N793" t="s">
        <v>29</v>
      </c>
      <c r="O793" t="s">
        <v>150</v>
      </c>
      <c r="P793">
        <v>2026</v>
      </c>
    </row>
    <row r="794" spans="1:16" hidden="1" x14ac:dyDescent="0.25">
      <c r="A794" s="96" t="s">
        <v>2</v>
      </c>
      <c r="B794" s="96" t="s">
        <v>255</v>
      </c>
      <c r="C794" s="96" t="s">
        <v>4243</v>
      </c>
      <c r="D794" s="96" t="s">
        <v>10</v>
      </c>
      <c r="E794" s="43">
        <v>45666</v>
      </c>
      <c r="F794" s="43">
        <v>45746</v>
      </c>
      <c r="G794" s="96" t="s">
        <v>92</v>
      </c>
      <c r="H794" s="96" t="s">
        <v>4244</v>
      </c>
      <c r="I794" s="96" t="s">
        <v>194</v>
      </c>
      <c r="J794" s="96" t="s">
        <v>172</v>
      </c>
      <c r="K794" s="96" t="s">
        <v>195</v>
      </c>
      <c r="L794">
        <v>80</v>
      </c>
      <c r="M794" t="s">
        <v>28</v>
      </c>
      <c r="N794" t="s">
        <v>181</v>
      </c>
      <c r="O794" t="s">
        <v>150</v>
      </c>
      <c r="P794">
        <v>2025</v>
      </c>
    </row>
    <row r="795" spans="1:16" x14ac:dyDescent="0.25">
      <c r="A795" s="96" t="s">
        <v>2</v>
      </c>
      <c r="B795" s="96" t="s">
        <v>219</v>
      </c>
      <c r="C795" s="96" t="s">
        <v>906</v>
      </c>
      <c r="D795" s="96" t="s">
        <v>40</v>
      </c>
      <c r="E795" s="43">
        <v>46053</v>
      </c>
      <c r="F795" s="43">
        <v>46150</v>
      </c>
      <c r="G795" s="96" t="s">
        <v>90</v>
      </c>
      <c r="H795" s="96" t="s">
        <v>4245</v>
      </c>
      <c r="I795" s="96" t="s">
        <v>209</v>
      </c>
      <c r="J795" s="96" t="s">
        <v>176</v>
      </c>
      <c r="K795" s="96" t="s">
        <v>246</v>
      </c>
      <c r="L795">
        <v>97</v>
      </c>
      <c r="M795" t="s">
        <v>28</v>
      </c>
      <c r="N795" t="s">
        <v>29</v>
      </c>
      <c r="O795" t="s">
        <v>149</v>
      </c>
      <c r="P795">
        <v>2026</v>
      </c>
    </row>
    <row r="796" spans="1:16" x14ac:dyDescent="0.25">
      <c r="A796" s="96" t="s">
        <v>2</v>
      </c>
      <c r="B796" s="96" t="s">
        <v>249</v>
      </c>
      <c r="C796" s="96" t="s">
        <v>907</v>
      </c>
      <c r="D796" s="96" t="s">
        <v>34</v>
      </c>
      <c r="E796" s="43">
        <v>46083</v>
      </c>
      <c r="F796" s="43">
        <v>46148</v>
      </c>
      <c r="G796" s="96" t="s">
        <v>95</v>
      </c>
      <c r="H796" s="96" t="s">
        <v>4246</v>
      </c>
      <c r="I796" s="96" t="s">
        <v>194</v>
      </c>
      <c r="J796" s="96" t="s">
        <v>98</v>
      </c>
      <c r="K796" s="96" t="s">
        <v>200</v>
      </c>
      <c r="L796">
        <v>65</v>
      </c>
      <c r="M796" t="s">
        <v>28</v>
      </c>
      <c r="N796" t="s">
        <v>35</v>
      </c>
      <c r="O796" t="s">
        <v>170</v>
      </c>
      <c r="P796">
        <v>2026</v>
      </c>
    </row>
    <row r="797" spans="1:16" hidden="1" x14ac:dyDescent="0.25">
      <c r="A797" s="96" t="s">
        <v>2</v>
      </c>
      <c r="B797" s="96" t="s">
        <v>272</v>
      </c>
      <c r="C797" s="96" t="s">
        <v>908</v>
      </c>
      <c r="D797" s="96" t="s">
        <v>203</v>
      </c>
      <c r="E797" s="43">
        <v>45889</v>
      </c>
      <c r="F797" s="43">
        <v>45946</v>
      </c>
      <c r="G797" s="96" t="s">
        <v>92</v>
      </c>
      <c r="H797" s="96" t="s">
        <v>4247</v>
      </c>
      <c r="I797" s="96" t="s">
        <v>225</v>
      </c>
      <c r="J797" s="96" t="s">
        <v>94</v>
      </c>
      <c r="K797" s="96" t="s">
        <v>205</v>
      </c>
      <c r="L797">
        <v>57</v>
      </c>
      <c r="M797" t="s">
        <v>24</v>
      </c>
      <c r="N797" t="s">
        <v>8</v>
      </c>
      <c r="O797" t="s">
        <v>151</v>
      </c>
      <c r="P797">
        <v>2025</v>
      </c>
    </row>
    <row r="798" spans="1:16" hidden="1" x14ac:dyDescent="0.25">
      <c r="A798" s="96" t="s">
        <v>21</v>
      </c>
      <c r="B798" s="96" t="s">
        <v>238</v>
      </c>
      <c r="C798" s="96" t="s">
        <v>4248</v>
      </c>
      <c r="D798" s="96" t="s">
        <v>40</v>
      </c>
      <c r="E798" s="43">
        <v>45949</v>
      </c>
      <c r="F798" s="43">
        <v>45974</v>
      </c>
      <c r="G798" s="96" t="s">
        <v>92</v>
      </c>
      <c r="H798" s="96" t="s">
        <v>4249</v>
      </c>
      <c r="I798" s="96" t="s">
        <v>225</v>
      </c>
      <c r="J798" s="96" t="s">
        <v>176</v>
      </c>
      <c r="K798" s="96" t="s">
        <v>210</v>
      </c>
      <c r="L798">
        <v>25</v>
      </c>
      <c r="M798" t="s">
        <v>19</v>
      </c>
      <c r="N798" t="s">
        <v>16</v>
      </c>
      <c r="O798" t="s">
        <v>170</v>
      </c>
      <c r="P798">
        <v>2025</v>
      </c>
    </row>
    <row r="799" spans="1:16" hidden="1" x14ac:dyDescent="0.25">
      <c r="A799" s="96" t="s">
        <v>21</v>
      </c>
      <c r="B799" s="96" t="s">
        <v>272</v>
      </c>
      <c r="C799" s="96" t="s">
        <v>909</v>
      </c>
      <c r="D799" s="96" t="s">
        <v>10</v>
      </c>
      <c r="E799" s="43">
        <v>45935</v>
      </c>
      <c r="F799" s="43">
        <v>46019</v>
      </c>
      <c r="G799" s="96" t="s">
        <v>95</v>
      </c>
      <c r="H799" s="96" t="s">
        <v>4250</v>
      </c>
      <c r="I799" s="96" t="s">
        <v>225</v>
      </c>
      <c r="J799" s="96" t="s">
        <v>91</v>
      </c>
      <c r="K799" s="96" t="s">
        <v>200</v>
      </c>
      <c r="L799">
        <v>84</v>
      </c>
      <c r="M799" t="s">
        <v>28</v>
      </c>
      <c r="N799" t="s">
        <v>16</v>
      </c>
      <c r="O799" t="s">
        <v>151</v>
      </c>
      <c r="P799">
        <v>2025</v>
      </c>
    </row>
    <row r="800" spans="1:16" hidden="1" x14ac:dyDescent="0.25">
      <c r="A800" s="96" t="s">
        <v>2</v>
      </c>
      <c r="B800" s="96" t="s">
        <v>272</v>
      </c>
      <c r="C800" s="96" t="s">
        <v>910</v>
      </c>
      <c r="D800" s="96" t="s">
        <v>237</v>
      </c>
      <c r="E800" s="43">
        <v>45738</v>
      </c>
      <c r="F800" s="43">
        <v>45823</v>
      </c>
      <c r="G800" s="96" t="s">
        <v>92</v>
      </c>
      <c r="H800" s="96" t="s">
        <v>4251</v>
      </c>
      <c r="I800" s="96" t="s">
        <v>228</v>
      </c>
      <c r="J800" s="96" t="s">
        <v>229</v>
      </c>
      <c r="K800" s="96" t="s">
        <v>230</v>
      </c>
      <c r="L800">
        <v>85</v>
      </c>
      <c r="M800" t="s">
        <v>28</v>
      </c>
      <c r="N800" t="s">
        <v>186</v>
      </c>
      <c r="O800" t="s">
        <v>151</v>
      </c>
      <c r="P800">
        <v>2025</v>
      </c>
    </row>
    <row r="801" spans="1:16" x14ac:dyDescent="0.25">
      <c r="A801" s="96" t="s">
        <v>2</v>
      </c>
      <c r="B801" s="96" t="s">
        <v>226</v>
      </c>
      <c r="C801" s="96" t="s">
        <v>911</v>
      </c>
      <c r="D801" s="96" t="s">
        <v>208</v>
      </c>
      <c r="E801" s="43">
        <v>46062</v>
      </c>
      <c r="F801" s="43">
        <v>46145</v>
      </c>
      <c r="G801" s="96" t="s">
        <v>92</v>
      </c>
      <c r="H801" s="96" t="s">
        <v>4252</v>
      </c>
      <c r="I801" s="96" t="s">
        <v>204</v>
      </c>
      <c r="J801" s="96" t="s">
        <v>169</v>
      </c>
      <c r="K801" s="96" t="s">
        <v>195</v>
      </c>
      <c r="L801">
        <v>83</v>
      </c>
      <c r="M801" t="s">
        <v>28</v>
      </c>
      <c r="N801" t="s">
        <v>32</v>
      </c>
      <c r="O801" t="s">
        <v>151</v>
      </c>
      <c r="P801">
        <v>2026</v>
      </c>
    </row>
    <row r="802" spans="1:16" hidden="1" x14ac:dyDescent="0.25">
      <c r="A802" s="96" t="s">
        <v>189</v>
      </c>
      <c r="B802" s="96" t="s">
        <v>240</v>
      </c>
      <c r="C802" s="96" t="s">
        <v>4253</v>
      </c>
      <c r="D802" s="96" t="s">
        <v>223</v>
      </c>
      <c r="E802" s="43">
        <v>45691</v>
      </c>
      <c r="F802" s="43">
        <v>45702</v>
      </c>
      <c r="G802" s="96" t="s">
        <v>90</v>
      </c>
      <c r="H802" s="96" t="s">
        <v>4254</v>
      </c>
      <c r="I802" s="96" t="s">
        <v>204</v>
      </c>
      <c r="J802" s="96" t="s">
        <v>91</v>
      </c>
      <c r="K802" s="96" t="s">
        <v>210</v>
      </c>
      <c r="L802">
        <v>11</v>
      </c>
      <c r="M802" t="s">
        <v>15</v>
      </c>
      <c r="N802" t="s">
        <v>188</v>
      </c>
      <c r="O802" t="s">
        <v>149</v>
      </c>
      <c r="P802">
        <v>2025</v>
      </c>
    </row>
    <row r="803" spans="1:16" x14ac:dyDescent="0.25">
      <c r="A803" s="96" t="s">
        <v>21</v>
      </c>
      <c r="B803" s="96" t="s">
        <v>269</v>
      </c>
      <c r="C803" s="96" t="s">
        <v>4255</v>
      </c>
      <c r="D803" s="96" t="s">
        <v>223</v>
      </c>
      <c r="E803" s="43">
        <v>46101</v>
      </c>
      <c r="F803" s="43">
        <v>46151</v>
      </c>
      <c r="G803" s="96" t="s">
        <v>92</v>
      </c>
      <c r="H803" s="96" t="s">
        <v>4256</v>
      </c>
      <c r="I803" s="96" t="s">
        <v>209</v>
      </c>
      <c r="J803" s="96" t="s">
        <v>229</v>
      </c>
      <c r="K803" s="96" t="s">
        <v>230</v>
      </c>
      <c r="L803">
        <v>50</v>
      </c>
      <c r="M803" t="s">
        <v>24</v>
      </c>
      <c r="N803" t="s">
        <v>35</v>
      </c>
      <c r="O803" t="s">
        <v>152</v>
      </c>
      <c r="P803">
        <v>2026</v>
      </c>
    </row>
    <row r="804" spans="1:16" hidden="1" x14ac:dyDescent="0.25">
      <c r="A804" s="96" t="s">
        <v>2</v>
      </c>
      <c r="B804" s="96" t="s">
        <v>190</v>
      </c>
      <c r="C804" s="96" t="s">
        <v>912</v>
      </c>
      <c r="D804" s="96" t="s">
        <v>34</v>
      </c>
      <c r="E804" s="43">
        <v>45945</v>
      </c>
      <c r="F804" s="43">
        <v>45966</v>
      </c>
      <c r="G804" s="96" t="s">
        <v>92</v>
      </c>
      <c r="H804" s="96" t="s">
        <v>4257</v>
      </c>
      <c r="I804" s="96" t="s">
        <v>228</v>
      </c>
      <c r="J804" s="96" t="s">
        <v>98</v>
      </c>
      <c r="K804" s="96" t="s">
        <v>246</v>
      </c>
      <c r="L804">
        <v>21</v>
      </c>
      <c r="M804" t="s">
        <v>19</v>
      </c>
      <c r="N804" t="s">
        <v>16</v>
      </c>
      <c r="O804" t="s">
        <v>150</v>
      </c>
      <c r="P804">
        <v>2025</v>
      </c>
    </row>
    <row r="805" spans="1:16" hidden="1" x14ac:dyDescent="0.25">
      <c r="A805" s="96" t="s">
        <v>2</v>
      </c>
      <c r="B805" s="96" t="s">
        <v>322</v>
      </c>
      <c r="C805" s="96" t="s">
        <v>914</v>
      </c>
      <c r="D805" s="96" t="s">
        <v>10</v>
      </c>
      <c r="E805" s="43">
        <v>45801</v>
      </c>
      <c r="F805" s="43">
        <v>45890</v>
      </c>
      <c r="G805" s="96" t="s">
        <v>92</v>
      </c>
      <c r="H805" s="96" t="s">
        <v>4258</v>
      </c>
      <c r="I805" s="96" t="s">
        <v>225</v>
      </c>
      <c r="J805" s="96" t="s">
        <v>176</v>
      </c>
      <c r="K805" s="96" t="s">
        <v>246</v>
      </c>
      <c r="L805">
        <v>89</v>
      </c>
      <c r="M805" t="s">
        <v>28</v>
      </c>
      <c r="N805" t="s">
        <v>182</v>
      </c>
      <c r="O805" t="s">
        <v>150</v>
      </c>
      <c r="P805">
        <v>2025</v>
      </c>
    </row>
    <row r="806" spans="1:16" hidden="1" x14ac:dyDescent="0.25">
      <c r="A806" s="96" t="s">
        <v>189</v>
      </c>
      <c r="B806" s="96" t="s">
        <v>213</v>
      </c>
      <c r="C806" s="96" t="s">
        <v>4259</v>
      </c>
      <c r="D806" s="96" t="s">
        <v>10</v>
      </c>
      <c r="E806" s="43">
        <v>45745</v>
      </c>
      <c r="F806" s="43">
        <v>45844</v>
      </c>
      <c r="G806" s="96" t="s">
        <v>92</v>
      </c>
      <c r="H806" s="96" t="s">
        <v>4260</v>
      </c>
      <c r="I806" s="96" t="s">
        <v>194</v>
      </c>
      <c r="J806" s="96" t="s">
        <v>97</v>
      </c>
      <c r="K806" s="96" t="s">
        <v>200</v>
      </c>
      <c r="L806">
        <v>99</v>
      </c>
      <c r="M806" t="s">
        <v>28</v>
      </c>
      <c r="N806" t="s">
        <v>186</v>
      </c>
      <c r="O806" t="s">
        <v>149</v>
      </c>
      <c r="P806">
        <v>2025</v>
      </c>
    </row>
    <row r="807" spans="1:16" x14ac:dyDescent="0.25">
      <c r="A807" s="96" t="s">
        <v>2</v>
      </c>
      <c r="B807" s="96" t="s">
        <v>234</v>
      </c>
      <c r="C807" s="96" t="s">
        <v>4261</v>
      </c>
      <c r="D807" s="96" t="s">
        <v>215</v>
      </c>
      <c r="E807" s="43">
        <v>46117</v>
      </c>
      <c r="F807" s="43">
        <v>46126</v>
      </c>
      <c r="G807" s="96" t="s">
        <v>90</v>
      </c>
      <c r="H807" s="96" t="s">
        <v>4262</v>
      </c>
      <c r="I807" s="96" t="s">
        <v>209</v>
      </c>
      <c r="J807" s="96" t="s">
        <v>174</v>
      </c>
      <c r="K807" s="96" t="s">
        <v>230</v>
      </c>
      <c r="L807">
        <v>9</v>
      </c>
      <c r="M807" t="s">
        <v>15</v>
      </c>
      <c r="N807" t="s">
        <v>37</v>
      </c>
      <c r="O807" t="s">
        <v>150</v>
      </c>
      <c r="P807">
        <v>2026</v>
      </c>
    </row>
    <row r="808" spans="1:16" hidden="1" x14ac:dyDescent="0.25">
      <c r="A808" s="96" t="s">
        <v>2</v>
      </c>
      <c r="B808" s="96" t="s">
        <v>280</v>
      </c>
      <c r="C808" s="96" t="s">
        <v>4263</v>
      </c>
      <c r="D808" s="96" t="s">
        <v>223</v>
      </c>
      <c r="E808" s="43">
        <v>45700</v>
      </c>
      <c r="F808" s="43">
        <v>45746</v>
      </c>
      <c r="G808" s="96" t="s">
        <v>90</v>
      </c>
      <c r="H808" s="96" t="s">
        <v>4264</v>
      </c>
      <c r="I808" s="96" t="s">
        <v>157</v>
      </c>
      <c r="J808" s="96" t="s">
        <v>168</v>
      </c>
      <c r="K808" s="96" t="s">
        <v>205</v>
      </c>
      <c r="L808">
        <v>46</v>
      </c>
      <c r="M808" t="s">
        <v>24</v>
      </c>
      <c r="N808" t="s">
        <v>188</v>
      </c>
      <c r="O808" t="s">
        <v>170</v>
      </c>
      <c r="P808">
        <v>2025</v>
      </c>
    </row>
    <row r="809" spans="1:16" hidden="1" x14ac:dyDescent="0.25">
      <c r="A809" s="96" t="s">
        <v>2</v>
      </c>
      <c r="B809" s="96" t="s">
        <v>251</v>
      </c>
      <c r="C809" s="96" t="s">
        <v>4265</v>
      </c>
      <c r="D809" s="96" t="s">
        <v>40</v>
      </c>
      <c r="E809" s="43">
        <v>45924</v>
      </c>
      <c r="F809" s="43">
        <v>46040</v>
      </c>
      <c r="G809" s="96" t="s">
        <v>92</v>
      </c>
      <c r="H809" s="96" t="s">
        <v>4266</v>
      </c>
      <c r="I809" s="96" t="s">
        <v>204</v>
      </c>
      <c r="J809" s="96" t="s">
        <v>93</v>
      </c>
      <c r="K809" s="96" t="s">
        <v>217</v>
      </c>
      <c r="L809">
        <v>116</v>
      </c>
      <c r="M809" t="s">
        <v>28</v>
      </c>
      <c r="N809" t="s">
        <v>12</v>
      </c>
      <c r="O809" t="s">
        <v>170</v>
      </c>
      <c r="P809">
        <v>2025</v>
      </c>
    </row>
    <row r="810" spans="1:16" hidden="1" x14ac:dyDescent="0.25">
      <c r="A810" s="96" t="s">
        <v>2</v>
      </c>
      <c r="B810" s="96" t="s">
        <v>257</v>
      </c>
      <c r="C810" s="96" t="s">
        <v>916</v>
      </c>
      <c r="D810" s="96" t="s">
        <v>192</v>
      </c>
      <c r="E810" s="43">
        <v>45797</v>
      </c>
      <c r="F810" s="43">
        <v>45893</v>
      </c>
      <c r="G810" s="96" t="s">
        <v>92</v>
      </c>
      <c r="H810" s="96" t="s">
        <v>4267</v>
      </c>
      <c r="I810" s="96" t="s">
        <v>9</v>
      </c>
      <c r="J810" s="96" t="s">
        <v>96</v>
      </c>
      <c r="K810" s="96" t="s">
        <v>217</v>
      </c>
      <c r="L810">
        <v>96</v>
      </c>
      <c r="M810" t="s">
        <v>28</v>
      </c>
      <c r="N810" t="s">
        <v>182</v>
      </c>
      <c r="O810" t="s">
        <v>151</v>
      </c>
      <c r="P810">
        <v>2025</v>
      </c>
    </row>
    <row r="811" spans="1:16" hidden="1" x14ac:dyDescent="0.25">
      <c r="A811" s="96" t="s">
        <v>2</v>
      </c>
      <c r="B811" s="96" t="s">
        <v>253</v>
      </c>
      <c r="C811" s="96" t="s">
        <v>917</v>
      </c>
      <c r="D811" s="96" t="s">
        <v>14</v>
      </c>
      <c r="E811" s="43">
        <v>45833</v>
      </c>
      <c r="F811" s="43">
        <v>45850</v>
      </c>
      <c r="G811" s="96" t="s">
        <v>92</v>
      </c>
      <c r="H811" s="96" t="s">
        <v>4268</v>
      </c>
      <c r="I811" s="96" t="s">
        <v>194</v>
      </c>
      <c r="J811" s="96" t="s">
        <v>165</v>
      </c>
      <c r="K811" s="96" t="s">
        <v>200</v>
      </c>
      <c r="L811">
        <v>17</v>
      </c>
      <c r="M811" t="s">
        <v>19</v>
      </c>
      <c r="N811" t="s">
        <v>184</v>
      </c>
      <c r="O811" t="s">
        <v>152</v>
      </c>
      <c r="P811">
        <v>2025</v>
      </c>
    </row>
    <row r="812" spans="1:16" x14ac:dyDescent="0.25">
      <c r="A812" s="96" t="s">
        <v>2</v>
      </c>
      <c r="B812" s="96" t="s">
        <v>374</v>
      </c>
      <c r="C812" s="96" t="s">
        <v>918</v>
      </c>
      <c r="D812" s="96" t="s">
        <v>192</v>
      </c>
      <c r="E812" s="43">
        <v>46052</v>
      </c>
      <c r="F812" s="43">
        <v>46055</v>
      </c>
      <c r="G812" s="96" t="s">
        <v>92</v>
      </c>
      <c r="H812" s="96" t="s">
        <v>4269</v>
      </c>
      <c r="I812" s="96" t="s">
        <v>157</v>
      </c>
      <c r="J812" s="96" t="s">
        <v>94</v>
      </c>
      <c r="K812" s="96" t="s">
        <v>233</v>
      </c>
      <c r="L812">
        <v>3</v>
      </c>
      <c r="M812" t="s">
        <v>11</v>
      </c>
      <c r="N812" t="s">
        <v>29</v>
      </c>
      <c r="O812" t="s">
        <v>150</v>
      </c>
      <c r="P812">
        <v>2026</v>
      </c>
    </row>
    <row r="813" spans="1:16" x14ac:dyDescent="0.25">
      <c r="A813" s="96" t="s">
        <v>21</v>
      </c>
      <c r="B813" s="96" t="s">
        <v>290</v>
      </c>
      <c r="C813" s="96" t="s">
        <v>919</v>
      </c>
      <c r="D813" s="96" t="s">
        <v>223</v>
      </c>
      <c r="E813" s="43">
        <v>46025</v>
      </c>
      <c r="F813" s="43">
        <v>46118</v>
      </c>
      <c r="G813" s="96" t="s">
        <v>92</v>
      </c>
      <c r="H813" s="96" t="s">
        <v>4270</v>
      </c>
      <c r="I813" s="96" t="s">
        <v>157</v>
      </c>
      <c r="J813" s="96" t="s">
        <v>199</v>
      </c>
      <c r="K813" s="96" t="s">
        <v>233</v>
      </c>
      <c r="L813">
        <v>93</v>
      </c>
      <c r="M813" t="s">
        <v>28</v>
      </c>
      <c r="N813" t="s">
        <v>29</v>
      </c>
      <c r="O813" t="s">
        <v>149</v>
      </c>
      <c r="P813">
        <v>2026</v>
      </c>
    </row>
    <row r="814" spans="1:16" hidden="1" x14ac:dyDescent="0.25">
      <c r="A814" s="96" t="s">
        <v>175</v>
      </c>
      <c r="B814" s="96" t="s">
        <v>247</v>
      </c>
      <c r="C814" s="96" t="s">
        <v>920</v>
      </c>
      <c r="D814" s="96" t="s">
        <v>208</v>
      </c>
      <c r="E814" s="43">
        <v>45978</v>
      </c>
      <c r="F814" s="43">
        <v>46046</v>
      </c>
      <c r="G814" s="96" t="s">
        <v>90</v>
      </c>
      <c r="H814" s="96" t="s">
        <v>4271</v>
      </c>
      <c r="I814" s="96" t="s">
        <v>204</v>
      </c>
      <c r="J814" s="96" t="s">
        <v>177</v>
      </c>
      <c r="K814" s="96" t="s">
        <v>246</v>
      </c>
      <c r="L814">
        <v>68</v>
      </c>
      <c r="M814" t="s">
        <v>28</v>
      </c>
      <c r="N814" t="s">
        <v>20</v>
      </c>
      <c r="O814" t="s">
        <v>150</v>
      </c>
      <c r="P814">
        <v>2025</v>
      </c>
    </row>
    <row r="815" spans="1:16" hidden="1" x14ac:dyDescent="0.25">
      <c r="A815" s="96" t="s">
        <v>2</v>
      </c>
      <c r="B815" s="96" t="s">
        <v>322</v>
      </c>
      <c r="C815" s="96" t="s">
        <v>921</v>
      </c>
      <c r="D815" s="96" t="s">
        <v>34</v>
      </c>
      <c r="E815" s="43">
        <v>45834</v>
      </c>
      <c r="F815" s="43">
        <v>45929</v>
      </c>
      <c r="G815" s="96" t="s">
        <v>95</v>
      </c>
      <c r="H815" s="96" t="s">
        <v>4272</v>
      </c>
      <c r="I815" s="96" t="s">
        <v>9</v>
      </c>
      <c r="J815" s="96" t="s">
        <v>177</v>
      </c>
      <c r="K815" s="96" t="s">
        <v>233</v>
      </c>
      <c r="L815">
        <v>95</v>
      </c>
      <c r="M815" t="s">
        <v>28</v>
      </c>
      <c r="N815" t="s">
        <v>184</v>
      </c>
      <c r="O815" t="s">
        <v>150</v>
      </c>
      <c r="P815">
        <v>2025</v>
      </c>
    </row>
    <row r="816" spans="1:16" hidden="1" x14ac:dyDescent="0.25">
      <c r="A816" s="96" t="s">
        <v>2</v>
      </c>
      <c r="B816" s="96" t="s">
        <v>257</v>
      </c>
      <c r="C816" s="96" t="s">
        <v>922</v>
      </c>
      <c r="D816" s="96" t="s">
        <v>14</v>
      </c>
      <c r="E816" s="43">
        <v>45688</v>
      </c>
      <c r="F816" s="43">
        <v>45768</v>
      </c>
      <c r="G816" s="96" t="s">
        <v>90</v>
      </c>
      <c r="H816" s="96" t="s">
        <v>4273</v>
      </c>
      <c r="I816" s="96" t="s">
        <v>204</v>
      </c>
      <c r="J816" s="96" t="s">
        <v>97</v>
      </c>
      <c r="K816" s="96" t="s">
        <v>233</v>
      </c>
      <c r="L816">
        <v>80</v>
      </c>
      <c r="M816" t="s">
        <v>28</v>
      </c>
      <c r="N816" t="s">
        <v>181</v>
      </c>
      <c r="O816" t="s">
        <v>151</v>
      </c>
      <c r="P816">
        <v>2025</v>
      </c>
    </row>
    <row r="817" spans="1:16" hidden="1" x14ac:dyDescent="0.25">
      <c r="A817" s="96" t="s">
        <v>175</v>
      </c>
      <c r="B817" s="96" t="s">
        <v>253</v>
      </c>
      <c r="C817" s="96" t="s">
        <v>923</v>
      </c>
      <c r="D817" s="96" t="s">
        <v>223</v>
      </c>
      <c r="E817" s="43">
        <v>45821</v>
      </c>
      <c r="F817" s="43">
        <v>45879</v>
      </c>
      <c r="G817" s="96" t="s">
        <v>92</v>
      </c>
      <c r="H817" s="96" t="s">
        <v>4274</v>
      </c>
      <c r="I817" s="96" t="s">
        <v>228</v>
      </c>
      <c r="J817" s="96" t="s">
        <v>91</v>
      </c>
      <c r="K817" s="96" t="s">
        <v>205</v>
      </c>
      <c r="L817">
        <v>58</v>
      </c>
      <c r="M817" t="s">
        <v>24</v>
      </c>
      <c r="N817" t="s">
        <v>184</v>
      </c>
      <c r="O817" t="s">
        <v>152</v>
      </c>
      <c r="P817">
        <v>2025</v>
      </c>
    </row>
    <row r="818" spans="1:16" hidden="1" x14ac:dyDescent="0.25">
      <c r="A818" s="96" t="s">
        <v>2</v>
      </c>
      <c r="B818" s="96" t="s">
        <v>264</v>
      </c>
      <c r="C818" s="96" t="s">
        <v>4275</v>
      </c>
      <c r="D818" s="96" t="s">
        <v>208</v>
      </c>
      <c r="E818" s="43">
        <v>45679</v>
      </c>
      <c r="F818" s="43">
        <v>45768</v>
      </c>
      <c r="G818" s="96" t="s">
        <v>92</v>
      </c>
      <c r="H818" s="96" t="s">
        <v>4276</v>
      </c>
      <c r="I818" s="96" t="s">
        <v>194</v>
      </c>
      <c r="J818" s="96" t="s">
        <v>173</v>
      </c>
      <c r="K818" s="96" t="s">
        <v>210</v>
      </c>
      <c r="L818">
        <v>89</v>
      </c>
      <c r="M818" t="s">
        <v>28</v>
      </c>
      <c r="N818" t="s">
        <v>181</v>
      </c>
      <c r="O818" t="s">
        <v>152</v>
      </c>
      <c r="P818">
        <v>2025</v>
      </c>
    </row>
    <row r="819" spans="1:16" hidden="1" x14ac:dyDescent="0.25">
      <c r="A819" s="96" t="s">
        <v>175</v>
      </c>
      <c r="B819" s="96" t="s">
        <v>211</v>
      </c>
      <c r="C819" s="96" t="s">
        <v>924</v>
      </c>
      <c r="D819" s="96" t="s">
        <v>237</v>
      </c>
      <c r="E819" s="43">
        <v>45855</v>
      </c>
      <c r="F819" s="43">
        <v>45909</v>
      </c>
      <c r="G819" s="96" t="s">
        <v>92</v>
      </c>
      <c r="H819" s="96" t="s">
        <v>4277</v>
      </c>
      <c r="I819" s="96" t="s">
        <v>204</v>
      </c>
      <c r="J819" s="96" t="s">
        <v>172</v>
      </c>
      <c r="K819" s="96" t="s">
        <v>217</v>
      </c>
      <c r="L819">
        <v>54</v>
      </c>
      <c r="M819" t="s">
        <v>24</v>
      </c>
      <c r="N819" t="s">
        <v>187</v>
      </c>
      <c r="O819" t="s">
        <v>170</v>
      </c>
      <c r="P819">
        <v>2025</v>
      </c>
    </row>
    <row r="820" spans="1:16" x14ac:dyDescent="0.25">
      <c r="A820" s="96" t="s">
        <v>2</v>
      </c>
      <c r="B820" s="96" t="s">
        <v>288</v>
      </c>
      <c r="C820" s="96" t="s">
        <v>925</v>
      </c>
      <c r="D820" s="96" t="s">
        <v>40</v>
      </c>
      <c r="E820" s="43">
        <v>46067</v>
      </c>
      <c r="F820" s="43">
        <v>46087</v>
      </c>
      <c r="G820" s="96" t="s">
        <v>92</v>
      </c>
      <c r="H820" s="96" t="s">
        <v>4278</v>
      </c>
      <c r="I820" s="96" t="s">
        <v>204</v>
      </c>
      <c r="J820" s="96" t="s">
        <v>91</v>
      </c>
      <c r="K820" s="96" t="s">
        <v>195</v>
      </c>
      <c r="L820">
        <v>20</v>
      </c>
      <c r="M820" t="s">
        <v>19</v>
      </c>
      <c r="N820" t="s">
        <v>32</v>
      </c>
      <c r="O820" t="s">
        <v>170</v>
      </c>
      <c r="P820">
        <v>2026</v>
      </c>
    </row>
    <row r="821" spans="1:16" hidden="1" x14ac:dyDescent="0.25">
      <c r="A821" s="96" t="s">
        <v>2</v>
      </c>
      <c r="B821" s="96" t="s">
        <v>238</v>
      </c>
      <c r="C821" s="96" t="s">
        <v>926</v>
      </c>
      <c r="D821" s="96" t="s">
        <v>237</v>
      </c>
      <c r="E821" s="43">
        <v>45739</v>
      </c>
      <c r="F821" s="43">
        <v>45778</v>
      </c>
      <c r="G821" s="96" t="s">
        <v>92</v>
      </c>
      <c r="H821" s="96" t="s">
        <v>4279</v>
      </c>
      <c r="I821" s="96" t="s">
        <v>194</v>
      </c>
      <c r="J821" s="96" t="s">
        <v>229</v>
      </c>
      <c r="K821" s="96" t="s">
        <v>246</v>
      </c>
      <c r="L821">
        <v>39</v>
      </c>
      <c r="M821" t="s">
        <v>24</v>
      </c>
      <c r="N821" t="s">
        <v>186</v>
      </c>
      <c r="O821" t="s">
        <v>170</v>
      </c>
      <c r="P821">
        <v>2025</v>
      </c>
    </row>
    <row r="822" spans="1:16" x14ac:dyDescent="0.25">
      <c r="A822" s="96" t="s">
        <v>171</v>
      </c>
      <c r="B822" s="96" t="s">
        <v>219</v>
      </c>
      <c r="C822" s="96" t="s">
        <v>927</v>
      </c>
      <c r="D822" s="96" t="s">
        <v>34</v>
      </c>
      <c r="E822" s="43">
        <v>46038</v>
      </c>
      <c r="F822" s="43">
        <v>46084</v>
      </c>
      <c r="G822" s="96" t="s">
        <v>90</v>
      </c>
      <c r="H822" s="96" t="s">
        <v>4280</v>
      </c>
      <c r="I822" s="96" t="s">
        <v>225</v>
      </c>
      <c r="J822" s="96" t="s">
        <v>169</v>
      </c>
      <c r="K822" s="96" t="s">
        <v>246</v>
      </c>
      <c r="L822">
        <v>46</v>
      </c>
      <c r="M822" t="s">
        <v>24</v>
      </c>
      <c r="N822" t="s">
        <v>29</v>
      </c>
      <c r="O822" t="s">
        <v>149</v>
      </c>
      <c r="P822">
        <v>2026</v>
      </c>
    </row>
    <row r="823" spans="1:16" x14ac:dyDescent="0.25">
      <c r="A823" s="96" t="s">
        <v>2</v>
      </c>
      <c r="B823" s="96" t="s">
        <v>269</v>
      </c>
      <c r="C823" s="96" t="s">
        <v>4281</v>
      </c>
      <c r="D823" s="96" t="s">
        <v>192</v>
      </c>
      <c r="E823" s="43">
        <v>46129</v>
      </c>
      <c r="F823" s="43">
        <v>46151</v>
      </c>
      <c r="G823" s="96" t="s">
        <v>90</v>
      </c>
      <c r="H823" s="96" t="s">
        <v>4282</v>
      </c>
      <c r="I823" s="96" t="s">
        <v>9</v>
      </c>
      <c r="J823" s="96" t="s">
        <v>173</v>
      </c>
      <c r="K823" s="96" t="s">
        <v>157</v>
      </c>
      <c r="L823">
        <v>22</v>
      </c>
      <c r="M823" t="s">
        <v>19</v>
      </c>
      <c r="N823" t="s">
        <v>37</v>
      </c>
      <c r="O823" t="s">
        <v>152</v>
      </c>
      <c r="P823">
        <v>2026</v>
      </c>
    </row>
    <row r="824" spans="1:16" x14ac:dyDescent="0.25">
      <c r="A824" s="96" t="s">
        <v>2</v>
      </c>
      <c r="B824" s="96" t="s">
        <v>261</v>
      </c>
      <c r="C824" s="96" t="s">
        <v>929</v>
      </c>
      <c r="D824" s="96" t="s">
        <v>34</v>
      </c>
      <c r="E824" s="43">
        <v>46082</v>
      </c>
      <c r="F824" s="43">
        <v>46149</v>
      </c>
      <c r="G824" s="96" t="s">
        <v>92</v>
      </c>
      <c r="H824" s="96" t="s">
        <v>4283</v>
      </c>
      <c r="I824" s="96" t="s">
        <v>204</v>
      </c>
      <c r="J824" s="96" t="s">
        <v>94</v>
      </c>
      <c r="K824" s="96" t="s">
        <v>205</v>
      </c>
      <c r="L824">
        <v>67</v>
      </c>
      <c r="M824" t="s">
        <v>28</v>
      </c>
      <c r="N824" t="s">
        <v>35</v>
      </c>
      <c r="O824" t="s">
        <v>151</v>
      </c>
      <c r="P824">
        <v>2026</v>
      </c>
    </row>
    <row r="825" spans="1:16" x14ac:dyDescent="0.25">
      <c r="A825" s="96" t="s">
        <v>21</v>
      </c>
      <c r="B825" s="96" t="s">
        <v>274</v>
      </c>
      <c r="C825" s="96" t="s">
        <v>930</v>
      </c>
      <c r="D825" s="96" t="s">
        <v>34</v>
      </c>
      <c r="E825" s="43">
        <v>46086</v>
      </c>
      <c r="F825" s="43">
        <v>46149</v>
      </c>
      <c r="G825" s="96" t="s">
        <v>92</v>
      </c>
      <c r="H825" s="96" t="s">
        <v>4284</v>
      </c>
      <c r="I825" s="96" t="s">
        <v>228</v>
      </c>
      <c r="J825" s="96" t="s">
        <v>174</v>
      </c>
      <c r="K825" s="96" t="s">
        <v>233</v>
      </c>
      <c r="L825">
        <v>63</v>
      </c>
      <c r="M825" t="s">
        <v>28</v>
      </c>
      <c r="N825" t="s">
        <v>35</v>
      </c>
      <c r="O825" t="s">
        <v>170</v>
      </c>
      <c r="P825">
        <v>2026</v>
      </c>
    </row>
    <row r="826" spans="1:16" hidden="1" x14ac:dyDescent="0.25">
      <c r="A826" s="96" t="s">
        <v>2</v>
      </c>
      <c r="B826" s="96" t="s">
        <v>206</v>
      </c>
      <c r="C826" s="96" t="s">
        <v>931</v>
      </c>
      <c r="D826" s="96" t="s">
        <v>223</v>
      </c>
      <c r="E826" s="43">
        <v>45894</v>
      </c>
      <c r="F826" s="43">
        <v>45972</v>
      </c>
      <c r="G826" s="96" t="s">
        <v>90</v>
      </c>
      <c r="H826" s="96" t="s">
        <v>4285</v>
      </c>
      <c r="I826" s="96" t="s">
        <v>157</v>
      </c>
      <c r="J826" s="96" t="s">
        <v>177</v>
      </c>
      <c r="K826" s="96" t="s">
        <v>246</v>
      </c>
      <c r="L826">
        <v>78</v>
      </c>
      <c r="M826" t="s">
        <v>28</v>
      </c>
      <c r="N826" t="s">
        <v>8</v>
      </c>
      <c r="O826" t="s">
        <v>152</v>
      </c>
      <c r="P826">
        <v>2025</v>
      </c>
    </row>
    <row r="827" spans="1:16" hidden="1" x14ac:dyDescent="0.25">
      <c r="A827" s="96" t="s">
        <v>2</v>
      </c>
      <c r="B827" s="96" t="s">
        <v>206</v>
      </c>
      <c r="C827" s="96" t="s">
        <v>4286</v>
      </c>
      <c r="D827" s="96" t="s">
        <v>14</v>
      </c>
      <c r="E827" s="43">
        <v>45663</v>
      </c>
      <c r="F827" s="43">
        <v>45702</v>
      </c>
      <c r="G827" s="96" t="s">
        <v>92</v>
      </c>
      <c r="H827" s="96" t="s">
        <v>4287</v>
      </c>
      <c r="I827" s="96" t="s">
        <v>204</v>
      </c>
      <c r="J827" s="96" t="s">
        <v>93</v>
      </c>
      <c r="K827" s="96" t="s">
        <v>210</v>
      </c>
      <c r="L827">
        <v>39</v>
      </c>
      <c r="M827" t="s">
        <v>24</v>
      </c>
      <c r="N827" t="s">
        <v>181</v>
      </c>
      <c r="O827" t="s">
        <v>152</v>
      </c>
      <c r="P827">
        <v>2025</v>
      </c>
    </row>
    <row r="828" spans="1:16" hidden="1" x14ac:dyDescent="0.25">
      <c r="A828" s="96" t="s">
        <v>2</v>
      </c>
      <c r="B828" s="96" t="s">
        <v>247</v>
      </c>
      <c r="C828" s="96" t="s">
        <v>4288</v>
      </c>
      <c r="D828" s="96" t="s">
        <v>40</v>
      </c>
      <c r="E828" s="43">
        <v>45853</v>
      </c>
      <c r="F828" s="43">
        <v>45925</v>
      </c>
      <c r="G828" s="96" t="s">
        <v>92</v>
      </c>
      <c r="H828" s="96" t="s">
        <v>4289</v>
      </c>
      <c r="I828" s="96" t="s">
        <v>225</v>
      </c>
      <c r="J828" s="96" t="s">
        <v>93</v>
      </c>
      <c r="K828" s="96" t="s">
        <v>230</v>
      </c>
      <c r="L828">
        <v>72</v>
      </c>
      <c r="M828" t="s">
        <v>28</v>
      </c>
      <c r="N828" t="s">
        <v>187</v>
      </c>
      <c r="O828" t="s">
        <v>150</v>
      </c>
      <c r="P828">
        <v>2025</v>
      </c>
    </row>
    <row r="829" spans="1:16" x14ac:dyDescent="0.25">
      <c r="A829" s="96" t="s">
        <v>2</v>
      </c>
      <c r="B829" s="96" t="s">
        <v>261</v>
      </c>
      <c r="C829" s="96" t="s">
        <v>932</v>
      </c>
      <c r="D829" s="96" t="s">
        <v>203</v>
      </c>
      <c r="E829" s="43">
        <v>46114</v>
      </c>
      <c r="F829" s="43">
        <v>46151</v>
      </c>
      <c r="G829" s="96" t="s">
        <v>92</v>
      </c>
      <c r="H829" s="96" t="s">
        <v>4290</v>
      </c>
      <c r="I829" s="96" t="s">
        <v>194</v>
      </c>
      <c r="J829" s="96" t="s">
        <v>176</v>
      </c>
      <c r="K829" s="96" t="s">
        <v>210</v>
      </c>
      <c r="L829">
        <v>37</v>
      </c>
      <c r="M829" t="s">
        <v>24</v>
      </c>
      <c r="N829" t="s">
        <v>37</v>
      </c>
      <c r="O829" t="s">
        <v>151</v>
      </c>
      <c r="P829">
        <v>2026</v>
      </c>
    </row>
    <row r="830" spans="1:16" hidden="1" x14ac:dyDescent="0.25">
      <c r="A830" s="96" t="s">
        <v>2</v>
      </c>
      <c r="B830" s="96" t="s">
        <v>247</v>
      </c>
      <c r="C830" s="96" t="s">
        <v>933</v>
      </c>
      <c r="D830" s="96" t="s">
        <v>215</v>
      </c>
      <c r="E830" s="43">
        <v>45703</v>
      </c>
      <c r="F830" s="43">
        <v>45808</v>
      </c>
      <c r="G830" s="96" t="s">
        <v>90</v>
      </c>
      <c r="H830" s="96" t="s">
        <v>4291</v>
      </c>
      <c r="I830" s="96" t="s">
        <v>9</v>
      </c>
      <c r="J830" s="96" t="s">
        <v>98</v>
      </c>
      <c r="K830" s="96" t="s">
        <v>195</v>
      </c>
      <c r="L830">
        <v>105</v>
      </c>
      <c r="M830" t="s">
        <v>28</v>
      </c>
      <c r="N830" t="s">
        <v>188</v>
      </c>
      <c r="O830" t="s">
        <v>150</v>
      </c>
      <c r="P830">
        <v>2025</v>
      </c>
    </row>
    <row r="831" spans="1:16" x14ac:dyDescent="0.25">
      <c r="A831" s="96" t="s">
        <v>2</v>
      </c>
      <c r="B831" s="96" t="s">
        <v>249</v>
      </c>
      <c r="C831" s="96" t="s">
        <v>934</v>
      </c>
      <c r="D831" s="96" t="s">
        <v>203</v>
      </c>
      <c r="E831" s="43">
        <v>46124</v>
      </c>
      <c r="F831" s="43">
        <v>46127</v>
      </c>
      <c r="G831" s="96" t="s">
        <v>90</v>
      </c>
      <c r="H831" s="96" t="s">
        <v>4292</v>
      </c>
      <c r="I831" s="96" t="s">
        <v>9</v>
      </c>
      <c r="J831" s="96" t="s">
        <v>177</v>
      </c>
      <c r="K831" s="96" t="s">
        <v>205</v>
      </c>
      <c r="L831">
        <v>3</v>
      </c>
      <c r="M831" t="s">
        <v>11</v>
      </c>
      <c r="N831" t="s">
        <v>37</v>
      </c>
      <c r="O831" t="s">
        <v>170</v>
      </c>
      <c r="P831">
        <v>2026</v>
      </c>
    </row>
    <row r="832" spans="1:16" hidden="1" x14ac:dyDescent="0.25">
      <c r="A832" s="96" t="s">
        <v>2</v>
      </c>
      <c r="B832" s="96" t="s">
        <v>280</v>
      </c>
      <c r="C832" s="96" t="s">
        <v>4293</v>
      </c>
      <c r="D832" s="96" t="s">
        <v>203</v>
      </c>
      <c r="E832" s="43">
        <v>45764</v>
      </c>
      <c r="F832" s="43">
        <v>45794</v>
      </c>
      <c r="G832" s="96" t="s">
        <v>90</v>
      </c>
      <c r="H832" s="96" t="s">
        <v>4294</v>
      </c>
      <c r="I832" s="96" t="s">
        <v>157</v>
      </c>
      <c r="J832" s="96" t="s">
        <v>229</v>
      </c>
      <c r="K832" s="96" t="s">
        <v>217</v>
      </c>
      <c r="L832">
        <v>30</v>
      </c>
      <c r="M832" t="s">
        <v>19</v>
      </c>
      <c r="N832" t="s">
        <v>185</v>
      </c>
      <c r="O832" t="s">
        <v>170</v>
      </c>
      <c r="P832">
        <v>2025</v>
      </c>
    </row>
    <row r="833" spans="1:16" hidden="1" x14ac:dyDescent="0.25">
      <c r="A833" s="96" t="s">
        <v>2</v>
      </c>
      <c r="B833" s="96" t="s">
        <v>255</v>
      </c>
      <c r="C833" s="96" t="s">
        <v>4295</v>
      </c>
      <c r="D833" s="96" t="s">
        <v>34</v>
      </c>
      <c r="E833" s="43">
        <v>45989</v>
      </c>
      <c r="F833" s="43">
        <v>46070</v>
      </c>
      <c r="G833" s="96" t="s">
        <v>92</v>
      </c>
      <c r="H833" s="96" t="s">
        <v>913</v>
      </c>
      <c r="I833" s="96" t="s">
        <v>157</v>
      </c>
      <c r="J833" s="96" t="s">
        <v>174</v>
      </c>
      <c r="K833" s="96" t="s">
        <v>205</v>
      </c>
      <c r="L833">
        <v>81</v>
      </c>
      <c r="M833" t="s">
        <v>28</v>
      </c>
      <c r="N833" t="s">
        <v>20</v>
      </c>
      <c r="O833" t="s">
        <v>150</v>
      </c>
      <c r="P833">
        <v>2025</v>
      </c>
    </row>
    <row r="834" spans="1:16" hidden="1" x14ac:dyDescent="0.25">
      <c r="A834" s="96" t="s">
        <v>171</v>
      </c>
      <c r="B834" s="96" t="s">
        <v>264</v>
      </c>
      <c r="C834" s="96" t="s">
        <v>4296</v>
      </c>
      <c r="D834" s="96" t="s">
        <v>208</v>
      </c>
      <c r="E834" s="43">
        <v>45856</v>
      </c>
      <c r="F834" s="43">
        <v>45949</v>
      </c>
      <c r="G834" s="96" t="s">
        <v>92</v>
      </c>
      <c r="H834" s="96" t="s">
        <v>915</v>
      </c>
      <c r="I834" s="96" t="s">
        <v>228</v>
      </c>
      <c r="J834" s="96" t="s">
        <v>96</v>
      </c>
      <c r="K834" s="96" t="s">
        <v>205</v>
      </c>
      <c r="L834">
        <v>93</v>
      </c>
      <c r="M834" t="s">
        <v>28</v>
      </c>
      <c r="N834" t="s">
        <v>187</v>
      </c>
      <c r="O834" t="s">
        <v>152</v>
      </c>
      <c r="P834">
        <v>2025</v>
      </c>
    </row>
    <row r="835" spans="1:16" hidden="1" x14ac:dyDescent="0.25">
      <c r="A835" s="96" t="s">
        <v>21</v>
      </c>
      <c r="B835" s="96" t="s">
        <v>322</v>
      </c>
      <c r="C835" s="96" t="s">
        <v>936</v>
      </c>
      <c r="D835" s="96" t="s">
        <v>208</v>
      </c>
      <c r="E835" s="43">
        <v>45792</v>
      </c>
      <c r="F835" s="43">
        <v>45851</v>
      </c>
      <c r="G835" s="96" t="s">
        <v>90</v>
      </c>
      <c r="H835" s="96" t="s">
        <v>4297</v>
      </c>
      <c r="I835" s="96" t="s">
        <v>225</v>
      </c>
      <c r="J835" s="96" t="s">
        <v>172</v>
      </c>
      <c r="K835" s="96" t="s">
        <v>233</v>
      </c>
      <c r="L835">
        <v>59</v>
      </c>
      <c r="M835" t="s">
        <v>24</v>
      </c>
      <c r="N835" t="s">
        <v>182</v>
      </c>
      <c r="O835" t="s">
        <v>150</v>
      </c>
      <c r="P835">
        <v>2025</v>
      </c>
    </row>
    <row r="836" spans="1:16" hidden="1" x14ac:dyDescent="0.25">
      <c r="A836" s="96" t="s">
        <v>175</v>
      </c>
      <c r="B836" s="96" t="s">
        <v>272</v>
      </c>
      <c r="C836" s="96" t="s">
        <v>938</v>
      </c>
      <c r="D836" s="96" t="s">
        <v>14</v>
      </c>
      <c r="E836" s="43">
        <v>45673</v>
      </c>
      <c r="F836" s="43">
        <v>45678</v>
      </c>
      <c r="G836" s="96" t="s">
        <v>92</v>
      </c>
      <c r="H836" s="96" t="s">
        <v>4298</v>
      </c>
      <c r="I836" s="96" t="s">
        <v>157</v>
      </c>
      <c r="J836" s="96" t="s">
        <v>168</v>
      </c>
      <c r="K836" s="96" t="s">
        <v>230</v>
      </c>
      <c r="L836">
        <v>5</v>
      </c>
      <c r="M836" t="s">
        <v>11</v>
      </c>
      <c r="N836" t="s">
        <v>181</v>
      </c>
      <c r="O836" t="s">
        <v>151</v>
      </c>
      <c r="P836">
        <v>2025</v>
      </c>
    </row>
    <row r="837" spans="1:16" hidden="1" x14ac:dyDescent="0.25">
      <c r="A837" s="96" t="s">
        <v>2</v>
      </c>
      <c r="B837" s="96" t="s">
        <v>206</v>
      </c>
      <c r="C837" s="96" t="s">
        <v>939</v>
      </c>
      <c r="D837" s="96" t="s">
        <v>208</v>
      </c>
      <c r="E837" s="43">
        <v>45761</v>
      </c>
      <c r="F837" s="43">
        <v>45864</v>
      </c>
      <c r="G837" s="96" t="s">
        <v>95</v>
      </c>
      <c r="H837" s="96" t="s">
        <v>4299</v>
      </c>
      <c r="I837" s="96" t="s">
        <v>157</v>
      </c>
      <c r="J837" s="96" t="s">
        <v>172</v>
      </c>
      <c r="K837" s="96" t="s">
        <v>195</v>
      </c>
      <c r="L837">
        <v>103</v>
      </c>
      <c r="M837" t="s">
        <v>28</v>
      </c>
      <c r="N837" t="s">
        <v>185</v>
      </c>
      <c r="O837" t="s">
        <v>152</v>
      </c>
      <c r="P837">
        <v>2025</v>
      </c>
    </row>
    <row r="838" spans="1:16" x14ac:dyDescent="0.25">
      <c r="A838" s="96" t="s">
        <v>2</v>
      </c>
      <c r="B838" s="96" t="s">
        <v>226</v>
      </c>
      <c r="C838" s="96" t="s">
        <v>941</v>
      </c>
      <c r="D838" s="96" t="s">
        <v>14</v>
      </c>
      <c r="E838" s="43">
        <v>46134</v>
      </c>
      <c r="F838" s="43">
        <v>46146</v>
      </c>
      <c r="G838" s="96" t="s">
        <v>90</v>
      </c>
      <c r="H838" s="96" t="s">
        <v>4300</v>
      </c>
      <c r="I838" s="96" t="s">
        <v>228</v>
      </c>
      <c r="J838" s="96" t="s">
        <v>97</v>
      </c>
      <c r="K838" s="96" t="s">
        <v>246</v>
      </c>
      <c r="L838">
        <v>12</v>
      </c>
      <c r="M838" t="s">
        <v>15</v>
      </c>
      <c r="N838" t="s">
        <v>37</v>
      </c>
      <c r="O838" t="s">
        <v>151</v>
      </c>
      <c r="P838">
        <v>2026</v>
      </c>
    </row>
    <row r="839" spans="1:16" x14ac:dyDescent="0.25">
      <c r="A839" s="96" t="s">
        <v>2</v>
      </c>
      <c r="B839" s="96" t="s">
        <v>269</v>
      </c>
      <c r="C839" s="96" t="s">
        <v>943</v>
      </c>
      <c r="D839" s="96" t="s">
        <v>237</v>
      </c>
      <c r="E839" s="43">
        <v>46064</v>
      </c>
      <c r="F839" s="43">
        <v>46112</v>
      </c>
      <c r="G839" s="96" t="s">
        <v>92</v>
      </c>
      <c r="H839" s="96" t="s">
        <v>4301</v>
      </c>
      <c r="I839" s="96" t="s">
        <v>225</v>
      </c>
      <c r="J839" s="96" t="s">
        <v>176</v>
      </c>
      <c r="K839" s="96" t="s">
        <v>200</v>
      </c>
      <c r="L839">
        <v>48</v>
      </c>
      <c r="M839" t="s">
        <v>24</v>
      </c>
      <c r="N839" t="s">
        <v>32</v>
      </c>
      <c r="O839" t="s">
        <v>152</v>
      </c>
      <c r="P839">
        <v>2026</v>
      </c>
    </row>
    <row r="840" spans="1:16" hidden="1" x14ac:dyDescent="0.25">
      <c r="A840" s="96" t="s">
        <v>175</v>
      </c>
      <c r="B840" s="96" t="s">
        <v>206</v>
      </c>
      <c r="C840" s="96" t="s">
        <v>945</v>
      </c>
      <c r="D840" s="96" t="s">
        <v>223</v>
      </c>
      <c r="E840" s="43">
        <v>45835</v>
      </c>
      <c r="F840" s="43">
        <v>45934</v>
      </c>
      <c r="G840" s="96" t="s">
        <v>90</v>
      </c>
      <c r="H840" s="96" t="s">
        <v>4302</v>
      </c>
      <c r="I840" s="96" t="s">
        <v>194</v>
      </c>
      <c r="J840" s="96" t="s">
        <v>165</v>
      </c>
      <c r="K840" s="96" t="s">
        <v>230</v>
      </c>
      <c r="L840">
        <v>99</v>
      </c>
      <c r="M840" t="s">
        <v>28</v>
      </c>
      <c r="N840" t="s">
        <v>184</v>
      </c>
      <c r="O840" t="s">
        <v>152</v>
      </c>
      <c r="P840">
        <v>2025</v>
      </c>
    </row>
    <row r="841" spans="1:16" x14ac:dyDescent="0.25">
      <c r="A841" s="96" t="s">
        <v>2</v>
      </c>
      <c r="B841" s="96" t="s">
        <v>261</v>
      </c>
      <c r="C841" s="96" t="s">
        <v>4303</v>
      </c>
      <c r="D841" s="96" t="s">
        <v>223</v>
      </c>
      <c r="E841" s="43">
        <v>46108</v>
      </c>
      <c r="F841" s="43">
        <v>46149</v>
      </c>
      <c r="G841" s="96" t="s">
        <v>90</v>
      </c>
      <c r="H841" s="96" t="s">
        <v>4304</v>
      </c>
      <c r="I841" s="96" t="s">
        <v>228</v>
      </c>
      <c r="J841" s="96" t="s">
        <v>173</v>
      </c>
      <c r="K841" s="96" t="s">
        <v>200</v>
      </c>
      <c r="L841">
        <v>41</v>
      </c>
      <c r="M841" t="s">
        <v>24</v>
      </c>
      <c r="N841" t="s">
        <v>35</v>
      </c>
      <c r="O841" t="s">
        <v>151</v>
      </c>
      <c r="P841">
        <v>2026</v>
      </c>
    </row>
    <row r="842" spans="1:16" hidden="1" x14ac:dyDescent="0.25">
      <c r="A842" s="96" t="s">
        <v>171</v>
      </c>
      <c r="B842" s="96" t="s">
        <v>231</v>
      </c>
      <c r="C842" s="96" t="s">
        <v>947</v>
      </c>
      <c r="D842" s="96" t="s">
        <v>14</v>
      </c>
      <c r="E842" s="43">
        <v>45739</v>
      </c>
      <c r="F842" s="43">
        <v>45848</v>
      </c>
      <c r="G842" s="96" t="s">
        <v>90</v>
      </c>
      <c r="H842" s="96" t="s">
        <v>4305</v>
      </c>
      <c r="I842" s="96" t="s">
        <v>157</v>
      </c>
      <c r="J842" s="96" t="s">
        <v>283</v>
      </c>
      <c r="K842" s="96" t="s">
        <v>233</v>
      </c>
      <c r="L842">
        <v>109</v>
      </c>
      <c r="M842" t="s">
        <v>28</v>
      </c>
      <c r="N842" t="s">
        <v>186</v>
      </c>
      <c r="O842" t="s">
        <v>170</v>
      </c>
      <c r="P842">
        <v>2025</v>
      </c>
    </row>
    <row r="843" spans="1:16" x14ac:dyDescent="0.25">
      <c r="A843" s="96" t="s">
        <v>2</v>
      </c>
      <c r="B843" s="96" t="s">
        <v>219</v>
      </c>
      <c r="C843" s="96" t="s">
        <v>4306</v>
      </c>
      <c r="D843" s="96" t="s">
        <v>223</v>
      </c>
      <c r="E843" s="43">
        <v>46033</v>
      </c>
      <c r="F843" s="43">
        <v>46100</v>
      </c>
      <c r="G843" s="96" t="s">
        <v>92</v>
      </c>
      <c r="H843" s="96" t="s">
        <v>4307</v>
      </c>
      <c r="I843" s="96" t="s">
        <v>194</v>
      </c>
      <c r="J843" s="96" t="s">
        <v>199</v>
      </c>
      <c r="K843" s="96" t="s">
        <v>200</v>
      </c>
      <c r="L843">
        <v>67</v>
      </c>
      <c r="M843" t="s">
        <v>28</v>
      </c>
      <c r="N843" t="s">
        <v>29</v>
      </c>
      <c r="O843" t="s">
        <v>149</v>
      </c>
      <c r="P843">
        <v>2026</v>
      </c>
    </row>
    <row r="844" spans="1:16" hidden="1" x14ac:dyDescent="0.25">
      <c r="A844" s="96" t="s">
        <v>2</v>
      </c>
      <c r="B844" s="96" t="s">
        <v>272</v>
      </c>
      <c r="C844" s="96" t="s">
        <v>4308</v>
      </c>
      <c r="D844" s="96" t="s">
        <v>215</v>
      </c>
      <c r="E844" s="43">
        <v>45849</v>
      </c>
      <c r="F844" s="43">
        <v>45920</v>
      </c>
      <c r="G844" s="96" t="s">
        <v>92</v>
      </c>
      <c r="H844" s="96" t="s">
        <v>4309</v>
      </c>
      <c r="I844" s="96" t="s">
        <v>209</v>
      </c>
      <c r="J844" s="96" t="s">
        <v>93</v>
      </c>
      <c r="K844" s="96" t="s">
        <v>210</v>
      </c>
      <c r="L844">
        <v>71</v>
      </c>
      <c r="M844" t="s">
        <v>28</v>
      </c>
      <c r="N844" t="s">
        <v>187</v>
      </c>
      <c r="O844" t="s">
        <v>151</v>
      </c>
      <c r="P844">
        <v>2025</v>
      </c>
    </row>
    <row r="845" spans="1:16" x14ac:dyDescent="0.25">
      <c r="A845" s="96" t="s">
        <v>2</v>
      </c>
      <c r="B845" s="96" t="s">
        <v>317</v>
      </c>
      <c r="C845" s="96" t="s">
        <v>949</v>
      </c>
      <c r="D845" s="96" t="s">
        <v>215</v>
      </c>
      <c r="E845" s="43">
        <v>46071</v>
      </c>
      <c r="F845" s="43">
        <v>46151</v>
      </c>
      <c r="G845" s="96" t="s">
        <v>90</v>
      </c>
      <c r="H845" s="96" t="s">
        <v>4310</v>
      </c>
      <c r="I845" s="96" t="s">
        <v>157</v>
      </c>
      <c r="J845" s="96" t="s">
        <v>176</v>
      </c>
      <c r="K845" s="96" t="s">
        <v>230</v>
      </c>
      <c r="L845">
        <v>80</v>
      </c>
      <c r="M845" t="s">
        <v>28</v>
      </c>
      <c r="N845" t="s">
        <v>32</v>
      </c>
      <c r="O845" t="s">
        <v>170</v>
      </c>
      <c r="P845">
        <v>2026</v>
      </c>
    </row>
    <row r="846" spans="1:16" x14ac:dyDescent="0.25">
      <c r="A846" s="96" t="s">
        <v>2</v>
      </c>
      <c r="B846" s="96" t="s">
        <v>219</v>
      </c>
      <c r="C846" s="96" t="s">
        <v>950</v>
      </c>
      <c r="D846" s="96" t="s">
        <v>14</v>
      </c>
      <c r="E846" s="43">
        <v>46047</v>
      </c>
      <c r="F846" s="43">
        <v>46150</v>
      </c>
      <c r="G846" s="96" t="s">
        <v>92</v>
      </c>
      <c r="H846" s="96" t="s">
        <v>4311</v>
      </c>
      <c r="I846" s="96" t="s">
        <v>204</v>
      </c>
      <c r="J846" s="96" t="s">
        <v>93</v>
      </c>
      <c r="K846" s="96" t="s">
        <v>233</v>
      </c>
      <c r="L846">
        <v>103</v>
      </c>
      <c r="M846" t="s">
        <v>28</v>
      </c>
      <c r="N846" t="s">
        <v>29</v>
      </c>
      <c r="O846" t="s">
        <v>149</v>
      </c>
      <c r="P846">
        <v>2026</v>
      </c>
    </row>
    <row r="847" spans="1:16" hidden="1" x14ac:dyDescent="0.25">
      <c r="A847" s="96" t="s">
        <v>2</v>
      </c>
      <c r="B847" s="96" t="s">
        <v>257</v>
      </c>
      <c r="C847" s="96" t="s">
        <v>4312</v>
      </c>
      <c r="D847" s="96" t="s">
        <v>215</v>
      </c>
      <c r="E847" s="43">
        <v>45841</v>
      </c>
      <c r="F847" s="43">
        <v>45926</v>
      </c>
      <c r="G847" s="96" t="s">
        <v>92</v>
      </c>
      <c r="H847" s="96" t="s">
        <v>4313</v>
      </c>
      <c r="I847" s="96" t="s">
        <v>204</v>
      </c>
      <c r="J847" s="96" t="s">
        <v>283</v>
      </c>
      <c r="K847" s="96" t="s">
        <v>246</v>
      </c>
      <c r="L847">
        <v>85</v>
      </c>
      <c r="M847" t="s">
        <v>28</v>
      </c>
      <c r="N847" t="s">
        <v>187</v>
      </c>
      <c r="O847" t="s">
        <v>151</v>
      </c>
      <c r="P847">
        <v>2025</v>
      </c>
    </row>
    <row r="848" spans="1:16" hidden="1" x14ac:dyDescent="0.25">
      <c r="A848" s="96" t="s">
        <v>2</v>
      </c>
      <c r="B848" s="96" t="s">
        <v>257</v>
      </c>
      <c r="C848" s="96" t="s">
        <v>952</v>
      </c>
      <c r="D848" s="96" t="s">
        <v>237</v>
      </c>
      <c r="E848" s="43">
        <v>45961</v>
      </c>
      <c r="F848" s="43">
        <v>45967</v>
      </c>
      <c r="G848" s="96" t="s">
        <v>92</v>
      </c>
      <c r="H848" s="96" t="s">
        <v>4314</v>
      </c>
      <c r="I848" s="96" t="s">
        <v>157</v>
      </c>
      <c r="J848" s="96" t="s">
        <v>98</v>
      </c>
      <c r="K848" s="96" t="s">
        <v>233</v>
      </c>
      <c r="L848">
        <v>6</v>
      </c>
      <c r="M848" t="s">
        <v>11</v>
      </c>
      <c r="N848" t="s">
        <v>16</v>
      </c>
      <c r="O848" t="s">
        <v>151</v>
      </c>
      <c r="P848">
        <v>2025</v>
      </c>
    </row>
    <row r="849" spans="1:16" hidden="1" x14ac:dyDescent="0.25">
      <c r="A849" s="96" t="s">
        <v>2</v>
      </c>
      <c r="B849" s="96" t="s">
        <v>253</v>
      </c>
      <c r="C849" s="96" t="s">
        <v>954</v>
      </c>
      <c r="D849" s="96" t="s">
        <v>14</v>
      </c>
      <c r="E849" s="43">
        <v>45958</v>
      </c>
      <c r="F849" s="43">
        <v>46038</v>
      </c>
      <c r="G849" s="96" t="s">
        <v>92</v>
      </c>
      <c r="H849" s="96" t="s">
        <v>4315</v>
      </c>
      <c r="I849" s="96" t="s">
        <v>194</v>
      </c>
      <c r="J849" s="96" t="s">
        <v>168</v>
      </c>
      <c r="K849" s="96" t="s">
        <v>157</v>
      </c>
      <c r="L849">
        <v>80</v>
      </c>
      <c r="M849" t="s">
        <v>28</v>
      </c>
      <c r="N849" t="s">
        <v>16</v>
      </c>
      <c r="O849" t="s">
        <v>152</v>
      </c>
      <c r="P849">
        <v>2025</v>
      </c>
    </row>
    <row r="850" spans="1:16" x14ac:dyDescent="0.25">
      <c r="A850" s="96" t="s">
        <v>2</v>
      </c>
      <c r="B850" s="96" t="s">
        <v>226</v>
      </c>
      <c r="C850" s="96" t="s">
        <v>4316</v>
      </c>
      <c r="D850" s="96" t="s">
        <v>203</v>
      </c>
      <c r="E850" s="43">
        <v>46138</v>
      </c>
      <c r="F850" s="43">
        <v>46147</v>
      </c>
      <c r="G850" s="96" t="s">
        <v>92</v>
      </c>
      <c r="H850" s="96" t="s">
        <v>4317</v>
      </c>
      <c r="I850" s="96" t="s">
        <v>194</v>
      </c>
      <c r="J850" s="96" t="s">
        <v>165</v>
      </c>
      <c r="K850" s="96" t="s">
        <v>157</v>
      </c>
      <c r="L850">
        <v>9</v>
      </c>
      <c r="M850" t="s">
        <v>15</v>
      </c>
      <c r="N850" t="s">
        <v>37</v>
      </c>
      <c r="O850" t="s">
        <v>151</v>
      </c>
      <c r="P850">
        <v>2026</v>
      </c>
    </row>
    <row r="851" spans="1:16" hidden="1" x14ac:dyDescent="0.25">
      <c r="A851" s="96" t="s">
        <v>2</v>
      </c>
      <c r="B851" s="96" t="s">
        <v>322</v>
      </c>
      <c r="C851" s="96" t="s">
        <v>956</v>
      </c>
      <c r="D851" s="96" t="s">
        <v>14</v>
      </c>
      <c r="E851" s="43">
        <v>45889</v>
      </c>
      <c r="F851" s="43">
        <v>45927</v>
      </c>
      <c r="G851" s="96" t="s">
        <v>92</v>
      </c>
      <c r="H851" s="96" t="s">
        <v>928</v>
      </c>
      <c r="I851" s="96" t="s">
        <v>225</v>
      </c>
      <c r="J851" s="96" t="s">
        <v>216</v>
      </c>
      <c r="K851" s="96" t="s">
        <v>246</v>
      </c>
      <c r="L851">
        <v>38</v>
      </c>
      <c r="M851" t="s">
        <v>24</v>
      </c>
      <c r="N851" t="s">
        <v>8</v>
      </c>
      <c r="O851" t="s">
        <v>150</v>
      </c>
      <c r="P851">
        <v>2025</v>
      </c>
    </row>
    <row r="852" spans="1:16" hidden="1" x14ac:dyDescent="0.25">
      <c r="A852" s="96" t="s">
        <v>2</v>
      </c>
      <c r="B852" s="96" t="s">
        <v>257</v>
      </c>
      <c r="C852" s="96" t="s">
        <v>4318</v>
      </c>
      <c r="D852" s="96" t="s">
        <v>14</v>
      </c>
      <c r="E852" s="43">
        <v>45712</v>
      </c>
      <c r="F852" s="43">
        <v>45766</v>
      </c>
      <c r="G852" s="96" t="s">
        <v>92</v>
      </c>
      <c r="H852" s="96" t="s">
        <v>4319</v>
      </c>
      <c r="I852" s="96" t="s">
        <v>9</v>
      </c>
      <c r="J852" s="96" t="s">
        <v>168</v>
      </c>
      <c r="K852" s="96" t="s">
        <v>200</v>
      </c>
      <c r="L852">
        <v>54</v>
      </c>
      <c r="M852" t="s">
        <v>24</v>
      </c>
      <c r="N852" t="s">
        <v>188</v>
      </c>
      <c r="O852" t="s">
        <v>151</v>
      </c>
      <c r="P852">
        <v>2025</v>
      </c>
    </row>
    <row r="853" spans="1:16" hidden="1" x14ac:dyDescent="0.25">
      <c r="A853" s="96" t="s">
        <v>2</v>
      </c>
      <c r="B853" s="96" t="s">
        <v>190</v>
      </c>
      <c r="C853" s="96" t="s">
        <v>957</v>
      </c>
      <c r="D853" s="96" t="s">
        <v>215</v>
      </c>
      <c r="E853" s="43">
        <v>45917</v>
      </c>
      <c r="F853" s="43">
        <v>46035</v>
      </c>
      <c r="G853" s="96" t="s">
        <v>92</v>
      </c>
      <c r="H853" s="96" t="s">
        <v>4320</v>
      </c>
      <c r="I853" s="96" t="s">
        <v>194</v>
      </c>
      <c r="J853" s="96" t="s">
        <v>98</v>
      </c>
      <c r="K853" s="96" t="s">
        <v>200</v>
      </c>
      <c r="L853">
        <v>118</v>
      </c>
      <c r="M853" t="s">
        <v>28</v>
      </c>
      <c r="N853" t="s">
        <v>12</v>
      </c>
      <c r="O853" t="s">
        <v>150</v>
      </c>
      <c r="P853">
        <v>2025</v>
      </c>
    </row>
    <row r="854" spans="1:16" hidden="1" x14ac:dyDescent="0.25">
      <c r="A854" s="96" t="s">
        <v>2</v>
      </c>
      <c r="B854" s="96" t="s">
        <v>247</v>
      </c>
      <c r="C854" s="96" t="s">
        <v>958</v>
      </c>
      <c r="D854" s="96" t="s">
        <v>40</v>
      </c>
      <c r="E854" s="43">
        <v>45902</v>
      </c>
      <c r="F854" s="43">
        <v>45911</v>
      </c>
      <c r="G854" s="96" t="s">
        <v>92</v>
      </c>
      <c r="H854" s="96" t="s">
        <v>4321</v>
      </c>
      <c r="I854" s="96" t="s">
        <v>225</v>
      </c>
      <c r="J854" s="96" t="s">
        <v>176</v>
      </c>
      <c r="K854" s="96" t="s">
        <v>195</v>
      </c>
      <c r="L854">
        <v>9</v>
      </c>
      <c r="M854" t="s">
        <v>15</v>
      </c>
      <c r="N854" t="s">
        <v>12</v>
      </c>
      <c r="O854" t="s">
        <v>150</v>
      </c>
      <c r="P854">
        <v>2025</v>
      </c>
    </row>
    <row r="855" spans="1:16" hidden="1" x14ac:dyDescent="0.25">
      <c r="A855" s="96" t="s">
        <v>2</v>
      </c>
      <c r="B855" s="96" t="s">
        <v>240</v>
      </c>
      <c r="C855" s="96" t="s">
        <v>959</v>
      </c>
      <c r="D855" s="96" t="s">
        <v>40</v>
      </c>
      <c r="E855" s="43">
        <v>45919</v>
      </c>
      <c r="F855" s="43">
        <v>46020</v>
      </c>
      <c r="G855" s="96" t="s">
        <v>92</v>
      </c>
      <c r="H855" s="96" t="s">
        <v>4322</v>
      </c>
      <c r="I855" s="96" t="s">
        <v>157</v>
      </c>
      <c r="J855" s="96" t="s">
        <v>173</v>
      </c>
      <c r="K855" s="96" t="s">
        <v>200</v>
      </c>
      <c r="L855">
        <v>101</v>
      </c>
      <c r="M855" t="s">
        <v>28</v>
      </c>
      <c r="N855" t="s">
        <v>12</v>
      </c>
      <c r="O855" t="s">
        <v>149</v>
      </c>
      <c r="P855">
        <v>2025</v>
      </c>
    </row>
    <row r="856" spans="1:16" x14ac:dyDescent="0.25">
      <c r="A856" s="96" t="s">
        <v>2</v>
      </c>
      <c r="B856" s="96" t="s">
        <v>302</v>
      </c>
      <c r="C856" s="96" t="s">
        <v>4323</v>
      </c>
      <c r="D856" s="96" t="s">
        <v>203</v>
      </c>
      <c r="E856" s="43">
        <v>46145</v>
      </c>
      <c r="F856" s="43">
        <v>46150</v>
      </c>
      <c r="G856" s="96" t="s">
        <v>92</v>
      </c>
      <c r="H856" s="96" t="s">
        <v>4324</v>
      </c>
      <c r="I856" s="96" t="s">
        <v>209</v>
      </c>
      <c r="J856" s="96" t="s">
        <v>98</v>
      </c>
      <c r="K856" s="96" t="s">
        <v>233</v>
      </c>
      <c r="L856">
        <v>5</v>
      </c>
      <c r="M856" t="s">
        <v>11</v>
      </c>
      <c r="N856" t="s">
        <v>183</v>
      </c>
      <c r="O856" t="s">
        <v>150</v>
      </c>
      <c r="P856">
        <v>2026</v>
      </c>
    </row>
    <row r="857" spans="1:16" x14ac:dyDescent="0.25">
      <c r="A857" s="96" t="s">
        <v>2</v>
      </c>
      <c r="B857" s="96" t="s">
        <v>196</v>
      </c>
      <c r="C857" s="96" t="s">
        <v>4325</v>
      </c>
      <c r="D857" s="96" t="s">
        <v>10</v>
      </c>
      <c r="E857" s="43">
        <v>46115</v>
      </c>
      <c r="F857" s="43">
        <v>46144</v>
      </c>
      <c r="G857" s="96" t="s">
        <v>92</v>
      </c>
      <c r="H857" s="96" t="s">
        <v>4326</v>
      </c>
      <c r="I857" s="96" t="s">
        <v>225</v>
      </c>
      <c r="J857" s="96" t="s">
        <v>97</v>
      </c>
      <c r="K857" s="96" t="s">
        <v>217</v>
      </c>
      <c r="L857">
        <v>29</v>
      </c>
      <c r="M857" t="s">
        <v>19</v>
      </c>
      <c r="N857" t="s">
        <v>37</v>
      </c>
      <c r="O857" t="s">
        <v>152</v>
      </c>
      <c r="P857">
        <v>2026</v>
      </c>
    </row>
    <row r="858" spans="1:16" hidden="1" x14ac:dyDescent="0.25">
      <c r="A858" s="96" t="s">
        <v>2</v>
      </c>
      <c r="B858" s="96" t="s">
        <v>247</v>
      </c>
      <c r="C858" s="96" t="s">
        <v>960</v>
      </c>
      <c r="D858" s="96" t="s">
        <v>215</v>
      </c>
      <c r="E858" s="43">
        <v>45773</v>
      </c>
      <c r="F858" s="43">
        <v>45869</v>
      </c>
      <c r="G858" s="96" t="s">
        <v>90</v>
      </c>
      <c r="H858" s="96" t="s">
        <v>4327</v>
      </c>
      <c r="I858" s="96" t="s">
        <v>228</v>
      </c>
      <c r="J858" s="96" t="s">
        <v>169</v>
      </c>
      <c r="K858" s="96" t="s">
        <v>230</v>
      </c>
      <c r="L858">
        <v>96</v>
      </c>
      <c r="M858" t="s">
        <v>28</v>
      </c>
      <c r="N858" t="s">
        <v>185</v>
      </c>
      <c r="O858" t="s">
        <v>150</v>
      </c>
      <c r="P858">
        <v>2025</v>
      </c>
    </row>
    <row r="859" spans="1:16" hidden="1" x14ac:dyDescent="0.25">
      <c r="A859" s="96" t="s">
        <v>2</v>
      </c>
      <c r="B859" s="96" t="s">
        <v>221</v>
      </c>
      <c r="C859" s="96" t="s">
        <v>4328</v>
      </c>
      <c r="D859" s="96" t="s">
        <v>10</v>
      </c>
      <c r="E859" s="43">
        <v>45696</v>
      </c>
      <c r="F859" s="43">
        <v>45752</v>
      </c>
      <c r="G859" s="96" t="s">
        <v>92</v>
      </c>
      <c r="H859" s="96" t="s">
        <v>4329</v>
      </c>
      <c r="I859" s="96" t="s">
        <v>204</v>
      </c>
      <c r="J859" s="96" t="s">
        <v>168</v>
      </c>
      <c r="K859" s="96" t="s">
        <v>217</v>
      </c>
      <c r="L859">
        <v>56</v>
      </c>
      <c r="M859" t="s">
        <v>24</v>
      </c>
      <c r="N859" t="s">
        <v>188</v>
      </c>
      <c r="O859" t="s">
        <v>170</v>
      </c>
      <c r="P859">
        <v>2025</v>
      </c>
    </row>
    <row r="860" spans="1:16" x14ac:dyDescent="0.25">
      <c r="A860" s="96" t="s">
        <v>2</v>
      </c>
      <c r="B860" s="96" t="s">
        <v>218</v>
      </c>
      <c r="C860" s="96" t="s">
        <v>961</v>
      </c>
      <c r="D860" s="96" t="s">
        <v>192</v>
      </c>
      <c r="E860" s="43">
        <v>46058</v>
      </c>
      <c r="F860" s="43">
        <v>46119</v>
      </c>
      <c r="G860" s="96" t="s">
        <v>95</v>
      </c>
      <c r="H860" s="96" t="s">
        <v>4330</v>
      </c>
      <c r="I860" s="96" t="s">
        <v>209</v>
      </c>
      <c r="J860" s="96" t="s">
        <v>165</v>
      </c>
      <c r="K860" s="96" t="s">
        <v>230</v>
      </c>
      <c r="L860">
        <v>61</v>
      </c>
      <c r="M860" t="s">
        <v>28</v>
      </c>
      <c r="N860" t="s">
        <v>32</v>
      </c>
      <c r="O860" t="s">
        <v>152</v>
      </c>
      <c r="P860">
        <v>2026</v>
      </c>
    </row>
    <row r="861" spans="1:16" hidden="1" x14ac:dyDescent="0.25">
      <c r="A861" s="96" t="s">
        <v>2</v>
      </c>
      <c r="B861" s="96" t="s">
        <v>253</v>
      </c>
      <c r="C861" s="96" t="s">
        <v>962</v>
      </c>
      <c r="D861" s="96" t="s">
        <v>192</v>
      </c>
      <c r="E861" s="43">
        <v>45796</v>
      </c>
      <c r="F861" s="43">
        <v>45908</v>
      </c>
      <c r="G861" s="96" t="s">
        <v>92</v>
      </c>
      <c r="H861" s="96" t="s">
        <v>4331</v>
      </c>
      <c r="I861" s="96" t="s">
        <v>225</v>
      </c>
      <c r="J861" s="96" t="s">
        <v>97</v>
      </c>
      <c r="K861" s="96" t="s">
        <v>230</v>
      </c>
      <c r="L861">
        <v>112</v>
      </c>
      <c r="M861" t="s">
        <v>28</v>
      </c>
      <c r="N861" t="s">
        <v>182</v>
      </c>
      <c r="O861" t="s">
        <v>152</v>
      </c>
      <c r="P861">
        <v>2025</v>
      </c>
    </row>
    <row r="862" spans="1:16" hidden="1" x14ac:dyDescent="0.25">
      <c r="A862" s="96" t="s">
        <v>2</v>
      </c>
      <c r="B862" s="96" t="s">
        <v>221</v>
      </c>
      <c r="C862" s="96" t="s">
        <v>963</v>
      </c>
      <c r="D862" s="96" t="s">
        <v>10</v>
      </c>
      <c r="E862" s="43">
        <v>45732</v>
      </c>
      <c r="F862" s="43">
        <v>45765</v>
      </c>
      <c r="G862" s="96" t="s">
        <v>95</v>
      </c>
      <c r="H862" s="96" t="s">
        <v>4332</v>
      </c>
      <c r="I862" s="96" t="s">
        <v>9</v>
      </c>
      <c r="J862" s="96" t="s">
        <v>91</v>
      </c>
      <c r="K862" s="96" t="s">
        <v>230</v>
      </c>
      <c r="L862">
        <v>33</v>
      </c>
      <c r="M862" t="s">
        <v>24</v>
      </c>
      <c r="N862" t="s">
        <v>186</v>
      </c>
      <c r="O862" t="s">
        <v>170</v>
      </c>
      <c r="P862">
        <v>2025</v>
      </c>
    </row>
    <row r="863" spans="1:16" x14ac:dyDescent="0.25">
      <c r="A863" s="96" t="s">
        <v>2</v>
      </c>
      <c r="B863" s="96" t="s">
        <v>249</v>
      </c>
      <c r="C863" s="96" t="s">
        <v>964</v>
      </c>
      <c r="D863" s="96" t="s">
        <v>237</v>
      </c>
      <c r="E863" s="43">
        <v>46139</v>
      </c>
      <c r="F863" s="43">
        <v>46147</v>
      </c>
      <c r="G863" s="96" t="s">
        <v>92</v>
      </c>
      <c r="H863" s="96" t="s">
        <v>4333</v>
      </c>
      <c r="I863" s="96" t="s">
        <v>209</v>
      </c>
      <c r="J863" s="96" t="s">
        <v>216</v>
      </c>
      <c r="K863" s="96" t="s">
        <v>233</v>
      </c>
      <c r="L863">
        <v>8</v>
      </c>
      <c r="M863" t="s">
        <v>15</v>
      </c>
      <c r="N863" t="s">
        <v>37</v>
      </c>
      <c r="O863" t="s">
        <v>170</v>
      </c>
      <c r="P863">
        <v>2026</v>
      </c>
    </row>
    <row r="864" spans="1:16" hidden="1" x14ac:dyDescent="0.25">
      <c r="A864" s="96" t="s">
        <v>2</v>
      </c>
      <c r="B864" s="96" t="s">
        <v>211</v>
      </c>
      <c r="C864" s="96" t="s">
        <v>965</v>
      </c>
      <c r="D864" s="96" t="s">
        <v>14</v>
      </c>
      <c r="E864" s="43">
        <v>45856</v>
      </c>
      <c r="F864" s="43">
        <v>45897</v>
      </c>
      <c r="G864" s="96" t="s">
        <v>92</v>
      </c>
      <c r="H864" s="96" t="s">
        <v>4334</v>
      </c>
      <c r="I864" s="96" t="s">
        <v>204</v>
      </c>
      <c r="J864" s="96" t="s">
        <v>199</v>
      </c>
      <c r="K864" s="96" t="s">
        <v>157</v>
      </c>
      <c r="L864">
        <v>41</v>
      </c>
      <c r="M864" t="s">
        <v>24</v>
      </c>
      <c r="N864" t="s">
        <v>187</v>
      </c>
      <c r="O864" t="s">
        <v>170</v>
      </c>
      <c r="P864">
        <v>2025</v>
      </c>
    </row>
    <row r="865" spans="1:16" hidden="1" x14ac:dyDescent="0.25">
      <c r="A865" s="96" t="s">
        <v>2</v>
      </c>
      <c r="B865" s="96" t="s">
        <v>251</v>
      </c>
      <c r="C865" s="96" t="s">
        <v>4335</v>
      </c>
      <c r="D865" s="96" t="s">
        <v>10</v>
      </c>
      <c r="E865" s="43">
        <v>45723</v>
      </c>
      <c r="F865" s="43">
        <v>45824</v>
      </c>
      <c r="G865" s="96" t="s">
        <v>90</v>
      </c>
      <c r="H865" s="96" t="s">
        <v>4336</v>
      </c>
      <c r="I865" s="96" t="s">
        <v>9</v>
      </c>
      <c r="J865" s="96" t="s">
        <v>174</v>
      </c>
      <c r="K865" s="96" t="s">
        <v>230</v>
      </c>
      <c r="L865">
        <v>101</v>
      </c>
      <c r="M865" t="s">
        <v>28</v>
      </c>
      <c r="N865" t="s">
        <v>186</v>
      </c>
      <c r="O865" t="s">
        <v>170</v>
      </c>
      <c r="P865">
        <v>2025</v>
      </c>
    </row>
    <row r="866" spans="1:16" x14ac:dyDescent="0.25">
      <c r="A866" s="96" t="s">
        <v>21</v>
      </c>
      <c r="B866" s="96" t="s">
        <v>226</v>
      </c>
      <c r="C866" s="96" t="s">
        <v>4337</v>
      </c>
      <c r="D866" s="96" t="s">
        <v>10</v>
      </c>
      <c r="E866" s="43">
        <v>46079</v>
      </c>
      <c r="F866" s="43">
        <v>46110</v>
      </c>
      <c r="G866" s="96" t="s">
        <v>90</v>
      </c>
      <c r="H866" s="96" t="s">
        <v>4338</v>
      </c>
      <c r="I866" s="96" t="s">
        <v>225</v>
      </c>
      <c r="J866" s="96" t="s">
        <v>96</v>
      </c>
      <c r="K866" s="96" t="s">
        <v>217</v>
      </c>
      <c r="L866">
        <v>31</v>
      </c>
      <c r="M866" t="s">
        <v>24</v>
      </c>
      <c r="N866" t="s">
        <v>32</v>
      </c>
      <c r="O866" t="s">
        <v>151</v>
      </c>
      <c r="P866">
        <v>2026</v>
      </c>
    </row>
    <row r="867" spans="1:16" hidden="1" x14ac:dyDescent="0.25">
      <c r="A867" s="96" t="s">
        <v>2</v>
      </c>
      <c r="B867" s="96" t="s">
        <v>272</v>
      </c>
      <c r="C867" s="96" t="s">
        <v>4339</v>
      </c>
      <c r="D867" s="96" t="s">
        <v>208</v>
      </c>
      <c r="E867" s="43">
        <v>45965</v>
      </c>
      <c r="F867" s="43">
        <v>46074</v>
      </c>
      <c r="G867" s="96" t="s">
        <v>92</v>
      </c>
      <c r="H867" s="96" t="s">
        <v>935</v>
      </c>
      <c r="I867" s="96" t="s">
        <v>194</v>
      </c>
      <c r="J867" s="96" t="s">
        <v>173</v>
      </c>
      <c r="K867" s="96" t="s">
        <v>217</v>
      </c>
      <c r="L867">
        <v>109</v>
      </c>
      <c r="M867" t="s">
        <v>28</v>
      </c>
      <c r="N867" t="s">
        <v>20</v>
      </c>
      <c r="O867" t="s">
        <v>151</v>
      </c>
      <c r="P867">
        <v>2025</v>
      </c>
    </row>
    <row r="868" spans="1:16" x14ac:dyDescent="0.25">
      <c r="A868" s="96" t="s">
        <v>2</v>
      </c>
      <c r="B868" s="96" t="s">
        <v>249</v>
      </c>
      <c r="C868" s="96" t="s">
        <v>968</v>
      </c>
      <c r="D868" s="96" t="s">
        <v>223</v>
      </c>
      <c r="E868" s="43">
        <v>46120</v>
      </c>
      <c r="F868" s="43">
        <v>46123</v>
      </c>
      <c r="G868" s="96" t="s">
        <v>90</v>
      </c>
      <c r="H868" s="96" t="s">
        <v>4340</v>
      </c>
      <c r="I868" s="96" t="s">
        <v>204</v>
      </c>
      <c r="J868" s="96" t="s">
        <v>172</v>
      </c>
      <c r="K868" s="96" t="s">
        <v>246</v>
      </c>
      <c r="L868">
        <v>3</v>
      </c>
      <c r="M868" t="s">
        <v>11</v>
      </c>
      <c r="N868" t="s">
        <v>37</v>
      </c>
      <c r="O868" t="s">
        <v>170</v>
      </c>
      <c r="P868">
        <v>2026</v>
      </c>
    </row>
    <row r="869" spans="1:16" hidden="1" x14ac:dyDescent="0.25">
      <c r="A869" s="96" t="s">
        <v>2</v>
      </c>
      <c r="B869" s="96" t="s">
        <v>257</v>
      </c>
      <c r="C869" s="96" t="s">
        <v>4341</v>
      </c>
      <c r="D869" s="96" t="s">
        <v>34</v>
      </c>
      <c r="E869" s="43">
        <v>45856</v>
      </c>
      <c r="F869" s="43">
        <v>45964</v>
      </c>
      <c r="G869" s="96" t="s">
        <v>90</v>
      </c>
      <c r="H869" s="96" t="s">
        <v>937</v>
      </c>
      <c r="I869" s="96" t="s">
        <v>157</v>
      </c>
      <c r="J869" s="96" t="s">
        <v>176</v>
      </c>
      <c r="K869" s="96" t="s">
        <v>205</v>
      </c>
      <c r="L869">
        <v>108</v>
      </c>
      <c r="M869" t="s">
        <v>28</v>
      </c>
      <c r="N869" t="s">
        <v>187</v>
      </c>
      <c r="O869" t="s">
        <v>151</v>
      </c>
      <c r="P869">
        <v>2025</v>
      </c>
    </row>
    <row r="870" spans="1:16" hidden="1" x14ac:dyDescent="0.25">
      <c r="A870" s="96" t="s">
        <v>2</v>
      </c>
      <c r="B870" s="96" t="s">
        <v>238</v>
      </c>
      <c r="C870" s="96" t="s">
        <v>4342</v>
      </c>
      <c r="D870" s="96" t="s">
        <v>237</v>
      </c>
      <c r="E870" s="43">
        <v>45669</v>
      </c>
      <c r="F870" s="43">
        <v>45719</v>
      </c>
      <c r="G870" s="96" t="s">
        <v>92</v>
      </c>
      <c r="H870" s="96" t="s">
        <v>4343</v>
      </c>
      <c r="I870" s="96" t="s">
        <v>9</v>
      </c>
      <c r="J870" s="96" t="s">
        <v>283</v>
      </c>
      <c r="K870" s="96" t="s">
        <v>230</v>
      </c>
      <c r="L870">
        <v>50</v>
      </c>
      <c r="M870" t="s">
        <v>24</v>
      </c>
      <c r="N870" t="s">
        <v>181</v>
      </c>
      <c r="O870" t="s">
        <v>170</v>
      </c>
      <c r="P870">
        <v>2025</v>
      </c>
    </row>
    <row r="871" spans="1:16" hidden="1" x14ac:dyDescent="0.25">
      <c r="A871" s="96" t="s">
        <v>2</v>
      </c>
      <c r="B871" s="96" t="s">
        <v>264</v>
      </c>
      <c r="C871" s="96" t="s">
        <v>4344</v>
      </c>
      <c r="D871" s="96" t="s">
        <v>192</v>
      </c>
      <c r="E871" s="43">
        <v>45795</v>
      </c>
      <c r="F871" s="43">
        <v>45842</v>
      </c>
      <c r="G871" s="96" t="s">
        <v>92</v>
      </c>
      <c r="H871" s="96" t="s">
        <v>940</v>
      </c>
      <c r="I871" s="96" t="s">
        <v>228</v>
      </c>
      <c r="J871" s="96" t="s">
        <v>91</v>
      </c>
      <c r="K871" s="96" t="s">
        <v>195</v>
      </c>
      <c r="L871">
        <v>47</v>
      </c>
      <c r="M871" t="s">
        <v>24</v>
      </c>
      <c r="N871" t="s">
        <v>182</v>
      </c>
      <c r="O871" t="s">
        <v>152</v>
      </c>
      <c r="P871">
        <v>2025</v>
      </c>
    </row>
    <row r="872" spans="1:16" x14ac:dyDescent="0.25">
      <c r="A872" s="96" t="s">
        <v>2</v>
      </c>
      <c r="B872" s="96" t="s">
        <v>374</v>
      </c>
      <c r="C872" s="96" t="s">
        <v>969</v>
      </c>
      <c r="D872" s="96" t="s">
        <v>40</v>
      </c>
      <c r="E872" s="43">
        <v>46116</v>
      </c>
      <c r="F872" s="43">
        <v>46123</v>
      </c>
      <c r="G872" s="96" t="s">
        <v>92</v>
      </c>
      <c r="H872" s="96" t="s">
        <v>942</v>
      </c>
      <c r="I872" s="96" t="s">
        <v>9</v>
      </c>
      <c r="J872" s="96" t="s">
        <v>169</v>
      </c>
      <c r="K872" s="96" t="s">
        <v>230</v>
      </c>
      <c r="L872">
        <v>7</v>
      </c>
      <c r="M872" t="s">
        <v>11</v>
      </c>
      <c r="N872" t="s">
        <v>37</v>
      </c>
      <c r="O872" t="s">
        <v>150</v>
      </c>
      <c r="P872">
        <v>2026</v>
      </c>
    </row>
    <row r="873" spans="1:16" hidden="1" x14ac:dyDescent="0.25">
      <c r="A873" s="96" t="s">
        <v>21</v>
      </c>
      <c r="B873" s="96" t="s">
        <v>272</v>
      </c>
      <c r="C873" s="96" t="s">
        <v>970</v>
      </c>
      <c r="D873" s="96" t="s">
        <v>34</v>
      </c>
      <c r="E873" s="43">
        <v>45808</v>
      </c>
      <c r="F873" s="43">
        <v>45827</v>
      </c>
      <c r="G873" s="96" t="s">
        <v>92</v>
      </c>
      <c r="H873" s="96" t="s">
        <v>944</v>
      </c>
      <c r="I873" s="96" t="s">
        <v>228</v>
      </c>
      <c r="J873" s="96" t="s">
        <v>165</v>
      </c>
      <c r="K873" s="96" t="s">
        <v>205</v>
      </c>
      <c r="L873">
        <v>19</v>
      </c>
      <c r="M873" t="s">
        <v>19</v>
      </c>
      <c r="N873" t="s">
        <v>182</v>
      </c>
      <c r="O873" t="s">
        <v>151</v>
      </c>
      <c r="P873">
        <v>2025</v>
      </c>
    </row>
    <row r="874" spans="1:16" x14ac:dyDescent="0.25">
      <c r="A874" s="96" t="s">
        <v>2</v>
      </c>
      <c r="B874" s="96" t="s">
        <v>244</v>
      </c>
      <c r="C874" s="96" t="s">
        <v>4345</v>
      </c>
      <c r="D874" s="96" t="s">
        <v>10</v>
      </c>
      <c r="E874" s="43">
        <v>46036</v>
      </c>
      <c r="F874" s="43">
        <v>46110</v>
      </c>
      <c r="G874" s="96" t="s">
        <v>95</v>
      </c>
      <c r="H874" s="96" t="s">
        <v>946</v>
      </c>
      <c r="I874" s="96" t="s">
        <v>157</v>
      </c>
      <c r="J874" s="96" t="s">
        <v>91</v>
      </c>
      <c r="K874" s="96" t="s">
        <v>233</v>
      </c>
      <c r="L874">
        <v>74</v>
      </c>
      <c r="M874" t="s">
        <v>28</v>
      </c>
      <c r="N874" t="s">
        <v>29</v>
      </c>
      <c r="O874" t="s">
        <v>150</v>
      </c>
      <c r="P874">
        <v>2026</v>
      </c>
    </row>
    <row r="875" spans="1:16" x14ac:dyDescent="0.25">
      <c r="A875" s="96" t="s">
        <v>175</v>
      </c>
      <c r="B875" s="96" t="s">
        <v>269</v>
      </c>
      <c r="C875" s="96" t="s">
        <v>4346</v>
      </c>
      <c r="D875" s="96" t="s">
        <v>34</v>
      </c>
      <c r="E875" s="43">
        <v>46106</v>
      </c>
      <c r="F875" s="43">
        <v>46150</v>
      </c>
      <c r="G875" s="96" t="s">
        <v>92</v>
      </c>
      <c r="H875" s="96" t="s">
        <v>948</v>
      </c>
      <c r="I875" s="96" t="s">
        <v>225</v>
      </c>
      <c r="J875" s="96" t="s">
        <v>177</v>
      </c>
      <c r="K875" s="96" t="s">
        <v>246</v>
      </c>
      <c r="L875">
        <v>44</v>
      </c>
      <c r="M875" t="s">
        <v>24</v>
      </c>
      <c r="N875" t="s">
        <v>35</v>
      </c>
      <c r="O875" t="s">
        <v>152</v>
      </c>
      <c r="P875">
        <v>2026</v>
      </c>
    </row>
    <row r="876" spans="1:16" hidden="1" x14ac:dyDescent="0.25">
      <c r="A876" s="96" t="s">
        <v>171</v>
      </c>
      <c r="B876" s="96" t="s">
        <v>280</v>
      </c>
      <c r="C876" s="96" t="s">
        <v>971</v>
      </c>
      <c r="D876" s="96" t="s">
        <v>40</v>
      </c>
      <c r="E876" s="43">
        <v>45864</v>
      </c>
      <c r="F876" s="43">
        <v>45978</v>
      </c>
      <c r="G876" s="96" t="s">
        <v>95</v>
      </c>
      <c r="H876" s="96" t="s">
        <v>4347</v>
      </c>
      <c r="I876" s="96" t="s">
        <v>228</v>
      </c>
      <c r="J876" s="96" t="s">
        <v>283</v>
      </c>
      <c r="K876" s="96" t="s">
        <v>210</v>
      </c>
      <c r="L876">
        <v>114</v>
      </c>
      <c r="M876" t="s">
        <v>28</v>
      </c>
      <c r="N876" t="s">
        <v>187</v>
      </c>
      <c r="O876" t="s">
        <v>170</v>
      </c>
      <c r="P876">
        <v>2025</v>
      </c>
    </row>
    <row r="877" spans="1:16" hidden="1" x14ac:dyDescent="0.25">
      <c r="A877" s="96" t="s">
        <v>2</v>
      </c>
      <c r="B877" s="96" t="s">
        <v>211</v>
      </c>
      <c r="C877" s="96" t="s">
        <v>972</v>
      </c>
      <c r="D877" s="96" t="s">
        <v>192</v>
      </c>
      <c r="E877" s="43">
        <v>45913</v>
      </c>
      <c r="F877" s="43">
        <v>45930</v>
      </c>
      <c r="G877" s="96" t="s">
        <v>95</v>
      </c>
      <c r="H877" s="96" t="s">
        <v>951</v>
      </c>
      <c r="I877" s="96" t="s">
        <v>194</v>
      </c>
      <c r="J877" s="96" t="s">
        <v>176</v>
      </c>
      <c r="K877" s="96" t="s">
        <v>217</v>
      </c>
      <c r="L877">
        <v>17</v>
      </c>
      <c r="M877" t="s">
        <v>19</v>
      </c>
      <c r="N877" t="s">
        <v>12</v>
      </c>
      <c r="O877" t="s">
        <v>170</v>
      </c>
      <c r="P877">
        <v>2025</v>
      </c>
    </row>
    <row r="878" spans="1:16" hidden="1" x14ac:dyDescent="0.25">
      <c r="A878" s="96" t="s">
        <v>2</v>
      </c>
      <c r="B878" s="96" t="s">
        <v>247</v>
      </c>
      <c r="C878" s="96" t="s">
        <v>4348</v>
      </c>
      <c r="D878" s="96" t="s">
        <v>223</v>
      </c>
      <c r="E878" s="43">
        <v>45730</v>
      </c>
      <c r="F878" s="43">
        <v>45733</v>
      </c>
      <c r="G878" s="96" t="s">
        <v>92</v>
      </c>
      <c r="H878" s="96" t="s">
        <v>953</v>
      </c>
      <c r="I878" s="96" t="s">
        <v>225</v>
      </c>
      <c r="J878" s="96" t="s">
        <v>93</v>
      </c>
      <c r="K878" s="96" t="s">
        <v>210</v>
      </c>
      <c r="L878">
        <v>3</v>
      </c>
      <c r="M878" t="s">
        <v>11</v>
      </c>
      <c r="N878" t="s">
        <v>186</v>
      </c>
      <c r="O878" t="s">
        <v>150</v>
      </c>
      <c r="P878">
        <v>2025</v>
      </c>
    </row>
    <row r="879" spans="1:16" hidden="1" x14ac:dyDescent="0.25">
      <c r="A879" s="96" t="s">
        <v>2</v>
      </c>
      <c r="B879" s="96" t="s">
        <v>322</v>
      </c>
      <c r="C879" s="96" t="s">
        <v>973</v>
      </c>
      <c r="D879" s="96" t="s">
        <v>237</v>
      </c>
      <c r="E879" s="43">
        <v>45684</v>
      </c>
      <c r="F879" s="43">
        <v>45716</v>
      </c>
      <c r="G879" s="96" t="s">
        <v>92</v>
      </c>
      <c r="H879" s="96" t="s">
        <v>4349</v>
      </c>
      <c r="I879" s="96" t="s">
        <v>9</v>
      </c>
      <c r="J879" s="96" t="s">
        <v>96</v>
      </c>
      <c r="K879" s="96" t="s">
        <v>200</v>
      </c>
      <c r="L879">
        <v>32</v>
      </c>
      <c r="M879" t="s">
        <v>24</v>
      </c>
      <c r="N879" t="s">
        <v>181</v>
      </c>
      <c r="O879" t="s">
        <v>150</v>
      </c>
      <c r="P879">
        <v>2025</v>
      </c>
    </row>
    <row r="880" spans="1:16" x14ac:dyDescent="0.25">
      <c r="A880" s="96" t="s">
        <v>2</v>
      </c>
      <c r="B880" s="96" t="s">
        <v>226</v>
      </c>
      <c r="C880" s="96" t="s">
        <v>4350</v>
      </c>
      <c r="D880" s="96" t="s">
        <v>10</v>
      </c>
      <c r="E880" s="43">
        <v>46145</v>
      </c>
      <c r="F880" s="43">
        <v>46151</v>
      </c>
      <c r="G880" s="96" t="s">
        <v>92</v>
      </c>
      <c r="H880" s="96" t="s">
        <v>955</v>
      </c>
      <c r="I880" s="96" t="s">
        <v>9</v>
      </c>
      <c r="J880" s="96" t="s">
        <v>173</v>
      </c>
      <c r="K880" s="96" t="s">
        <v>157</v>
      </c>
      <c r="L880">
        <v>6</v>
      </c>
      <c r="M880" t="s">
        <v>11</v>
      </c>
      <c r="N880" t="s">
        <v>183</v>
      </c>
      <c r="O880" t="s">
        <v>151</v>
      </c>
      <c r="P880">
        <v>2026</v>
      </c>
    </row>
    <row r="881" spans="1:16" hidden="1" x14ac:dyDescent="0.25">
      <c r="A881" s="96" t="s">
        <v>2</v>
      </c>
      <c r="B881" s="96" t="s">
        <v>251</v>
      </c>
      <c r="C881" s="96" t="s">
        <v>974</v>
      </c>
      <c r="D881" s="96" t="s">
        <v>203</v>
      </c>
      <c r="E881" s="43">
        <v>45922</v>
      </c>
      <c r="F881" s="43">
        <v>45997</v>
      </c>
      <c r="G881" s="96" t="s">
        <v>92</v>
      </c>
      <c r="H881" s="96" t="s">
        <v>4351</v>
      </c>
      <c r="I881" s="96" t="s">
        <v>209</v>
      </c>
      <c r="J881" s="96" t="s">
        <v>169</v>
      </c>
      <c r="K881" s="96" t="s">
        <v>233</v>
      </c>
      <c r="L881">
        <v>75</v>
      </c>
      <c r="M881" t="s">
        <v>28</v>
      </c>
      <c r="N881" t="s">
        <v>12</v>
      </c>
      <c r="O881" t="s">
        <v>170</v>
      </c>
      <c r="P881">
        <v>2025</v>
      </c>
    </row>
    <row r="882" spans="1:16" x14ac:dyDescent="0.25">
      <c r="A882" s="96" t="s">
        <v>2</v>
      </c>
      <c r="B882" s="96" t="s">
        <v>269</v>
      </c>
      <c r="C882" s="96" t="s">
        <v>975</v>
      </c>
      <c r="D882" s="96" t="s">
        <v>34</v>
      </c>
      <c r="E882" s="43">
        <v>46062</v>
      </c>
      <c r="F882" s="43">
        <v>46148</v>
      </c>
      <c r="G882" s="96" t="s">
        <v>90</v>
      </c>
      <c r="H882" s="96" t="s">
        <v>4352</v>
      </c>
      <c r="I882" s="96" t="s">
        <v>225</v>
      </c>
      <c r="J882" s="96" t="s">
        <v>91</v>
      </c>
      <c r="K882" s="96" t="s">
        <v>233</v>
      </c>
      <c r="L882">
        <v>86</v>
      </c>
      <c r="M882" t="s">
        <v>28</v>
      </c>
      <c r="N882" t="s">
        <v>32</v>
      </c>
      <c r="O882" t="s">
        <v>152</v>
      </c>
      <c r="P882">
        <v>2026</v>
      </c>
    </row>
    <row r="883" spans="1:16" hidden="1" x14ac:dyDescent="0.25">
      <c r="A883" s="96" t="s">
        <v>2</v>
      </c>
      <c r="B883" s="96" t="s">
        <v>322</v>
      </c>
      <c r="C883" s="96" t="s">
        <v>4353</v>
      </c>
      <c r="D883" s="96" t="s">
        <v>237</v>
      </c>
      <c r="E883" s="43">
        <v>45799</v>
      </c>
      <c r="F883" s="43">
        <v>45850</v>
      </c>
      <c r="G883" s="96" t="s">
        <v>92</v>
      </c>
      <c r="H883" s="96" t="s">
        <v>4354</v>
      </c>
      <c r="I883" s="96" t="s">
        <v>228</v>
      </c>
      <c r="J883" s="96" t="s">
        <v>91</v>
      </c>
      <c r="K883" s="96" t="s">
        <v>217</v>
      </c>
      <c r="L883">
        <v>51</v>
      </c>
      <c r="M883" t="s">
        <v>24</v>
      </c>
      <c r="N883" t="s">
        <v>182</v>
      </c>
      <c r="O883" t="s">
        <v>150</v>
      </c>
      <c r="P883">
        <v>2025</v>
      </c>
    </row>
    <row r="884" spans="1:16" x14ac:dyDescent="0.25">
      <c r="A884" s="96" t="s">
        <v>171</v>
      </c>
      <c r="B884" s="96" t="s">
        <v>249</v>
      </c>
      <c r="C884" s="96" t="s">
        <v>4355</v>
      </c>
      <c r="D884" s="96" t="s">
        <v>10</v>
      </c>
      <c r="E884" s="43">
        <v>46061</v>
      </c>
      <c r="F884" s="43">
        <v>46116</v>
      </c>
      <c r="G884" s="96" t="s">
        <v>92</v>
      </c>
      <c r="H884" s="96" t="s">
        <v>4356</v>
      </c>
      <c r="I884" s="96" t="s">
        <v>204</v>
      </c>
      <c r="J884" s="96" t="s">
        <v>216</v>
      </c>
      <c r="K884" s="96" t="s">
        <v>233</v>
      </c>
      <c r="L884">
        <v>55</v>
      </c>
      <c r="M884" t="s">
        <v>24</v>
      </c>
      <c r="N884" t="s">
        <v>32</v>
      </c>
      <c r="O884" t="s">
        <v>170</v>
      </c>
      <c r="P884">
        <v>2026</v>
      </c>
    </row>
    <row r="885" spans="1:16" x14ac:dyDescent="0.25">
      <c r="A885" s="96" t="s">
        <v>2</v>
      </c>
      <c r="B885" s="96" t="s">
        <v>269</v>
      </c>
      <c r="C885" s="96" t="s">
        <v>976</v>
      </c>
      <c r="D885" s="96" t="s">
        <v>40</v>
      </c>
      <c r="E885" s="43">
        <v>46107</v>
      </c>
      <c r="F885" s="43">
        <v>46146</v>
      </c>
      <c r="G885" s="96" t="s">
        <v>90</v>
      </c>
      <c r="H885" s="96" t="s">
        <v>4357</v>
      </c>
      <c r="I885" s="96" t="s">
        <v>157</v>
      </c>
      <c r="J885" s="96" t="s">
        <v>94</v>
      </c>
      <c r="K885" s="96" t="s">
        <v>205</v>
      </c>
      <c r="L885">
        <v>39</v>
      </c>
      <c r="M885" t="s">
        <v>24</v>
      </c>
      <c r="N885" t="s">
        <v>35</v>
      </c>
      <c r="O885" t="s">
        <v>152</v>
      </c>
      <c r="P885">
        <v>2026</v>
      </c>
    </row>
    <row r="886" spans="1:16" x14ac:dyDescent="0.25">
      <c r="A886" s="96" t="s">
        <v>2</v>
      </c>
      <c r="B886" s="96" t="s">
        <v>269</v>
      </c>
      <c r="C886" s="96" t="s">
        <v>977</v>
      </c>
      <c r="D886" s="96" t="s">
        <v>192</v>
      </c>
      <c r="E886" s="43">
        <v>46134</v>
      </c>
      <c r="F886" s="43">
        <v>46149</v>
      </c>
      <c r="G886" s="96" t="s">
        <v>95</v>
      </c>
      <c r="H886" s="96" t="s">
        <v>4358</v>
      </c>
      <c r="I886" s="96" t="s">
        <v>204</v>
      </c>
      <c r="J886" s="96" t="s">
        <v>168</v>
      </c>
      <c r="K886" s="96" t="s">
        <v>233</v>
      </c>
      <c r="L886">
        <v>15</v>
      </c>
      <c r="M886" t="s">
        <v>19</v>
      </c>
      <c r="N886" t="s">
        <v>37</v>
      </c>
      <c r="O886" t="s">
        <v>152</v>
      </c>
      <c r="P886">
        <v>2026</v>
      </c>
    </row>
    <row r="887" spans="1:16" x14ac:dyDescent="0.25">
      <c r="A887" s="96" t="s">
        <v>21</v>
      </c>
      <c r="B887" s="96" t="s">
        <v>302</v>
      </c>
      <c r="C887" s="96" t="s">
        <v>978</v>
      </c>
      <c r="D887" s="96" t="s">
        <v>223</v>
      </c>
      <c r="E887" s="43">
        <v>46080</v>
      </c>
      <c r="F887" s="43">
        <v>46150</v>
      </c>
      <c r="G887" s="96" t="s">
        <v>95</v>
      </c>
      <c r="H887" s="96" t="s">
        <v>4359</v>
      </c>
      <c r="I887" s="96" t="s">
        <v>194</v>
      </c>
      <c r="J887" s="96" t="s">
        <v>176</v>
      </c>
      <c r="K887" s="96" t="s">
        <v>217</v>
      </c>
      <c r="L887">
        <v>70</v>
      </c>
      <c r="M887" t="s">
        <v>28</v>
      </c>
      <c r="N887" t="s">
        <v>32</v>
      </c>
      <c r="O887" t="s">
        <v>150</v>
      </c>
      <c r="P887">
        <v>2026</v>
      </c>
    </row>
    <row r="888" spans="1:16" hidden="1" x14ac:dyDescent="0.25">
      <c r="A888" s="96" t="s">
        <v>2</v>
      </c>
      <c r="B888" s="96" t="s">
        <v>190</v>
      </c>
      <c r="C888" s="96" t="s">
        <v>4360</v>
      </c>
      <c r="D888" s="96" t="s">
        <v>223</v>
      </c>
      <c r="E888" s="43">
        <v>45811</v>
      </c>
      <c r="F888" s="43">
        <v>45822</v>
      </c>
      <c r="G888" s="96" t="s">
        <v>95</v>
      </c>
      <c r="H888" s="96" t="s">
        <v>4361</v>
      </c>
      <c r="I888" s="96" t="s">
        <v>9</v>
      </c>
      <c r="J888" s="96" t="s">
        <v>283</v>
      </c>
      <c r="K888" s="96" t="s">
        <v>217</v>
      </c>
      <c r="L888">
        <v>11</v>
      </c>
      <c r="M888" t="s">
        <v>15</v>
      </c>
      <c r="N888" t="s">
        <v>184</v>
      </c>
      <c r="O888" t="s">
        <v>150</v>
      </c>
      <c r="P888">
        <v>2025</v>
      </c>
    </row>
    <row r="889" spans="1:16" x14ac:dyDescent="0.25">
      <c r="A889" s="96" t="s">
        <v>2</v>
      </c>
      <c r="B889" s="96" t="s">
        <v>226</v>
      </c>
      <c r="C889" s="96" t="s">
        <v>4362</v>
      </c>
      <c r="D889" s="96" t="s">
        <v>208</v>
      </c>
      <c r="E889" s="43">
        <v>46062</v>
      </c>
      <c r="F889" s="43">
        <v>46116</v>
      </c>
      <c r="G889" s="96" t="s">
        <v>92</v>
      </c>
      <c r="H889" s="96" t="s">
        <v>4363</v>
      </c>
      <c r="I889" s="96" t="s">
        <v>194</v>
      </c>
      <c r="J889" s="96" t="s">
        <v>176</v>
      </c>
      <c r="K889" s="96" t="s">
        <v>205</v>
      </c>
      <c r="L889">
        <v>54</v>
      </c>
      <c r="M889" t="s">
        <v>24</v>
      </c>
      <c r="N889" t="s">
        <v>32</v>
      </c>
      <c r="O889" t="s">
        <v>151</v>
      </c>
      <c r="P889">
        <v>2026</v>
      </c>
    </row>
    <row r="890" spans="1:16" hidden="1" x14ac:dyDescent="0.25">
      <c r="A890" s="96" t="s">
        <v>2</v>
      </c>
      <c r="B890" s="96" t="s">
        <v>190</v>
      </c>
      <c r="C890" s="96" t="s">
        <v>4364</v>
      </c>
      <c r="D890" s="96" t="s">
        <v>14</v>
      </c>
      <c r="E890" s="43">
        <v>45778</v>
      </c>
      <c r="F890" s="43">
        <v>45815</v>
      </c>
      <c r="G890" s="96" t="s">
        <v>92</v>
      </c>
      <c r="H890" s="96" t="s">
        <v>4365</v>
      </c>
      <c r="I890" s="96" t="s">
        <v>9</v>
      </c>
      <c r="J890" s="96" t="s">
        <v>165</v>
      </c>
      <c r="K890" s="96" t="s">
        <v>233</v>
      </c>
      <c r="L890">
        <v>37</v>
      </c>
      <c r="M890" t="s">
        <v>24</v>
      </c>
      <c r="N890" t="s">
        <v>182</v>
      </c>
      <c r="O890" t="s">
        <v>150</v>
      </c>
      <c r="P890">
        <v>2025</v>
      </c>
    </row>
    <row r="891" spans="1:16" x14ac:dyDescent="0.25">
      <c r="A891" s="96" t="s">
        <v>2</v>
      </c>
      <c r="B891" s="96" t="s">
        <v>274</v>
      </c>
      <c r="C891" s="96" t="s">
        <v>979</v>
      </c>
      <c r="D891" s="96" t="s">
        <v>10</v>
      </c>
      <c r="E891" s="43">
        <v>46025</v>
      </c>
      <c r="F891" s="43">
        <v>46045</v>
      </c>
      <c r="G891" s="96" t="s">
        <v>92</v>
      </c>
      <c r="H891" s="96" t="s">
        <v>4366</v>
      </c>
      <c r="I891" s="96" t="s">
        <v>9</v>
      </c>
      <c r="J891" s="96" t="s">
        <v>216</v>
      </c>
      <c r="K891" s="96" t="s">
        <v>210</v>
      </c>
      <c r="L891">
        <v>20</v>
      </c>
      <c r="M891" t="s">
        <v>19</v>
      </c>
      <c r="N891" t="s">
        <v>29</v>
      </c>
      <c r="O891" t="s">
        <v>170</v>
      </c>
      <c r="P891">
        <v>2026</v>
      </c>
    </row>
    <row r="892" spans="1:16" hidden="1" x14ac:dyDescent="0.25">
      <c r="A892" s="96" t="s">
        <v>2</v>
      </c>
      <c r="B892" s="96" t="s">
        <v>238</v>
      </c>
      <c r="C892" s="96" t="s">
        <v>980</v>
      </c>
      <c r="D892" s="96" t="s">
        <v>203</v>
      </c>
      <c r="E892" s="43">
        <v>45927</v>
      </c>
      <c r="F892" s="43">
        <v>45937</v>
      </c>
      <c r="G892" s="96" t="s">
        <v>92</v>
      </c>
      <c r="H892" s="96" t="s">
        <v>4367</v>
      </c>
      <c r="I892" s="96" t="s">
        <v>9</v>
      </c>
      <c r="J892" s="96" t="s">
        <v>216</v>
      </c>
      <c r="K892" s="96" t="s">
        <v>205</v>
      </c>
      <c r="L892">
        <v>10</v>
      </c>
      <c r="M892" t="s">
        <v>15</v>
      </c>
      <c r="N892" t="s">
        <v>12</v>
      </c>
      <c r="O892" t="s">
        <v>170</v>
      </c>
      <c r="P892">
        <v>2025</v>
      </c>
    </row>
    <row r="893" spans="1:16" hidden="1" x14ac:dyDescent="0.25">
      <c r="A893" s="96" t="s">
        <v>2</v>
      </c>
      <c r="B893" s="96" t="s">
        <v>253</v>
      </c>
      <c r="C893" s="96" t="s">
        <v>981</v>
      </c>
      <c r="D893" s="96" t="s">
        <v>203</v>
      </c>
      <c r="E893" s="43">
        <v>45674</v>
      </c>
      <c r="F893" s="43">
        <v>45725</v>
      </c>
      <c r="G893" s="96" t="s">
        <v>92</v>
      </c>
      <c r="H893" s="96" t="s">
        <v>4368</v>
      </c>
      <c r="I893" s="96" t="s">
        <v>204</v>
      </c>
      <c r="J893" s="96" t="s">
        <v>96</v>
      </c>
      <c r="K893" s="96" t="s">
        <v>217</v>
      </c>
      <c r="L893">
        <v>51</v>
      </c>
      <c r="M893" t="s">
        <v>24</v>
      </c>
      <c r="N893" t="s">
        <v>181</v>
      </c>
      <c r="O893" t="s">
        <v>152</v>
      </c>
      <c r="P893">
        <v>2025</v>
      </c>
    </row>
    <row r="894" spans="1:16" hidden="1" x14ac:dyDescent="0.25">
      <c r="A894" s="96" t="s">
        <v>2</v>
      </c>
      <c r="B894" s="96" t="s">
        <v>253</v>
      </c>
      <c r="C894" s="96" t="s">
        <v>983</v>
      </c>
      <c r="D894" s="96" t="s">
        <v>10</v>
      </c>
      <c r="E894" s="43">
        <v>45778</v>
      </c>
      <c r="F894" s="43">
        <v>45880</v>
      </c>
      <c r="G894" s="96" t="s">
        <v>92</v>
      </c>
      <c r="H894" s="96" t="s">
        <v>4369</v>
      </c>
      <c r="I894" s="96" t="s">
        <v>9</v>
      </c>
      <c r="J894" s="96" t="s">
        <v>177</v>
      </c>
      <c r="K894" s="96" t="s">
        <v>233</v>
      </c>
      <c r="L894">
        <v>102</v>
      </c>
      <c r="M894" t="s">
        <v>28</v>
      </c>
      <c r="N894" t="s">
        <v>182</v>
      </c>
      <c r="O894" t="s">
        <v>152</v>
      </c>
      <c r="P894">
        <v>2025</v>
      </c>
    </row>
    <row r="895" spans="1:16" x14ac:dyDescent="0.25">
      <c r="A895" s="96" t="s">
        <v>2</v>
      </c>
      <c r="B895" s="96" t="s">
        <v>302</v>
      </c>
      <c r="C895" s="96" t="s">
        <v>985</v>
      </c>
      <c r="D895" s="96" t="s">
        <v>223</v>
      </c>
      <c r="E895" s="43">
        <v>46100</v>
      </c>
      <c r="F895" s="43">
        <v>46146</v>
      </c>
      <c r="G895" s="96" t="s">
        <v>92</v>
      </c>
      <c r="H895" s="96" t="s">
        <v>4370</v>
      </c>
      <c r="I895" s="96" t="s">
        <v>9</v>
      </c>
      <c r="J895" s="96" t="s">
        <v>177</v>
      </c>
      <c r="K895" s="96" t="s">
        <v>195</v>
      </c>
      <c r="L895">
        <v>46</v>
      </c>
      <c r="M895" t="s">
        <v>24</v>
      </c>
      <c r="N895" t="s">
        <v>35</v>
      </c>
      <c r="O895" t="s">
        <v>150</v>
      </c>
      <c r="P895">
        <v>2026</v>
      </c>
    </row>
    <row r="896" spans="1:16" x14ac:dyDescent="0.25">
      <c r="A896" s="96" t="s">
        <v>2</v>
      </c>
      <c r="B896" s="96" t="s">
        <v>302</v>
      </c>
      <c r="C896" s="96" t="s">
        <v>4371</v>
      </c>
      <c r="D896" s="96" t="s">
        <v>208</v>
      </c>
      <c r="E896" s="43">
        <v>46087</v>
      </c>
      <c r="F896" s="43">
        <v>46137</v>
      </c>
      <c r="G896" s="96" t="s">
        <v>95</v>
      </c>
      <c r="H896" s="96" t="s">
        <v>4372</v>
      </c>
      <c r="I896" s="96" t="s">
        <v>225</v>
      </c>
      <c r="J896" s="96" t="s">
        <v>174</v>
      </c>
      <c r="K896" s="96" t="s">
        <v>217</v>
      </c>
      <c r="L896">
        <v>50</v>
      </c>
      <c r="M896" t="s">
        <v>24</v>
      </c>
      <c r="N896" t="s">
        <v>35</v>
      </c>
      <c r="O896" t="s">
        <v>150</v>
      </c>
      <c r="P896">
        <v>2026</v>
      </c>
    </row>
    <row r="897" spans="1:16" hidden="1" x14ac:dyDescent="0.25">
      <c r="A897" s="96" t="s">
        <v>21</v>
      </c>
      <c r="B897" s="96" t="s">
        <v>322</v>
      </c>
      <c r="C897" s="96" t="s">
        <v>987</v>
      </c>
      <c r="D897" s="96" t="s">
        <v>14</v>
      </c>
      <c r="E897" s="43">
        <v>45948</v>
      </c>
      <c r="F897" s="43">
        <v>46060</v>
      </c>
      <c r="G897" s="96" t="s">
        <v>92</v>
      </c>
      <c r="H897" s="96" t="s">
        <v>4373</v>
      </c>
      <c r="I897" s="96" t="s">
        <v>194</v>
      </c>
      <c r="J897" s="96" t="s">
        <v>174</v>
      </c>
      <c r="K897" s="96" t="s">
        <v>210</v>
      </c>
      <c r="L897">
        <v>112</v>
      </c>
      <c r="M897" t="s">
        <v>28</v>
      </c>
      <c r="N897" t="s">
        <v>16</v>
      </c>
      <c r="O897" t="s">
        <v>150</v>
      </c>
      <c r="P897">
        <v>2025</v>
      </c>
    </row>
    <row r="898" spans="1:16" hidden="1" x14ac:dyDescent="0.25">
      <c r="A898" s="96" t="s">
        <v>2</v>
      </c>
      <c r="B898" s="96" t="s">
        <v>206</v>
      </c>
      <c r="C898" s="96" t="s">
        <v>989</v>
      </c>
      <c r="D898" s="96" t="s">
        <v>215</v>
      </c>
      <c r="E898" s="43">
        <v>45972</v>
      </c>
      <c r="F898" s="43">
        <v>46020</v>
      </c>
      <c r="G898" s="96" t="s">
        <v>90</v>
      </c>
      <c r="H898" s="96" t="s">
        <v>966</v>
      </c>
      <c r="I898" s="96" t="s">
        <v>225</v>
      </c>
      <c r="J898" s="96" t="s">
        <v>174</v>
      </c>
      <c r="K898" s="96" t="s">
        <v>157</v>
      </c>
      <c r="L898">
        <v>48</v>
      </c>
      <c r="M898" t="s">
        <v>24</v>
      </c>
      <c r="N898" t="s">
        <v>20</v>
      </c>
      <c r="O898" t="s">
        <v>152</v>
      </c>
      <c r="P898">
        <v>2025</v>
      </c>
    </row>
    <row r="899" spans="1:16" x14ac:dyDescent="0.25">
      <c r="A899" s="96" t="s">
        <v>2</v>
      </c>
      <c r="B899" s="96" t="s">
        <v>196</v>
      </c>
      <c r="C899" s="96" t="s">
        <v>991</v>
      </c>
      <c r="D899" s="96" t="s">
        <v>237</v>
      </c>
      <c r="E899" s="43">
        <v>46139</v>
      </c>
      <c r="F899" s="43">
        <v>46145</v>
      </c>
      <c r="G899" s="96" t="s">
        <v>92</v>
      </c>
      <c r="H899" s="96" t="s">
        <v>967</v>
      </c>
      <c r="I899" s="96" t="s">
        <v>194</v>
      </c>
      <c r="J899" s="96" t="s">
        <v>94</v>
      </c>
      <c r="K899" s="96" t="s">
        <v>200</v>
      </c>
      <c r="L899">
        <v>6</v>
      </c>
      <c r="M899" t="s">
        <v>11</v>
      </c>
      <c r="N899" t="s">
        <v>37</v>
      </c>
      <c r="O899" t="s">
        <v>152</v>
      </c>
      <c r="P899">
        <v>2026</v>
      </c>
    </row>
    <row r="900" spans="1:16" x14ac:dyDescent="0.25">
      <c r="A900" s="96" t="s">
        <v>21</v>
      </c>
      <c r="B900" s="96" t="s">
        <v>196</v>
      </c>
      <c r="C900" s="96" t="s">
        <v>993</v>
      </c>
      <c r="D900" s="96" t="s">
        <v>237</v>
      </c>
      <c r="E900" s="43">
        <v>46080</v>
      </c>
      <c r="F900" s="43">
        <v>46138</v>
      </c>
      <c r="G900" s="96" t="s">
        <v>90</v>
      </c>
      <c r="H900" s="96" t="s">
        <v>4374</v>
      </c>
      <c r="I900" s="96" t="s">
        <v>204</v>
      </c>
      <c r="J900" s="96" t="s">
        <v>172</v>
      </c>
      <c r="K900" s="96" t="s">
        <v>157</v>
      </c>
      <c r="L900">
        <v>58</v>
      </c>
      <c r="M900" t="s">
        <v>24</v>
      </c>
      <c r="N900" t="s">
        <v>32</v>
      </c>
      <c r="O900" t="s">
        <v>152</v>
      </c>
      <c r="P900">
        <v>2026</v>
      </c>
    </row>
    <row r="901" spans="1:16" x14ac:dyDescent="0.25">
      <c r="A901" s="96" t="s">
        <v>2</v>
      </c>
      <c r="B901" s="96" t="s">
        <v>249</v>
      </c>
      <c r="C901" s="96" t="s">
        <v>995</v>
      </c>
      <c r="D901" s="96" t="s">
        <v>14</v>
      </c>
      <c r="E901" s="43">
        <v>46083</v>
      </c>
      <c r="F901" s="43">
        <v>46148</v>
      </c>
      <c r="G901" s="96" t="s">
        <v>90</v>
      </c>
      <c r="H901" s="96" t="s">
        <v>4375</v>
      </c>
      <c r="I901" s="96" t="s">
        <v>204</v>
      </c>
      <c r="J901" s="96" t="s">
        <v>94</v>
      </c>
      <c r="K901" s="96" t="s">
        <v>246</v>
      </c>
      <c r="L901">
        <v>65</v>
      </c>
      <c r="M901" t="s">
        <v>28</v>
      </c>
      <c r="N901" t="s">
        <v>35</v>
      </c>
      <c r="O901" t="s">
        <v>170</v>
      </c>
      <c r="P901">
        <v>2026</v>
      </c>
    </row>
    <row r="902" spans="1:16" hidden="1" x14ac:dyDescent="0.25">
      <c r="A902" s="96" t="s">
        <v>171</v>
      </c>
      <c r="B902" s="96" t="s">
        <v>247</v>
      </c>
      <c r="C902" s="96" t="s">
        <v>998</v>
      </c>
      <c r="D902" s="96" t="s">
        <v>223</v>
      </c>
      <c r="E902" s="43">
        <v>46011</v>
      </c>
      <c r="F902" s="43">
        <v>46080</v>
      </c>
      <c r="G902" s="96" t="s">
        <v>90</v>
      </c>
      <c r="H902" s="96" t="s">
        <v>4376</v>
      </c>
      <c r="I902" s="96" t="s">
        <v>157</v>
      </c>
      <c r="J902" s="96" t="s">
        <v>176</v>
      </c>
      <c r="K902" s="96" t="s">
        <v>217</v>
      </c>
      <c r="L902">
        <v>69</v>
      </c>
      <c r="M902" t="s">
        <v>28</v>
      </c>
      <c r="N902" t="s">
        <v>25</v>
      </c>
      <c r="O902" t="s">
        <v>150</v>
      </c>
      <c r="P902">
        <v>2025</v>
      </c>
    </row>
    <row r="903" spans="1:16" x14ac:dyDescent="0.25">
      <c r="A903" s="96" t="s">
        <v>21</v>
      </c>
      <c r="B903" s="96" t="s">
        <v>218</v>
      </c>
      <c r="C903" s="96" t="s">
        <v>999</v>
      </c>
      <c r="D903" s="96" t="s">
        <v>192</v>
      </c>
      <c r="E903" s="43">
        <v>46122</v>
      </c>
      <c r="F903" s="43">
        <v>46146</v>
      </c>
      <c r="G903" s="96" t="s">
        <v>92</v>
      </c>
      <c r="H903" s="96" t="s">
        <v>4377</v>
      </c>
      <c r="I903" s="96" t="s">
        <v>204</v>
      </c>
      <c r="J903" s="96" t="s">
        <v>172</v>
      </c>
      <c r="K903" s="96" t="s">
        <v>200</v>
      </c>
      <c r="L903">
        <v>24</v>
      </c>
      <c r="M903" t="s">
        <v>19</v>
      </c>
      <c r="N903" t="s">
        <v>37</v>
      </c>
      <c r="O903" t="s">
        <v>152</v>
      </c>
      <c r="P903">
        <v>2026</v>
      </c>
    </row>
    <row r="904" spans="1:16" hidden="1" x14ac:dyDescent="0.25">
      <c r="A904" s="96" t="s">
        <v>21</v>
      </c>
      <c r="B904" s="96" t="s">
        <v>213</v>
      </c>
      <c r="C904" s="96" t="s">
        <v>1001</v>
      </c>
      <c r="D904" s="96" t="s">
        <v>203</v>
      </c>
      <c r="E904" s="43">
        <v>45870</v>
      </c>
      <c r="F904" s="43">
        <v>45966</v>
      </c>
      <c r="G904" s="96" t="s">
        <v>92</v>
      </c>
      <c r="H904" s="96" t="s">
        <v>4378</v>
      </c>
      <c r="I904" s="96" t="s">
        <v>157</v>
      </c>
      <c r="J904" s="96" t="s">
        <v>199</v>
      </c>
      <c r="K904" s="96" t="s">
        <v>210</v>
      </c>
      <c r="L904">
        <v>96</v>
      </c>
      <c r="M904" t="s">
        <v>28</v>
      </c>
      <c r="N904" t="s">
        <v>8</v>
      </c>
      <c r="O904" t="s">
        <v>149</v>
      </c>
      <c r="P904">
        <v>2025</v>
      </c>
    </row>
    <row r="905" spans="1:16" hidden="1" x14ac:dyDescent="0.25">
      <c r="A905" s="96" t="s">
        <v>2</v>
      </c>
      <c r="B905" s="96" t="s">
        <v>206</v>
      </c>
      <c r="C905" s="96" t="s">
        <v>4379</v>
      </c>
      <c r="D905" s="96" t="s">
        <v>215</v>
      </c>
      <c r="E905" s="43">
        <v>45941</v>
      </c>
      <c r="F905" s="43">
        <v>46012</v>
      </c>
      <c r="G905" s="96" t="s">
        <v>92</v>
      </c>
      <c r="H905" s="96" t="s">
        <v>4380</v>
      </c>
      <c r="I905" s="96" t="s">
        <v>204</v>
      </c>
      <c r="J905" s="96" t="s">
        <v>98</v>
      </c>
      <c r="K905" s="96" t="s">
        <v>217</v>
      </c>
      <c r="L905">
        <v>71</v>
      </c>
      <c r="M905" t="s">
        <v>28</v>
      </c>
      <c r="N905" t="s">
        <v>16</v>
      </c>
      <c r="O905" t="s">
        <v>152</v>
      </c>
      <c r="P905">
        <v>2025</v>
      </c>
    </row>
    <row r="906" spans="1:16" x14ac:dyDescent="0.25">
      <c r="A906" s="96" t="s">
        <v>2</v>
      </c>
      <c r="B906" s="96" t="s">
        <v>261</v>
      </c>
      <c r="C906" s="96" t="s">
        <v>1003</v>
      </c>
      <c r="D906" s="96" t="s">
        <v>223</v>
      </c>
      <c r="E906" s="43">
        <v>46116</v>
      </c>
      <c r="F906" s="43">
        <v>46126</v>
      </c>
      <c r="G906" s="96" t="s">
        <v>92</v>
      </c>
      <c r="H906" s="96" t="s">
        <v>4381</v>
      </c>
      <c r="I906" s="96" t="s">
        <v>225</v>
      </c>
      <c r="J906" s="96" t="s">
        <v>165</v>
      </c>
      <c r="K906" s="96" t="s">
        <v>210</v>
      </c>
      <c r="L906">
        <v>10</v>
      </c>
      <c r="M906" t="s">
        <v>15</v>
      </c>
      <c r="N906" t="s">
        <v>37</v>
      </c>
      <c r="O906" t="s">
        <v>151</v>
      </c>
      <c r="P906">
        <v>2026</v>
      </c>
    </row>
    <row r="907" spans="1:16" x14ac:dyDescent="0.25">
      <c r="A907" s="96" t="s">
        <v>171</v>
      </c>
      <c r="B907" s="96" t="s">
        <v>219</v>
      </c>
      <c r="C907" s="96" t="s">
        <v>1004</v>
      </c>
      <c r="D907" s="96" t="s">
        <v>34</v>
      </c>
      <c r="E907" s="43">
        <v>46048</v>
      </c>
      <c r="F907" s="43">
        <v>46095</v>
      </c>
      <c r="G907" s="96" t="s">
        <v>90</v>
      </c>
      <c r="H907" s="96" t="s">
        <v>4382</v>
      </c>
      <c r="I907" s="96" t="s">
        <v>228</v>
      </c>
      <c r="J907" s="96" t="s">
        <v>91</v>
      </c>
      <c r="K907" s="96" t="s">
        <v>233</v>
      </c>
      <c r="L907">
        <v>47</v>
      </c>
      <c r="M907" t="s">
        <v>24</v>
      </c>
      <c r="N907" t="s">
        <v>29</v>
      </c>
      <c r="O907" t="s">
        <v>149</v>
      </c>
      <c r="P907">
        <v>2026</v>
      </c>
    </row>
    <row r="908" spans="1:16" x14ac:dyDescent="0.25">
      <c r="A908" s="96" t="s">
        <v>2</v>
      </c>
      <c r="B908" s="96" t="s">
        <v>226</v>
      </c>
      <c r="C908" s="96" t="s">
        <v>4383</v>
      </c>
      <c r="D908" s="96" t="s">
        <v>14</v>
      </c>
      <c r="E908" s="43">
        <v>46033</v>
      </c>
      <c r="F908" s="43">
        <v>46073</v>
      </c>
      <c r="G908" s="96" t="s">
        <v>92</v>
      </c>
      <c r="H908" s="96" t="s">
        <v>4384</v>
      </c>
      <c r="I908" s="96" t="s">
        <v>9</v>
      </c>
      <c r="J908" s="96" t="s">
        <v>172</v>
      </c>
      <c r="K908" s="96" t="s">
        <v>233</v>
      </c>
      <c r="L908">
        <v>40</v>
      </c>
      <c r="M908" t="s">
        <v>24</v>
      </c>
      <c r="N908" t="s">
        <v>29</v>
      </c>
      <c r="O908" t="s">
        <v>151</v>
      </c>
      <c r="P908">
        <v>2026</v>
      </c>
    </row>
    <row r="909" spans="1:16" x14ac:dyDescent="0.25">
      <c r="A909" s="96" t="s">
        <v>2</v>
      </c>
      <c r="B909" s="96" t="s">
        <v>196</v>
      </c>
      <c r="C909" s="96" t="s">
        <v>1005</v>
      </c>
      <c r="D909" s="96" t="s">
        <v>14</v>
      </c>
      <c r="E909" s="43">
        <v>46033</v>
      </c>
      <c r="F909" s="43">
        <v>46094</v>
      </c>
      <c r="G909" s="96" t="s">
        <v>92</v>
      </c>
      <c r="H909" s="96" t="s">
        <v>4385</v>
      </c>
      <c r="I909" s="96" t="s">
        <v>204</v>
      </c>
      <c r="J909" s="96" t="s">
        <v>229</v>
      </c>
      <c r="K909" s="96" t="s">
        <v>210</v>
      </c>
      <c r="L909">
        <v>61</v>
      </c>
      <c r="M909" t="s">
        <v>28</v>
      </c>
      <c r="N909" t="s">
        <v>29</v>
      </c>
      <c r="O909" t="s">
        <v>152</v>
      </c>
      <c r="P909">
        <v>2026</v>
      </c>
    </row>
    <row r="910" spans="1:16" hidden="1" x14ac:dyDescent="0.25">
      <c r="A910" s="96" t="s">
        <v>2</v>
      </c>
      <c r="B910" s="96" t="s">
        <v>240</v>
      </c>
      <c r="C910" s="96" t="s">
        <v>1006</v>
      </c>
      <c r="D910" s="96" t="s">
        <v>203</v>
      </c>
      <c r="E910" s="43">
        <v>45949</v>
      </c>
      <c r="F910" s="43">
        <v>46039</v>
      </c>
      <c r="G910" s="96" t="s">
        <v>90</v>
      </c>
      <c r="H910" s="96" t="s">
        <v>4386</v>
      </c>
      <c r="I910" s="96" t="s">
        <v>225</v>
      </c>
      <c r="J910" s="96" t="s">
        <v>283</v>
      </c>
      <c r="K910" s="96" t="s">
        <v>195</v>
      </c>
      <c r="L910">
        <v>90</v>
      </c>
      <c r="M910" t="s">
        <v>28</v>
      </c>
      <c r="N910" t="s">
        <v>16</v>
      </c>
      <c r="O910" t="s">
        <v>149</v>
      </c>
      <c r="P910">
        <v>2025</v>
      </c>
    </row>
    <row r="911" spans="1:16" hidden="1" x14ac:dyDescent="0.25">
      <c r="A911" s="96" t="s">
        <v>2</v>
      </c>
      <c r="B911" s="96" t="s">
        <v>247</v>
      </c>
      <c r="C911" s="96" t="s">
        <v>1007</v>
      </c>
      <c r="D911" s="96" t="s">
        <v>215</v>
      </c>
      <c r="E911" s="43">
        <v>45797</v>
      </c>
      <c r="F911" s="43">
        <v>45871</v>
      </c>
      <c r="G911" s="96" t="s">
        <v>92</v>
      </c>
      <c r="H911" s="96" t="s">
        <v>4387</v>
      </c>
      <c r="I911" s="96" t="s">
        <v>157</v>
      </c>
      <c r="J911" s="96" t="s">
        <v>169</v>
      </c>
      <c r="K911" s="96" t="s">
        <v>230</v>
      </c>
      <c r="L911">
        <v>74</v>
      </c>
      <c r="M911" t="s">
        <v>28</v>
      </c>
      <c r="N911" t="s">
        <v>182</v>
      </c>
      <c r="O911" t="s">
        <v>150</v>
      </c>
      <c r="P911">
        <v>2025</v>
      </c>
    </row>
    <row r="912" spans="1:16" hidden="1" x14ac:dyDescent="0.25">
      <c r="A912" s="96" t="s">
        <v>2</v>
      </c>
      <c r="B912" s="96" t="s">
        <v>272</v>
      </c>
      <c r="C912" s="96" t="s">
        <v>4388</v>
      </c>
      <c r="D912" s="96" t="s">
        <v>40</v>
      </c>
      <c r="E912" s="43">
        <v>45865</v>
      </c>
      <c r="F912" s="43">
        <v>45941</v>
      </c>
      <c r="G912" s="96" t="s">
        <v>92</v>
      </c>
      <c r="H912" s="96" t="s">
        <v>4389</v>
      </c>
      <c r="I912" s="96" t="s">
        <v>209</v>
      </c>
      <c r="J912" s="96" t="s">
        <v>216</v>
      </c>
      <c r="K912" s="96" t="s">
        <v>195</v>
      </c>
      <c r="L912">
        <v>76</v>
      </c>
      <c r="M912" t="s">
        <v>28</v>
      </c>
      <c r="N912" t="s">
        <v>187</v>
      </c>
      <c r="O912" t="s">
        <v>151</v>
      </c>
      <c r="P912">
        <v>2025</v>
      </c>
    </row>
    <row r="913" spans="1:16" x14ac:dyDescent="0.25">
      <c r="A913" s="96" t="s">
        <v>2</v>
      </c>
      <c r="B913" s="96" t="s">
        <v>269</v>
      </c>
      <c r="C913" s="96" t="s">
        <v>4390</v>
      </c>
      <c r="D913" s="96" t="s">
        <v>215</v>
      </c>
      <c r="E913" s="43">
        <v>46126</v>
      </c>
      <c r="F913" s="43">
        <v>46150</v>
      </c>
      <c r="G913" s="96" t="s">
        <v>92</v>
      </c>
      <c r="H913" s="96" t="s">
        <v>4391</v>
      </c>
      <c r="I913" s="96" t="s">
        <v>225</v>
      </c>
      <c r="J913" s="96" t="s">
        <v>177</v>
      </c>
      <c r="K913" s="96" t="s">
        <v>205</v>
      </c>
      <c r="L913">
        <v>24</v>
      </c>
      <c r="M913" t="s">
        <v>19</v>
      </c>
      <c r="N913" t="s">
        <v>37</v>
      </c>
      <c r="O913" t="s">
        <v>152</v>
      </c>
      <c r="P913">
        <v>2026</v>
      </c>
    </row>
    <row r="914" spans="1:16" x14ac:dyDescent="0.25">
      <c r="A914" s="96" t="s">
        <v>2</v>
      </c>
      <c r="B914" s="96" t="s">
        <v>201</v>
      </c>
      <c r="C914" s="96" t="s">
        <v>1008</v>
      </c>
      <c r="D914" s="96" t="s">
        <v>215</v>
      </c>
      <c r="E914" s="43">
        <v>46034</v>
      </c>
      <c r="F914" s="43">
        <v>46128</v>
      </c>
      <c r="G914" s="96" t="s">
        <v>92</v>
      </c>
      <c r="H914" s="96" t="s">
        <v>4392</v>
      </c>
      <c r="I914" s="96" t="s">
        <v>209</v>
      </c>
      <c r="J914" s="96" t="s">
        <v>199</v>
      </c>
      <c r="K914" s="96" t="s">
        <v>195</v>
      </c>
      <c r="L914">
        <v>94</v>
      </c>
      <c r="M914" t="s">
        <v>28</v>
      </c>
      <c r="N914" t="s">
        <v>29</v>
      </c>
      <c r="O914" t="s">
        <v>170</v>
      </c>
      <c r="P914">
        <v>2026</v>
      </c>
    </row>
    <row r="915" spans="1:16" hidden="1" x14ac:dyDescent="0.25">
      <c r="A915" s="96" t="s">
        <v>2</v>
      </c>
      <c r="B915" s="96" t="s">
        <v>257</v>
      </c>
      <c r="C915" s="96" t="s">
        <v>4393</v>
      </c>
      <c r="D915" s="96" t="s">
        <v>223</v>
      </c>
      <c r="E915" s="43">
        <v>45832</v>
      </c>
      <c r="F915" s="43">
        <v>45859</v>
      </c>
      <c r="G915" s="96" t="s">
        <v>90</v>
      </c>
      <c r="H915" s="96" t="s">
        <v>4394</v>
      </c>
      <c r="I915" s="96" t="s">
        <v>194</v>
      </c>
      <c r="J915" s="96" t="s">
        <v>176</v>
      </c>
      <c r="K915" s="96" t="s">
        <v>157</v>
      </c>
      <c r="L915">
        <v>27</v>
      </c>
      <c r="M915" t="s">
        <v>19</v>
      </c>
      <c r="N915" t="s">
        <v>184</v>
      </c>
      <c r="O915" t="s">
        <v>151</v>
      </c>
      <c r="P915">
        <v>2025</v>
      </c>
    </row>
    <row r="916" spans="1:16" hidden="1" x14ac:dyDescent="0.25">
      <c r="A916" s="96" t="s">
        <v>2</v>
      </c>
      <c r="B916" s="96" t="s">
        <v>190</v>
      </c>
      <c r="C916" s="96" t="s">
        <v>1009</v>
      </c>
      <c r="D916" s="96" t="s">
        <v>208</v>
      </c>
      <c r="E916" s="43">
        <v>45885</v>
      </c>
      <c r="F916" s="43">
        <v>45970</v>
      </c>
      <c r="G916" s="96" t="s">
        <v>92</v>
      </c>
      <c r="H916" s="96" t="s">
        <v>4395</v>
      </c>
      <c r="I916" s="96" t="s">
        <v>194</v>
      </c>
      <c r="J916" s="96" t="s">
        <v>168</v>
      </c>
      <c r="K916" s="96" t="s">
        <v>217</v>
      </c>
      <c r="L916">
        <v>85</v>
      </c>
      <c r="M916" t="s">
        <v>28</v>
      </c>
      <c r="N916" t="s">
        <v>8</v>
      </c>
      <c r="O916" t="s">
        <v>150</v>
      </c>
      <c r="P916">
        <v>2025</v>
      </c>
    </row>
    <row r="917" spans="1:16" hidden="1" x14ac:dyDescent="0.25">
      <c r="A917" s="96" t="s">
        <v>175</v>
      </c>
      <c r="B917" s="96" t="s">
        <v>255</v>
      </c>
      <c r="C917" s="96" t="s">
        <v>1010</v>
      </c>
      <c r="D917" s="96" t="s">
        <v>208</v>
      </c>
      <c r="E917" s="43">
        <v>45772</v>
      </c>
      <c r="F917" s="43">
        <v>45830</v>
      </c>
      <c r="G917" s="96" t="s">
        <v>95</v>
      </c>
      <c r="H917" s="96" t="s">
        <v>4396</v>
      </c>
      <c r="I917" s="96" t="s">
        <v>225</v>
      </c>
      <c r="J917" s="96" t="s">
        <v>93</v>
      </c>
      <c r="K917" s="96" t="s">
        <v>210</v>
      </c>
      <c r="L917">
        <v>58</v>
      </c>
      <c r="M917" t="s">
        <v>24</v>
      </c>
      <c r="N917" t="s">
        <v>185</v>
      </c>
      <c r="O917" t="s">
        <v>150</v>
      </c>
      <c r="P917">
        <v>2025</v>
      </c>
    </row>
    <row r="918" spans="1:16" x14ac:dyDescent="0.25">
      <c r="A918" s="96" t="s">
        <v>2</v>
      </c>
      <c r="B918" s="96" t="s">
        <v>226</v>
      </c>
      <c r="C918" s="96" t="s">
        <v>4397</v>
      </c>
      <c r="D918" s="96" t="s">
        <v>192</v>
      </c>
      <c r="E918" s="43">
        <v>46069</v>
      </c>
      <c r="F918" s="43">
        <v>46150</v>
      </c>
      <c r="G918" s="96" t="s">
        <v>92</v>
      </c>
      <c r="H918" s="96" t="s">
        <v>4398</v>
      </c>
      <c r="I918" s="96" t="s">
        <v>204</v>
      </c>
      <c r="J918" s="96" t="s">
        <v>172</v>
      </c>
      <c r="K918" s="96" t="s">
        <v>246</v>
      </c>
      <c r="L918">
        <v>81</v>
      </c>
      <c r="M918" t="s">
        <v>28</v>
      </c>
      <c r="N918" t="s">
        <v>32</v>
      </c>
      <c r="O918" t="s">
        <v>151</v>
      </c>
      <c r="P918">
        <v>2026</v>
      </c>
    </row>
    <row r="919" spans="1:16" hidden="1" x14ac:dyDescent="0.25">
      <c r="A919" s="96" t="s">
        <v>2</v>
      </c>
      <c r="B919" s="96" t="s">
        <v>255</v>
      </c>
      <c r="C919" s="96" t="s">
        <v>1011</v>
      </c>
      <c r="D919" s="96" t="s">
        <v>203</v>
      </c>
      <c r="E919" s="43">
        <v>45977</v>
      </c>
      <c r="F919" s="43">
        <v>46003</v>
      </c>
      <c r="G919" s="96" t="s">
        <v>92</v>
      </c>
      <c r="H919" s="96" t="s">
        <v>4399</v>
      </c>
      <c r="I919" s="96" t="s">
        <v>204</v>
      </c>
      <c r="J919" s="96" t="s">
        <v>216</v>
      </c>
      <c r="K919" s="96" t="s">
        <v>205</v>
      </c>
      <c r="L919">
        <v>26</v>
      </c>
      <c r="M919" t="s">
        <v>19</v>
      </c>
      <c r="N919" t="s">
        <v>20</v>
      </c>
      <c r="O919" t="s">
        <v>150</v>
      </c>
      <c r="P919">
        <v>2025</v>
      </c>
    </row>
    <row r="920" spans="1:16" hidden="1" x14ac:dyDescent="0.25">
      <c r="A920" s="96" t="s">
        <v>2</v>
      </c>
      <c r="B920" s="96" t="s">
        <v>240</v>
      </c>
      <c r="C920" s="96" t="s">
        <v>1012</v>
      </c>
      <c r="D920" s="96" t="s">
        <v>215</v>
      </c>
      <c r="E920" s="43">
        <v>45945</v>
      </c>
      <c r="F920" s="43">
        <v>45948</v>
      </c>
      <c r="G920" s="96" t="s">
        <v>92</v>
      </c>
      <c r="H920" s="96" t="s">
        <v>4400</v>
      </c>
      <c r="I920" s="96" t="s">
        <v>194</v>
      </c>
      <c r="J920" s="96" t="s">
        <v>283</v>
      </c>
      <c r="K920" s="96" t="s">
        <v>157</v>
      </c>
      <c r="L920">
        <v>3</v>
      </c>
      <c r="M920" t="s">
        <v>11</v>
      </c>
      <c r="N920" t="s">
        <v>16</v>
      </c>
      <c r="O920" t="s">
        <v>149</v>
      </c>
      <c r="P920">
        <v>2025</v>
      </c>
    </row>
    <row r="921" spans="1:16" x14ac:dyDescent="0.25">
      <c r="A921" s="96" t="s">
        <v>2</v>
      </c>
      <c r="B921" s="96" t="s">
        <v>274</v>
      </c>
      <c r="C921" s="96" t="s">
        <v>4401</v>
      </c>
      <c r="D921" s="96" t="s">
        <v>223</v>
      </c>
      <c r="E921" s="43">
        <v>46041</v>
      </c>
      <c r="F921" s="43">
        <v>46055</v>
      </c>
      <c r="G921" s="96" t="s">
        <v>92</v>
      </c>
      <c r="H921" s="96" t="s">
        <v>4402</v>
      </c>
      <c r="I921" s="96" t="s">
        <v>9</v>
      </c>
      <c r="J921" s="96" t="s">
        <v>177</v>
      </c>
      <c r="K921" s="96" t="s">
        <v>230</v>
      </c>
      <c r="L921">
        <v>14</v>
      </c>
      <c r="M921" t="s">
        <v>15</v>
      </c>
      <c r="N921" t="s">
        <v>29</v>
      </c>
      <c r="O921" t="s">
        <v>170</v>
      </c>
      <c r="P921">
        <v>2026</v>
      </c>
    </row>
    <row r="922" spans="1:16" x14ac:dyDescent="0.25">
      <c r="A922" s="96" t="s">
        <v>2</v>
      </c>
      <c r="B922" s="96" t="s">
        <v>261</v>
      </c>
      <c r="C922" s="96" t="s">
        <v>1013</v>
      </c>
      <c r="D922" s="96" t="s">
        <v>208</v>
      </c>
      <c r="E922" s="43">
        <v>46084</v>
      </c>
      <c r="F922" s="43">
        <v>46090</v>
      </c>
      <c r="G922" s="96" t="s">
        <v>90</v>
      </c>
      <c r="H922" s="96" t="s">
        <v>4403</v>
      </c>
      <c r="I922" s="96" t="s">
        <v>157</v>
      </c>
      <c r="J922" s="96" t="s">
        <v>91</v>
      </c>
      <c r="K922" s="96" t="s">
        <v>217</v>
      </c>
      <c r="L922">
        <v>6</v>
      </c>
      <c r="M922" t="s">
        <v>11</v>
      </c>
      <c r="N922" t="s">
        <v>35</v>
      </c>
      <c r="O922" t="s">
        <v>151</v>
      </c>
      <c r="P922">
        <v>2026</v>
      </c>
    </row>
    <row r="923" spans="1:16" x14ac:dyDescent="0.25">
      <c r="A923" s="96" t="s">
        <v>189</v>
      </c>
      <c r="B923" s="96" t="s">
        <v>288</v>
      </c>
      <c r="C923" s="96" t="s">
        <v>1014</v>
      </c>
      <c r="D923" s="96" t="s">
        <v>223</v>
      </c>
      <c r="E923" s="43">
        <v>46048</v>
      </c>
      <c r="F923" s="43">
        <v>46060</v>
      </c>
      <c r="G923" s="96" t="s">
        <v>92</v>
      </c>
      <c r="H923" s="96" t="s">
        <v>982</v>
      </c>
      <c r="I923" s="96" t="s">
        <v>157</v>
      </c>
      <c r="J923" s="96" t="s">
        <v>93</v>
      </c>
      <c r="K923" s="96" t="s">
        <v>157</v>
      </c>
      <c r="L923">
        <v>12</v>
      </c>
      <c r="M923" t="s">
        <v>15</v>
      </c>
      <c r="N923" t="s">
        <v>29</v>
      </c>
      <c r="O923" t="s">
        <v>170</v>
      </c>
      <c r="P923">
        <v>2026</v>
      </c>
    </row>
    <row r="924" spans="1:16" hidden="1" x14ac:dyDescent="0.25">
      <c r="A924" s="96" t="s">
        <v>2</v>
      </c>
      <c r="B924" s="96" t="s">
        <v>240</v>
      </c>
      <c r="C924" s="96" t="s">
        <v>1015</v>
      </c>
      <c r="D924" s="96" t="s">
        <v>10</v>
      </c>
      <c r="E924" s="43">
        <v>45671</v>
      </c>
      <c r="F924" s="43">
        <v>45766</v>
      </c>
      <c r="G924" s="96" t="s">
        <v>92</v>
      </c>
      <c r="H924" s="96" t="s">
        <v>984</v>
      </c>
      <c r="I924" s="96" t="s">
        <v>209</v>
      </c>
      <c r="J924" s="96" t="s">
        <v>229</v>
      </c>
      <c r="K924" s="96" t="s">
        <v>205</v>
      </c>
      <c r="L924">
        <v>95</v>
      </c>
      <c r="M924" t="s">
        <v>28</v>
      </c>
      <c r="N924" t="s">
        <v>181</v>
      </c>
      <c r="O924" t="s">
        <v>149</v>
      </c>
      <c r="P924">
        <v>2025</v>
      </c>
    </row>
    <row r="925" spans="1:16" x14ac:dyDescent="0.25">
      <c r="A925" s="96" t="s">
        <v>2</v>
      </c>
      <c r="B925" s="96" t="s">
        <v>196</v>
      </c>
      <c r="C925" s="96" t="s">
        <v>1016</v>
      </c>
      <c r="D925" s="96" t="s">
        <v>10</v>
      </c>
      <c r="E925" s="43">
        <v>46073</v>
      </c>
      <c r="F925" s="43">
        <v>46090</v>
      </c>
      <c r="G925" s="96" t="s">
        <v>92</v>
      </c>
      <c r="H925" s="96" t="s">
        <v>4404</v>
      </c>
      <c r="I925" s="96" t="s">
        <v>9</v>
      </c>
      <c r="J925" s="96" t="s">
        <v>91</v>
      </c>
      <c r="K925" s="96" t="s">
        <v>200</v>
      </c>
      <c r="L925">
        <v>17</v>
      </c>
      <c r="M925" t="s">
        <v>19</v>
      </c>
      <c r="N925" t="s">
        <v>32</v>
      </c>
      <c r="O925" t="s">
        <v>152</v>
      </c>
      <c r="P925">
        <v>2026</v>
      </c>
    </row>
    <row r="926" spans="1:16" hidden="1" x14ac:dyDescent="0.25">
      <c r="A926" s="96" t="s">
        <v>2</v>
      </c>
      <c r="B926" s="96" t="s">
        <v>257</v>
      </c>
      <c r="C926" s="96" t="s">
        <v>1017</v>
      </c>
      <c r="D926" s="96" t="s">
        <v>237</v>
      </c>
      <c r="E926" s="43">
        <v>45811</v>
      </c>
      <c r="F926" s="43">
        <v>45918</v>
      </c>
      <c r="G926" s="96" t="s">
        <v>90</v>
      </c>
      <c r="H926" s="96" t="s">
        <v>986</v>
      </c>
      <c r="I926" s="96" t="s">
        <v>9</v>
      </c>
      <c r="J926" s="96" t="s">
        <v>229</v>
      </c>
      <c r="K926" s="96" t="s">
        <v>200</v>
      </c>
      <c r="L926">
        <v>107</v>
      </c>
      <c r="M926" t="s">
        <v>28</v>
      </c>
      <c r="N926" t="s">
        <v>184</v>
      </c>
      <c r="O926" t="s">
        <v>151</v>
      </c>
      <c r="P926">
        <v>2025</v>
      </c>
    </row>
    <row r="927" spans="1:16" hidden="1" x14ac:dyDescent="0.25">
      <c r="A927" s="96" t="s">
        <v>21</v>
      </c>
      <c r="B927" s="96" t="s">
        <v>238</v>
      </c>
      <c r="C927" s="96" t="s">
        <v>4405</v>
      </c>
      <c r="D927" s="96" t="s">
        <v>192</v>
      </c>
      <c r="E927" s="43">
        <v>45743</v>
      </c>
      <c r="F927" s="43">
        <v>45778</v>
      </c>
      <c r="G927" s="96" t="s">
        <v>92</v>
      </c>
      <c r="H927" s="96" t="s">
        <v>988</v>
      </c>
      <c r="I927" s="96" t="s">
        <v>225</v>
      </c>
      <c r="J927" s="96" t="s">
        <v>93</v>
      </c>
      <c r="K927" s="96" t="s">
        <v>217</v>
      </c>
      <c r="L927">
        <v>35</v>
      </c>
      <c r="M927" t="s">
        <v>24</v>
      </c>
      <c r="N927" t="s">
        <v>186</v>
      </c>
      <c r="O927" t="s">
        <v>170</v>
      </c>
      <c r="P927">
        <v>2025</v>
      </c>
    </row>
    <row r="928" spans="1:16" hidden="1" x14ac:dyDescent="0.25">
      <c r="A928" s="96" t="s">
        <v>175</v>
      </c>
      <c r="B928" s="96" t="s">
        <v>221</v>
      </c>
      <c r="C928" s="96" t="s">
        <v>4406</v>
      </c>
      <c r="D928" s="96" t="s">
        <v>203</v>
      </c>
      <c r="E928" s="43">
        <v>45704</v>
      </c>
      <c r="F928" s="43">
        <v>45816</v>
      </c>
      <c r="G928" s="96" t="s">
        <v>92</v>
      </c>
      <c r="H928" s="96" t="s">
        <v>4407</v>
      </c>
      <c r="I928" s="96" t="s">
        <v>157</v>
      </c>
      <c r="J928" s="96" t="s">
        <v>199</v>
      </c>
      <c r="K928" s="96" t="s">
        <v>157</v>
      </c>
      <c r="L928">
        <v>112</v>
      </c>
      <c r="M928" t="s">
        <v>28</v>
      </c>
      <c r="N928" t="s">
        <v>188</v>
      </c>
      <c r="O928" t="s">
        <v>170</v>
      </c>
      <c r="P928">
        <v>2025</v>
      </c>
    </row>
    <row r="929" spans="1:16" hidden="1" x14ac:dyDescent="0.25">
      <c r="A929" s="96" t="s">
        <v>2</v>
      </c>
      <c r="B929" s="96" t="s">
        <v>322</v>
      </c>
      <c r="C929" s="96" t="s">
        <v>1018</v>
      </c>
      <c r="D929" s="96" t="s">
        <v>215</v>
      </c>
      <c r="E929" s="43">
        <v>45990</v>
      </c>
      <c r="F929" s="43">
        <v>46065</v>
      </c>
      <c r="G929" s="96" t="s">
        <v>92</v>
      </c>
      <c r="H929" s="96" t="s">
        <v>990</v>
      </c>
      <c r="I929" s="96" t="s">
        <v>9</v>
      </c>
      <c r="J929" s="96" t="s">
        <v>169</v>
      </c>
      <c r="K929" s="96" t="s">
        <v>157</v>
      </c>
      <c r="L929">
        <v>75</v>
      </c>
      <c r="M929" t="s">
        <v>28</v>
      </c>
      <c r="N929" t="s">
        <v>20</v>
      </c>
      <c r="O929" t="s">
        <v>150</v>
      </c>
      <c r="P929">
        <v>2025</v>
      </c>
    </row>
    <row r="930" spans="1:16" x14ac:dyDescent="0.25">
      <c r="A930" s="96" t="s">
        <v>2</v>
      </c>
      <c r="B930" s="96" t="s">
        <v>290</v>
      </c>
      <c r="C930" s="96" t="s">
        <v>1019</v>
      </c>
      <c r="D930" s="96" t="s">
        <v>203</v>
      </c>
      <c r="E930" s="43">
        <v>46084</v>
      </c>
      <c r="F930" s="43">
        <v>46147</v>
      </c>
      <c r="G930" s="96" t="s">
        <v>92</v>
      </c>
      <c r="H930" s="96" t="s">
        <v>992</v>
      </c>
      <c r="I930" s="96" t="s">
        <v>225</v>
      </c>
      <c r="J930" s="96" t="s">
        <v>229</v>
      </c>
      <c r="K930" s="96" t="s">
        <v>195</v>
      </c>
      <c r="L930">
        <v>63</v>
      </c>
      <c r="M930" t="s">
        <v>28</v>
      </c>
      <c r="N930" t="s">
        <v>35</v>
      </c>
      <c r="O930" t="s">
        <v>149</v>
      </c>
      <c r="P930">
        <v>2026</v>
      </c>
    </row>
    <row r="931" spans="1:16" hidden="1" x14ac:dyDescent="0.25">
      <c r="A931" s="96" t="s">
        <v>2</v>
      </c>
      <c r="B931" s="96" t="s">
        <v>322</v>
      </c>
      <c r="C931" s="96" t="s">
        <v>1020</v>
      </c>
      <c r="D931" s="96" t="s">
        <v>203</v>
      </c>
      <c r="E931" s="43">
        <v>45763</v>
      </c>
      <c r="F931" s="43">
        <v>45781</v>
      </c>
      <c r="G931" s="96" t="s">
        <v>90</v>
      </c>
      <c r="H931" s="96" t="s">
        <v>994</v>
      </c>
      <c r="I931" s="96" t="s">
        <v>9</v>
      </c>
      <c r="J931" s="96" t="s">
        <v>174</v>
      </c>
      <c r="K931" s="96" t="s">
        <v>246</v>
      </c>
      <c r="L931">
        <v>18</v>
      </c>
      <c r="M931" t="s">
        <v>19</v>
      </c>
      <c r="N931" t="s">
        <v>185</v>
      </c>
      <c r="O931" t="s">
        <v>150</v>
      </c>
      <c r="P931">
        <v>2025</v>
      </c>
    </row>
    <row r="932" spans="1:16" x14ac:dyDescent="0.25">
      <c r="A932" s="96" t="s">
        <v>171</v>
      </c>
      <c r="B932" s="96" t="s">
        <v>302</v>
      </c>
      <c r="C932" s="96" t="s">
        <v>4408</v>
      </c>
      <c r="D932" s="96" t="s">
        <v>10</v>
      </c>
      <c r="E932" s="43">
        <v>46043</v>
      </c>
      <c r="F932" s="43">
        <v>46054</v>
      </c>
      <c r="G932" s="96" t="s">
        <v>92</v>
      </c>
      <c r="H932" s="96" t="s">
        <v>4409</v>
      </c>
      <c r="I932" s="96" t="s">
        <v>157</v>
      </c>
      <c r="J932" s="96" t="s">
        <v>172</v>
      </c>
      <c r="K932" s="96" t="s">
        <v>210</v>
      </c>
      <c r="L932">
        <v>11</v>
      </c>
      <c r="M932" t="s">
        <v>15</v>
      </c>
      <c r="N932" t="s">
        <v>29</v>
      </c>
      <c r="O932" t="s">
        <v>150</v>
      </c>
      <c r="P932">
        <v>2026</v>
      </c>
    </row>
    <row r="933" spans="1:16" x14ac:dyDescent="0.25">
      <c r="A933" s="96" t="s">
        <v>2</v>
      </c>
      <c r="B933" s="96" t="s">
        <v>290</v>
      </c>
      <c r="C933" s="96" t="s">
        <v>1021</v>
      </c>
      <c r="D933" s="96" t="s">
        <v>192</v>
      </c>
      <c r="E933" s="43">
        <v>46103</v>
      </c>
      <c r="F933" s="43">
        <v>46146</v>
      </c>
      <c r="G933" s="96" t="s">
        <v>92</v>
      </c>
      <c r="H933" s="96" t="s">
        <v>996</v>
      </c>
      <c r="I933" s="96" t="s">
        <v>209</v>
      </c>
      <c r="J933" s="96" t="s">
        <v>98</v>
      </c>
      <c r="K933" s="96" t="s">
        <v>246</v>
      </c>
      <c r="L933">
        <v>43</v>
      </c>
      <c r="M933" t="s">
        <v>24</v>
      </c>
      <c r="N933" t="s">
        <v>35</v>
      </c>
      <c r="O933" t="s">
        <v>149</v>
      </c>
      <c r="P933">
        <v>2026</v>
      </c>
    </row>
    <row r="934" spans="1:16" hidden="1" x14ac:dyDescent="0.25">
      <c r="A934" s="96" t="s">
        <v>2</v>
      </c>
      <c r="B934" s="96" t="s">
        <v>240</v>
      </c>
      <c r="C934" s="96" t="s">
        <v>1024</v>
      </c>
      <c r="D934" s="96" t="s">
        <v>223</v>
      </c>
      <c r="E934" s="43">
        <v>45897</v>
      </c>
      <c r="F934" s="43">
        <v>45901</v>
      </c>
      <c r="G934" s="96" t="s">
        <v>92</v>
      </c>
      <c r="H934" s="96" t="s">
        <v>997</v>
      </c>
      <c r="I934" s="96" t="s">
        <v>209</v>
      </c>
      <c r="J934" s="96" t="s">
        <v>174</v>
      </c>
      <c r="K934" s="96" t="s">
        <v>233</v>
      </c>
      <c r="L934">
        <v>4</v>
      </c>
      <c r="M934" t="s">
        <v>11</v>
      </c>
      <c r="N934" t="s">
        <v>8</v>
      </c>
      <c r="O934" t="s">
        <v>149</v>
      </c>
      <c r="P934">
        <v>2025</v>
      </c>
    </row>
    <row r="935" spans="1:16" hidden="1" x14ac:dyDescent="0.25">
      <c r="A935" s="96" t="s">
        <v>2</v>
      </c>
      <c r="B935" s="96" t="s">
        <v>231</v>
      </c>
      <c r="C935" s="96" t="s">
        <v>1026</v>
      </c>
      <c r="D935" s="96" t="s">
        <v>34</v>
      </c>
      <c r="E935" s="43">
        <v>45922</v>
      </c>
      <c r="F935" s="43">
        <v>45958</v>
      </c>
      <c r="G935" s="96" t="s">
        <v>92</v>
      </c>
      <c r="H935" s="96" t="s">
        <v>4410</v>
      </c>
      <c r="I935" s="96" t="s">
        <v>157</v>
      </c>
      <c r="J935" s="96" t="s">
        <v>168</v>
      </c>
      <c r="K935" s="96" t="s">
        <v>157</v>
      </c>
      <c r="L935">
        <v>36</v>
      </c>
      <c r="M935" t="s">
        <v>24</v>
      </c>
      <c r="N935" t="s">
        <v>12</v>
      </c>
      <c r="O935" t="s">
        <v>170</v>
      </c>
      <c r="P935">
        <v>2025</v>
      </c>
    </row>
    <row r="936" spans="1:16" hidden="1" x14ac:dyDescent="0.25">
      <c r="A936" s="96" t="s">
        <v>2</v>
      </c>
      <c r="B936" s="96" t="s">
        <v>190</v>
      </c>
      <c r="C936" s="96" t="s">
        <v>1030</v>
      </c>
      <c r="D936" s="96" t="s">
        <v>237</v>
      </c>
      <c r="E936" s="43">
        <v>45900</v>
      </c>
      <c r="F936" s="43">
        <v>45964</v>
      </c>
      <c r="G936" s="96" t="s">
        <v>90</v>
      </c>
      <c r="H936" s="96" t="s">
        <v>1000</v>
      </c>
      <c r="I936" s="96" t="s">
        <v>204</v>
      </c>
      <c r="J936" s="96" t="s">
        <v>94</v>
      </c>
      <c r="K936" s="96" t="s">
        <v>210</v>
      </c>
      <c r="L936">
        <v>64</v>
      </c>
      <c r="M936" t="s">
        <v>28</v>
      </c>
      <c r="N936" t="s">
        <v>8</v>
      </c>
      <c r="O936" t="s">
        <v>150</v>
      </c>
      <c r="P936">
        <v>2025</v>
      </c>
    </row>
    <row r="937" spans="1:16" hidden="1" x14ac:dyDescent="0.25">
      <c r="A937" s="96" t="s">
        <v>2</v>
      </c>
      <c r="B937" s="96" t="s">
        <v>272</v>
      </c>
      <c r="C937" s="96" t="s">
        <v>4411</v>
      </c>
      <c r="D937" s="96" t="s">
        <v>237</v>
      </c>
      <c r="E937" s="43">
        <v>45730</v>
      </c>
      <c r="F937" s="43">
        <v>45820</v>
      </c>
      <c r="G937" s="96" t="s">
        <v>92</v>
      </c>
      <c r="H937" s="96" t="s">
        <v>1002</v>
      </c>
      <c r="I937" s="96" t="s">
        <v>204</v>
      </c>
      <c r="J937" s="96" t="s">
        <v>229</v>
      </c>
      <c r="K937" s="96" t="s">
        <v>195</v>
      </c>
      <c r="L937">
        <v>90</v>
      </c>
      <c r="M937" t="s">
        <v>28</v>
      </c>
      <c r="N937" t="s">
        <v>186</v>
      </c>
      <c r="O937" t="s">
        <v>151</v>
      </c>
      <c r="P937">
        <v>2025</v>
      </c>
    </row>
    <row r="938" spans="1:16" hidden="1" x14ac:dyDescent="0.25">
      <c r="A938" s="96" t="s">
        <v>189</v>
      </c>
      <c r="B938" s="96" t="s">
        <v>272</v>
      </c>
      <c r="C938" s="96" t="s">
        <v>1031</v>
      </c>
      <c r="D938" s="96" t="s">
        <v>223</v>
      </c>
      <c r="E938" s="43">
        <v>45678</v>
      </c>
      <c r="F938" s="43">
        <v>45784</v>
      </c>
      <c r="G938" s="96" t="s">
        <v>90</v>
      </c>
      <c r="H938" s="96" t="s">
        <v>4412</v>
      </c>
      <c r="I938" s="96" t="s">
        <v>157</v>
      </c>
      <c r="J938" s="96" t="s">
        <v>96</v>
      </c>
      <c r="K938" s="96" t="s">
        <v>195</v>
      </c>
      <c r="L938">
        <v>106</v>
      </c>
      <c r="M938" t="s">
        <v>28</v>
      </c>
      <c r="N938" t="s">
        <v>181</v>
      </c>
      <c r="O938" t="s">
        <v>151</v>
      </c>
      <c r="P938">
        <v>2025</v>
      </c>
    </row>
    <row r="939" spans="1:16" hidden="1" x14ac:dyDescent="0.25">
      <c r="A939" s="96" t="s">
        <v>2</v>
      </c>
      <c r="B939" s="96" t="s">
        <v>253</v>
      </c>
      <c r="C939" s="96" t="s">
        <v>1032</v>
      </c>
      <c r="D939" s="96" t="s">
        <v>215</v>
      </c>
      <c r="E939" s="43">
        <v>45801</v>
      </c>
      <c r="F939" s="43">
        <v>45912</v>
      </c>
      <c r="G939" s="96" t="s">
        <v>90</v>
      </c>
      <c r="H939" s="96" t="s">
        <v>4413</v>
      </c>
      <c r="I939" s="96" t="s">
        <v>209</v>
      </c>
      <c r="J939" s="96" t="s">
        <v>199</v>
      </c>
      <c r="K939" s="96" t="s">
        <v>200</v>
      </c>
      <c r="L939">
        <v>111</v>
      </c>
      <c r="M939" t="s">
        <v>28</v>
      </c>
      <c r="N939" t="s">
        <v>182</v>
      </c>
      <c r="O939" t="s">
        <v>152</v>
      </c>
      <c r="P939">
        <v>2025</v>
      </c>
    </row>
    <row r="940" spans="1:16" hidden="1" x14ac:dyDescent="0.25">
      <c r="A940" s="96" t="s">
        <v>175</v>
      </c>
      <c r="B940" s="96" t="s">
        <v>257</v>
      </c>
      <c r="C940" s="96" t="s">
        <v>1033</v>
      </c>
      <c r="D940" s="96" t="s">
        <v>192</v>
      </c>
      <c r="E940" s="43">
        <v>46020</v>
      </c>
      <c r="F940" s="43">
        <v>46036</v>
      </c>
      <c r="G940" s="96" t="s">
        <v>90</v>
      </c>
      <c r="H940" s="96" t="s">
        <v>4414</v>
      </c>
      <c r="I940" s="96" t="s">
        <v>194</v>
      </c>
      <c r="J940" s="96" t="s">
        <v>169</v>
      </c>
      <c r="K940" s="96" t="s">
        <v>246</v>
      </c>
      <c r="L940">
        <v>16</v>
      </c>
      <c r="M940" t="s">
        <v>19</v>
      </c>
      <c r="N940" t="s">
        <v>25</v>
      </c>
      <c r="O940" t="s">
        <v>151</v>
      </c>
      <c r="P940">
        <v>2025</v>
      </c>
    </row>
    <row r="941" spans="1:16" hidden="1" x14ac:dyDescent="0.25">
      <c r="A941" s="96" t="s">
        <v>2</v>
      </c>
      <c r="B941" s="96" t="s">
        <v>211</v>
      </c>
      <c r="C941" s="96" t="s">
        <v>1034</v>
      </c>
      <c r="D941" s="96" t="s">
        <v>208</v>
      </c>
      <c r="E941" s="43">
        <v>45721</v>
      </c>
      <c r="F941" s="43">
        <v>45791</v>
      </c>
      <c r="G941" s="96" t="s">
        <v>92</v>
      </c>
      <c r="H941" s="96" t="s">
        <v>4415</v>
      </c>
      <c r="I941" s="96" t="s">
        <v>225</v>
      </c>
      <c r="J941" s="96" t="s">
        <v>173</v>
      </c>
      <c r="K941" s="96" t="s">
        <v>217</v>
      </c>
      <c r="L941">
        <v>70</v>
      </c>
      <c r="M941" t="s">
        <v>28</v>
      </c>
      <c r="N941" t="s">
        <v>186</v>
      </c>
      <c r="O941" t="s">
        <v>170</v>
      </c>
      <c r="P941">
        <v>2025</v>
      </c>
    </row>
    <row r="942" spans="1:16" hidden="1" x14ac:dyDescent="0.25">
      <c r="A942" s="96" t="s">
        <v>2</v>
      </c>
      <c r="B942" s="96" t="s">
        <v>257</v>
      </c>
      <c r="C942" s="96" t="s">
        <v>1035</v>
      </c>
      <c r="D942" s="96" t="s">
        <v>208</v>
      </c>
      <c r="E942" s="43">
        <v>45773</v>
      </c>
      <c r="F942" s="43">
        <v>45779</v>
      </c>
      <c r="G942" s="96" t="s">
        <v>95</v>
      </c>
      <c r="H942" s="96" t="s">
        <v>4416</v>
      </c>
      <c r="I942" s="96" t="s">
        <v>157</v>
      </c>
      <c r="J942" s="96" t="s">
        <v>174</v>
      </c>
      <c r="K942" s="96" t="s">
        <v>217</v>
      </c>
      <c r="L942">
        <v>6</v>
      </c>
      <c r="M942" t="s">
        <v>11</v>
      </c>
      <c r="N942" t="s">
        <v>185</v>
      </c>
      <c r="O942" t="s">
        <v>151</v>
      </c>
      <c r="P942">
        <v>2025</v>
      </c>
    </row>
    <row r="943" spans="1:16" x14ac:dyDescent="0.25">
      <c r="A943" s="96" t="s">
        <v>2</v>
      </c>
      <c r="B943" s="96" t="s">
        <v>288</v>
      </c>
      <c r="C943" s="96" t="s">
        <v>4417</v>
      </c>
      <c r="D943" s="96" t="s">
        <v>10</v>
      </c>
      <c r="E943" s="43">
        <v>46129</v>
      </c>
      <c r="F943" s="43">
        <v>46151</v>
      </c>
      <c r="G943" s="96" t="s">
        <v>92</v>
      </c>
      <c r="H943" s="96" t="s">
        <v>4418</v>
      </c>
      <c r="I943" s="96" t="s">
        <v>9</v>
      </c>
      <c r="J943" s="96" t="s">
        <v>96</v>
      </c>
      <c r="K943" s="96" t="s">
        <v>233</v>
      </c>
      <c r="L943">
        <v>22</v>
      </c>
      <c r="M943" t="s">
        <v>19</v>
      </c>
      <c r="N943" t="s">
        <v>37</v>
      </c>
      <c r="O943" t="s">
        <v>170</v>
      </c>
      <c r="P943">
        <v>2026</v>
      </c>
    </row>
    <row r="944" spans="1:16" x14ac:dyDescent="0.25">
      <c r="A944" s="96" t="s">
        <v>2</v>
      </c>
      <c r="B944" s="96" t="s">
        <v>249</v>
      </c>
      <c r="C944" s="96" t="s">
        <v>1036</v>
      </c>
      <c r="D944" s="96" t="s">
        <v>10</v>
      </c>
      <c r="E944" s="43">
        <v>46096</v>
      </c>
      <c r="F944" s="43">
        <v>46110</v>
      </c>
      <c r="G944" s="96" t="s">
        <v>92</v>
      </c>
      <c r="H944" s="96" t="s">
        <v>4419</v>
      </c>
      <c r="I944" s="96" t="s">
        <v>228</v>
      </c>
      <c r="J944" s="96" t="s">
        <v>173</v>
      </c>
      <c r="K944" s="96" t="s">
        <v>217</v>
      </c>
      <c r="L944">
        <v>14</v>
      </c>
      <c r="M944" t="s">
        <v>15</v>
      </c>
      <c r="N944" t="s">
        <v>35</v>
      </c>
      <c r="O944" t="s">
        <v>170</v>
      </c>
      <c r="P944">
        <v>2026</v>
      </c>
    </row>
    <row r="945" spans="1:16" x14ac:dyDescent="0.25">
      <c r="A945" s="96" t="s">
        <v>189</v>
      </c>
      <c r="B945" s="96" t="s">
        <v>274</v>
      </c>
      <c r="C945" s="96" t="s">
        <v>1038</v>
      </c>
      <c r="D945" s="96" t="s">
        <v>223</v>
      </c>
      <c r="E945" s="43">
        <v>46098</v>
      </c>
      <c r="F945" s="43">
        <v>46115</v>
      </c>
      <c r="G945" s="96" t="s">
        <v>92</v>
      </c>
      <c r="H945" s="96" t="s">
        <v>4420</v>
      </c>
      <c r="I945" s="96" t="s">
        <v>225</v>
      </c>
      <c r="J945" s="96" t="s">
        <v>216</v>
      </c>
      <c r="K945" s="96" t="s">
        <v>217</v>
      </c>
      <c r="L945">
        <v>17</v>
      </c>
      <c r="M945" t="s">
        <v>19</v>
      </c>
      <c r="N945" t="s">
        <v>35</v>
      </c>
      <c r="O945" t="s">
        <v>170</v>
      </c>
      <c r="P945">
        <v>2026</v>
      </c>
    </row>
    <row r="946" spans="1:16" hidden="1" x14ac:dyDescent="0.25">
      <c r="A946" s="96" t="s">
        <v>2</v>
      </c>
      <c r="B946" s="96" t="s">
        <v>240</v>
      </c>
      <c r="C946" s="96" t="s">
        <v>1040</v>
      </c>
      <c r="D946" s="96" t="s">
        <v>215</v>
      </c>
      <c r="E946" s="43">
        <v>45681</v>
      </c>
      <c r="F946" s="43">
        <v>45748</v>
      </c>
      <c r="G946" s="96" t="s">
        <v>92</v>
      </c>
      <c r="H946" s="96" t="s">
        <v>4421</v>
      </c>
      <c r="I946" s="96" t="s">
        <v>157</v>
      </c>
      <c r="J946" s="96" t="s">
        <v>177</v>
      </c>
      <c r="K946" s="96" t="s">
        <v>157</v>
      </c>
      <c r="L946">
        <v>67</v>
      </c>
      <c r="M946" t="s">
        <v>28</v>
      </c>
      <c r="N946" t="s">
        <v>181</v>
      </c>
      <c r="O946" t="s">
        <v>149</v>
      </c>
      <c r="P946">
        <v>2025</v>
      </c>
    </row>
    <row r="947" spans="1:16" x14ac:dyDescent="0.25">
      <c r="A947" s="96" t="s">
        <v>175</v>
      </c>
      <c r="B947" s="96" t="s">
        <v>317</v>
      </c>
      <c r="C947" s="96" t="s">
        <v>4422</v>
      </c>
      <c r="D947" s="96" t="s">
        <v>208</v>
      </c>
      <c r="E947" s="43">
        <v>46115</v>
      </c>
      <c r="F947" s="43">
        <v>46148</v>
      </c>
      <c r="G947" s="96" t="s">
        <v>90</v>
      </c>
      <c r="H947" s="96" t="s">
        <v>4423</v>
      </c>
      <c r="I947" s="96" t="s">
        <v>9</v>
      </c>
      <c r="J947" s="96" t="s">
        <v>174</v>
      </c>
      <c r="K947" s="96" t="s">
        <v>205</v>
      </c>
      <c r="L947">
        <v>33</v>
      </c>
      <c r="M947" t="s">
        <v>24</v>
      </c>
      <c r="N947" t="s">
        <v>37</v>
      </c>
      <c r="O947" t="s">
        <v>170</v>
      </c>
      <c r="P947">
        <v>2026</v>
      </c>
    </row>
    <row r="948" spans="1:16" hidden="1" x14ac:dyDescent="0.25">
      <c r="A948" s="96" t="s">
        <v>2</v>
      </c>
      <c r="B948" s="96" t="s">
        <v>231</v>
      </c>
      <c r="C948" s="96" t="s">
        <v>1042</v>
      </c>
      <c r="D948" s="96" t="s">
        <v>10</v>
      </c>
      <c r="E948" s="43">
        <v>45906</v>
      </c>
      <c r="F948" s="43">
        <v>45961</v>
      </c>
      <c r="G948" s="96" t="s">
        <v>95</v>
      </c>
      <c r="H948" s="96" t="s">
        <v>4424</v>
      </c>
      <c r="I948" s="96" t="s">
        <v>9</v>
      </c>
      <c r="J948" s="96" t="s">
        <v>94</v>
      </c>
      <c r="K948" s="96" t="s">
        <v>230</v>
      </c>
      <c r="L948">
        <v>55</v>
      </c>
      <c r="M948" t="s">
        <v>24</v>
      </c>
      <c r="N948" t="s">
        <v>12</v>
      </c>
      <c r="O948" t="s">
        <v>170</v>
      </c>
      <c r="P948">
        <v>2025</v>
      </c>
    </row>
    <row r="949" spans="1:16" x14ac:dyDescent="0.25">
      <c r="A949" s="96" t="s">
        <v>175</v>
      </c>
      <c r="B949" s="96" t="s">
        <v>274</v>
      </c>
      <c r="C949" s="96" t="s">
        <v>1044</v>
      </c>
      <c r="D949" s="96" t="s">
        <v>203</v>
      </c>
      <c r="E949" s="43">
        <v>46024</v>
      </c>
      <c r="F949" s="43">
        <v>46126</v>
      </c>
      <c r="G949" s="96" t="s">
        <v>92</v>
      </c>
      <c r="H949" s="96" t="s">
        <v>4425</v>
      </c>
      <c r="I949" s="96" t="s">
        <v>209</v>
      </c>
      <c r="J949" s="96" t="s">
        <v>169</v>
      </c>
      <c r="K949" s="96" t="s">
        <v>210</v>
      </c>
      <c r="L949">
        <v>102</v>
      </c>
      <c r="M949" t="s">
        <v>28</v>
      </c>
      <c r="N949" t="s">
        <v>29</v>
      </c>
      <c r="O949" t="s">
        <v>170</v>
      </c>
      <c r="P949">
        <v>2026</v>
      </c>
    </row>
    <row r="950" spans="1:16" hidden="1" x14ac:dyDescent="0.25">
      <c r="A950" s="96" t="s">
        <v>2</v>
      </c>
      <c r="B950" s="96" t="s">
        <v>253</v>
      </c>
      <c r="C950" s="96" t="s">
        <v>1045</v>
      </c>
      <c r="D950" s="96" t="s">
        <v>208</v>
      </c>
      <c r="E950" s="43">
        <v>45766</v>
      </c>
      <c r="F950" s="43">
        <v>45796</v>
      </c>
      <c r="G950" s="96" t="s">
        <v>92</v>
      </c>
      <c r="H950" s="96" t="s">
        <v>4426</v>
      </c>
      <c r="I950" s="96" t="s">
        <v>209</v>
      </c>
      <c r="J950" s="96" t="s">
        <v>172</v>
      </c>
      <c r="K950" s="96" t="s">
        <v>195</v>
      </c>
      <c r="L950">
        <v>30</v>
      </c>
      <c r="M950" t="s">
        <v>19</v>
      </c>
      <c r="N950" t="s">
        <v>185</v>
      </c>
      <c r="O950" t="s">
        <v>152</v>
      </c>
      <c r="P950">
        <v>2025</v>
      </c>
    </row>
    <row r="951" spans="1:16" hidden="1" x14ac:dyDescent="0.25">
      <c r="A951" s="96" t="s">
        <v>2</v>
      </c>
      <c r="B951" s="96" t="s">
        <v>213</v>
      </c>
      <c r="C951" s="96" t="s">
        <v>1046</v>
      </c>
      <c r="D951" s="96" t="s">
        <v>40</v>
      </c>
      <c r="E951" s="43">
        <v>45947</v>
      </c>
      <c r="F951" s="43">
        <v>46022</v>
      </c>
      <c r="G951" s="96" t="s">
        <v>92</v>
      </c>
      <c r="H951" s="96" t="s">
        <v>4427</v>
      </c>
      <c r="I951" s="96" t="s">
        <v>228</v>
      </c>
      <c r="J951" s="96" t="s">
        <v>229</v>
      </c>
      <c r="K951" s="96" t="s">
        <v>217</v>
      </c>
      <c r="L951">
        <v>75</v>
      </c>
      <c r="M951" t="s">
        <v>28</v>
      </c>
      <c r="N951" t="s">
        <v>16</v>
      </c>
      <c r="O951" t="s">
        <v>149</v>
      </c>
      <c r="P951">
        <v>2025</v>
      </c>
    </row>
    <row r="952" spans="1:16" x14ac:dyDescent="0.25">
      <c r="A952" s="96" t="s">
        <v>21</v>
      </c>
      <c r="B952" s="96" t="s">
        <v>274</v>
      </c>
      <c r="C952" s="96" t="s">
        <v>1047</v>
      </c>
      <c r="D952" s="96" t="s">
        <v>14</v>
      </c>
      <c r="E952" s="43">
        <v>46130</v>
      </c>
      <c r="F952" s="43">
        <v>46147</v>
      </c>
      <c r="G952" s="96" t="s">
        <v>90</v>
      </c>
      <c r="H952" s="96" t="s">
        <v>4428</v>
      </c>
      <c r="I952" s="96" t="s">
        <v>228</v>
      </c>
      <c r="J952" s="96" t="s">
        <v>96</v>
      </c>
      <c r="K952" s="96" t="s">
        <v>210</v>
      </c>
      <c r="L952">
        <v>17</v>
      </c>
      <c r="M952" t="s">
        <v>19</v>
      </c>
      <c r="N952" t="s">
        <v>37</v>
      </c>
      <c r="O952" t="s">
        <v>170</v>
      </c>
      <c r="P952">
        <v>2026</v>
      </c>
    </row>
    <row r="953" spans="1:16" hidden="1" x14ac:dyDescent="0.25">
      <c r="A953" s="96" t="s">
        <v>2</v>
      </c>
      <c r="B953" s="96" t="s">
        <v>257</v>
      </c>
      <c r="C953" s="96" t="s">
        <v>4429</v>
      </c>
      <c r="D953" s="96" t="s">
        <v>203</v>
      </c>
      <c r="E953" s="43">
        <v>45845</v>
      </c>
      <c r="F953" s="43">
        <v>45920</v>
      </c>
      <c r="G953" s="96" t="s">
        <v>92</v>
      </c>
      <c r="H953" s="96" t="s">
        <v>4430</v>
      </c>
      <c r="I953" s="96" t="s">
        <v>204</v>
      </c>
      <c r="J953" s="96" t="s">
        <v>91</v>
      </c>
      <c r="K953" s="96" t="s">
        <v>210</v>
      </c>
      <c r="L953">
        <v>75</v>
      </c>
      <c r="M953" t="s">
        <v>28</v>
      </c>
      <c r="N953" t="s">
        <v>187</v>
      </c>
      <c r="O953" t="s">
        <v>151</v>
      </c>
      <c r="P953">
        <v>2025</v>
      </c>
    </row>
    <row r="954" spans="1:16" x14ac:dyDescent="0.25">
      <c r="A954" s="96" t="s">
        <v>175</v>
      </c>
      <c r="B954" s="96" t="s">
        <v>244</v>
      </c>
      <c r="C954" s="96" t="s">
        <v>4431</v>
      </c>
      <c r="D954" s="96" t="s">
        <v>192</v>
      </c>
      <c r="E954" s="43">
        <v>46050</v>
      </c>
      <c r="F954" s="43">
        <v>46074</v>
      </c>
      <c r="G954" s="96" t="s">
        <v>90</v>
      </c>
      <c r="H954" s="96" t="s">
        <v>4432</v>
      </c>
      <c r="I954" s="96" t="s">
        <v>228</v>
      </c>
      <c r="J954" s="96" t="s">
        <v>177</v>
      </c>
      <c r="K954" s="96" t="s">
        <v>217</v>
      </c>
      <c r="L954">
        <v>24</v>
      </c>
      <c r="M954" t="s">
        <v>19</v>
      </c>
      <c r="N954" t="s">
        <v>29</v>
      </c>
      <c r="O954" t="s">
        <v>150</v>
      </c>
      <c r="P954">
        <v>2026</v>
      </c>
    </row>
    <row r="955" spans="1:16" hidden="1" x14ac:dyDescent="0.25">
      <c r="A955" s="96" t="s">
        <v>2</v>
      </c>
      <c r="B955" s="96" t="s">
        <v>257</v>
      </c>
      <c r="C955" s="96" t="s">
        <v>1048</v>
      </c>
      <c r="D955" s="96" t="s">
        <v>208</v>
      </c>
      <c r="E955" s="43">
        <v>45669</v>
      </c>
      <c r="F955" s="43">
        <v>45741</v>
      </c>
      <c r="G955" s="96" t="s">
        <v>92</v>
      </c>
      <c r="H955" s="96" t="s">
        <v>4433</v>
      </c>
      <c r="I955" s="96" t="s">
        <v>225</v>
      </c>
      <c r="J955" s="96" t="s">
        <v>91</v>
      </c>
      <c r="K955" s="96" t="s">
        <v>230</v>
      </c>
      <c r="L955">
        <v>72</v>
      </c>
      <c r="M955" t="s">
        <v>28</v>
      </c>
      <c r="N955" t="s">
        <v>181</v>
      </c>
      <c r="O955" t="s">
        <v>151</v>
      </c>
      <c r="P955">
        <v>2025</v>
      </c>
    </row>
    <row r="956" spans="1:16" hidden="1" x14ac:dyDescent="0.25">
      <c r="A956" s="96" t="s">
        <v>2</v>
      </c>
      <c r="B956" s="96" t="s">
        <v>231</v>
      </c>
      <c r="C956" s="96" t="s">
        <v>1049</v>
      </c>
      <c r="D956" s="96" t="s">
        <v>203</v>
      </c>
      <c r="E956" s="43">
        <v>45774</v>
      </c>
      <c r="F956" s="43">
        <v>45841</v>
      </c>
      <c r="G956" s="96" t="s">
        <v>90</v>
      </c>
      <c r="H956" s="96" t="s">
        <v>4434</v>
      </c>
      <c r="I956" s="96" t="s">
        <v>225</v>
      </c>
      <c r="J956" s="96" t="s">
        <v>98</v>
      </c>
      <c r="K956" s="96" t="s">
        <v>195</v>
      </c>
      <c r="L956">
        <v>67</v>
      </c>
      <c r="M956" t="s">
        <v>28</v>
      </c>
      <c r="N956" t="s">
        <v>185</v>
      </c>
      <c r="O956" t="s">
        <v>170</v>
      </c>
      <c r="P956">
        <v>2025</v>
      </c>
    </row>
    <row r="957" spans="1:16" x14ac:dyDescent="0.25">
      <c r="A957" s="96" t="s">
        <v>21</v>
      </c>
      <c r="B957" s="96" t="s">
        <v>196</v>
      </c>
      <c r="C957" s="96" t="s">
        <v>1050</v>
      </c>
      <c r="D957" s="96" t="s">
        <v>223</v>
      </c>
      <c r="E957" s="43">
        <v>46095</v>
      </c>
      <c r="F957" s="43">
        <v>46151</v>
      </c>
      <c r="G957" s="96" t="s">
        <v>92</v>
      </c>
      <c r="H957" s="96" t="s">
        <v>4435</v>
      </c>
      <c r="I957" s="96" t="s">
        <v>9</v>
      </c>
      <c r="J957" s="96" t="s">
        <v>98</v>
      </c>
      <c r="K957" s="96" t="s">
        <v>210</v>
      </c>
      <c r="L957">
        <v>56</v>
      </c>
      <c r="M957" t="s">
        <v>24</v>
      </c>
      <c r="N957" t="s">
        <v>35</v>
      </c>
      <c r="O957" t="s">
        <v>152</v>
      </c>
      <c r="P957">
        <v>2026</v>
      </c>
    </row>
    <row r="958" spans="1:16" hidden="1" x14ac:dyDescent="0.25">
      <c r="A958" s="96" t="s">
        <v>2</v>
      </c>
      <c r="B958" s="96" t="s">
        <v>247</v>
      </c>
      <c r="C958" s="96" t="s">
        <v>4436</v>
      </c>
      <c r="D958" s="96" t="s">
        <v>192</v>
      </c>
      <c r="E958" s="43">
        <v>45841</v>
      </c>
      <c r="F958" s="43">
        <v>45911</v>
      </c>
      <c r="G958" s="96" t="s">
        <v>92</v>
      </c>
      <c r="H958" s="96" t="s">
        <v>4437</v>
      </c>
      <c r="I958" s="96" t="s">
        <v>194</v>
      </c>
      <c r="J958" s="96" t="s">
        <v>97</v>
      </c>
      <c r="K958" s="96" t="s">
        <v>217</v>
      </c>
      <c r="L958">
        <v>70</v>
      </c>
      <c r="M958" t="s">
        <v>28</v>
      </c>
      <c r="N958" t="s">
        <v>187</v>
      </c>
      <c r="O958" t="s">
        <v>150</v>
      </c>
      <c r="P958">
        <v>2025</v>
      </c>
    </row>
    <row r="959" spans="1:16" hidden="1" x14ac:dyDescent="0.25">
      <c r="A959" s="96" t="s">
        <v>175</v>
      </c>
      <c r="B959" s="96" t="s">
        <v>280</v>
      </c>
      <c r="C959" s="96" t="s">
        <v>1051</v>
      </c>
      <c r="D959" s="96" t="s">
        <v>215</v>
      </c>
      <c r="E959" s="43">
        <v>45768</v>
      </c>
      <c r="F959" s="43">
        <v>45770</v>
      </c>
      <c r="G959" s="96" t="s">
        <v>92</v>
      </c>
      <c r="H959" s="96" t="s">
        <v>4438</v>
      </c>
      <c r="I959" s="96" t="s">
        <v>157</v>
      </c>
      <c r="J959" s="96" t="s">
        <v>169</v>
      </c>
      <c r="K959" s="96" t="s">
        <v>200</v>
      </c>
      <c r="L959">
        <v>2</v>
      </c>
      <c r="M959" t="s">
        <v>11</v>
      </c>
      <c r="N959" t="s">
        <v>185</v>
      </c>
      <c r="O959" t="s">
        <v>170</v>
      </c>
      <c r="P959">
        <v>2025</v>
      </c>
    </row>
    <row r="960" spans="1:16" hidden="1" x14ac:dyDescent="0.25">
      <c r="A960" s="96" t="s">
        <v>2</v>
      </c>
      <c r="B960" s="96" t="s">
        <v>255</v>
      </c>
      <c r="C960" s="96" t="s">
        <v>1053</v>
      </c>
      <c r="D960" s="96" t="s">
        <v>203</v>
      </c>
      <c r="E960" s="43">
        <v>45719</v>
      </c>
      <c r="F960" s="43">
        <v>45752</v>
      </c>
      <c r="G960" s="96" t="s">
        <v>92</v>
      </c>
      <c r="H960" s="96" t="s">
        <v>4439</v>
      </c>
      <c r="I960" s="96" t="s">
        <v>204</v>
      </c>
      <c r="J960" s="96" t="s">
        <v>177</v>
      </c>
      <c r="K960" s="96" t="s">
        <v>195</v>
      </c>
      <c r="L960">
        <v>33</v>
      </c>
      <c r="M960" t="s">
        <v>24</v>
      </c>
      <c r="N960" t="s">
        <v>186</v>
      </c>
      <c r="O960" t="s">
        <v>150</v>
      </c>
      <c r="P960">
        <v>2025</v>
      </c>
    </row>
    <row r="961" spans="1:16" x14ac:dyDescent="0.25">
      <c r="A961" s="96" t="s">
        <v>2</v>
      </c>
      <c r="B961" s="96" t="s">
        <v>374</v>
      </c>
      <c r="C961" s="96" t="s">
        <v>1054</v>
      </c>
      <c r="D961" s="96" t="s">
        <v>237</v>
      </c>
      <c r="E961" s="43">
        <v>46065</v>
      </c>
      <c r="F961" s="43">
        <v>46127</v>
      </c>
      <c r="G961" s="96" t="s">
        <v>90</v>
      </c>
      <c r="H961" s="96" t="s">
        <v>4440</v>
      </c>
      <c r="I961" s="96" t="s">
        <v>9</v>
      </c>
      <c r="J961" s="96" t="s">
        <v>177</v>
      </c>
      <c r="K961" s="96" t="s">
        <v>233</v>
      </c>
      <c r="L961">
        <v>62</v>
      </c>
      <c r="M961" t="s">
        <v>28</v>
      </c>
      <c r="N961" t="s">
        <v>32</v>
      </c>
      <c r="O961" t="s">
        <v>150</v>
      </c>
      <c r="P961">
        <v>2026</v>
      </c>
    </row>
    <row r="962" spans="1:16" x14ac:dyDescent="0.25">
      <c r="A962" s="96" t="s">
        <v>2</v>
      </c>
      <c r="B962" s="96" t="s">
        <v>219</v>
      </c>
      <c r="C962" s="96" t="s">
        <v>4441</v>
      </c>
      <c r="D962" s="96" t="s">
        <v>10</v>
      </c>
      <c r="E962" s="43">
        <v>46122</v>
      </c>
      <c r="F962" s="43">
        <v>46150</v>
      </c>
      <c r="G962" s="96" t="s">
        <v>90</v>
      </c>
      <c r="H962" s="96" t="s">
        <v>4442</v>
      </c>
      <c r="I962" s="96" t="s">
        <v>9</v>
      </c>
      <c r="J962" s="96" t="s">
        <v>176</v>
      </c>
      <c r="K962" s="96" t="s">
        <v>157</v>
      </c>
      <c r="L962">
        <v>28</v>
      </c>
      <c r="M962" t="s">
        <v>19</v>
      </c>
      <c r="N962" t="s">
        <v>37</v>
      </c>
      <c r="O962" t="s">
        <v>149</v>
      </c>
      <c r="P962">
        <v>2026</v>
      </c>
    </row>
    <row r="963" spans="1:16" x14ac:dyDescent="0.25">
      <c r="A963" s="96" t="s">
        <v>2</v>
      </c>
      <c r="B963" s="96" t="s">
        <v>261</v>
      </c>
      <c r="C963" s="96" t="s">
        <v>4443</v>
      </c>
      <c r="D963" s="96" t="s">
        <v>40</v>
      </c>
      <c r="E963" s="43">
        <v>46073</v>
      </c>
      <c r="F963" s="43">
        <v>46147</v>
      </c>
      <c r="G963" s="96" t="s">
        <v>92</v>
      </c>
      <c r="H963" s="96" t="s">
        <v>4444</v>
      </c>
      <c r="I963" s="96" t="s">
        <v>204</v>
      </c>
      <c r="J963" s="96" t="s">
        <v>172</v>
      </c>
      <c r="K963" s="96" t="s">
        <v>246</v>
      </c>
      <c r="L963">
        <v>74</v>
      </c>
      <c r="M963" t="s">
        <v>28</v>
      </c>
      <c r="N963" t="s">
        <v>32</v>
      </c>
      <c r="O963" t="s">
        <v>151</v>
      </c>
      <c r="P963">
        <v>2026</v>
      </c>
    </row>
    <row r="964" spans="1:16" hidden="1" x14ac:dyDescent="0.25">
      <c r="A964" s="96" t="s">
        <v>2</v>
      </c>
      <c r="B964" s="96" t="s">
        <v>257</v>
      </c>
      <c r="C964" s="96" t="s">
        <v>1055</v>
      </c>
      <c r="D964" s="96" t="s">
        <v>237</v>
      </c>
      <c r="E964" s="43">
        <v>45964</v>
      </c>
      <c r="F964" s="43">
        <v>46001</v>
      </c>
      <c r="G964" s="96" t="s">
        <v>95</v>
      </c>
      <c r="H964" s="96" t="s">
        <v>4445</v>
      </c>
      <c r="I964" s="96" t="s">
        <v>209</v>
      </c>
      <c r="J964" s="96" t="s">
        <v>173</v>
      </c>
      <c r="K964" s="96" t="s">
        <v>210</v>
      </c>
      <c r="L964">
        <v>37</v>
      </c>
      <c r="M964" t="s">
        <v>24</v>
      </c>
      <c r="N964" t="s">
        <v>20</v>
      </c>
      <c r="O964" t="s">
        <v>151</v>
      </c>
      <c r="P964">
        <v>2025</v>
      </c>
    </row>
    <row r="965" spans="1:16" hidden="1" x14ac:dyDescent="0.25">
      <c r="A965" s="96" t="s">
        <v>2</v>
      </c>
      <c r="B965" s="96" t="s">
        <v>251</v>
      </c>
      <c r="C965" s="96" t="s">
        <v>1057</v>
      </c>
      <c r="D965" s="96" t="s">
        <v>34</v>
      </c>
      <c r="E965" s="43">
        <v>45942</v>
      </c>
      <c r="F965" s="43">
        <v>46045</v>
      </c>
      <c r="G965" s="96" t="s">
        <v>90</v>
      </c>
      <c r="H965" s="96" t="s">
        <v>4446</v>
      </c>
      <c r="I965" s="96" t="s">
        <v>228</v>
      </c>
      <c r="J965" s="96" t="s">
        <v>165</v>
      </c>
      <c r="K965" s="96" t="s">
        <v>230</v>
      </c>
      <c r="L965">
        <v>103</v>
      </c>
      <c r="M965" t="s">
        <v>28</v>
      </c>
      <c r="N965" t="s">
        <v>16</v>
      </c>
      <c r="O965" t="s">
        <v>170</v>
      </c>
      <c r="P965">
        <v>2025</v>
      </c>
    </row>
    <row r="966" spans="1:16" hidden="1" x14ac:dyDescent="0.25">
      <c r="A966" s="96" t="s">
        <v>2</v>
      </c>
      <c r="B966" s="96" t="s">
        <v>264</v>
      </c>
      <c r="C966" s="96" t="s">
        <v>1059</v>
      </c>
      <c r="D966" s="96" t="s">
        <v>10</v>
      </c>
      <c r="E966" s="43">
        <v>45745</v>
      </c>
      <c r="F966" s="43">
        <v>45771</v>
      </c>
      <c r="G966" s="96" t="s">
        <v>92</v>
      </c>
      <c r="H966" s="96" t="s">
        <v>4447</v>
      </c>
      <c r="I966" s="96" t="s">
        <v>225</v>
      </c>
      <c r="J966" s="96" t="s">
        <v>229</v>
      </c>
      <c r="K966" s="96" t="s">
        <v>233</v>
      </c>
      <c r="L966">
        <v>26</v>
      </c>
      <c r="M966" t="s">
        <v>19</v>
      </c>
      <c r="N966" t="s">
        <v>186</v>
      </c>
      <c r="O966" t="s">
        <v>152</v>
      </c>
      <c r="P966">
        <v>2025</v>
      </c>
    </row>
    <row r="967" spans="1:16" hidden="1" x14ac:dyDescent="0.25">
      <c r="A967" s="96" t="s">
        <v>2</v>
      </c>
      <c r="B967" s="96" t="s">
        <v>211</v>
      </c>
      <c r="C967" s="96" t="s">
        <v>1060</v>
      </c>
      <c r="D967" s="96" t="s">
        <v>40</v>
      </c>
      <c r="E967" s="43">
        <v>45834</v>
      </c>
      <c r="F967" s="43">
        <v>45883</v>
      </c>
      <c r="G967" s="96" t="s">
        <v>92</v>
      </c>
      <c r="H967" s="96" t="s">
        <v>1022</v>
      </c>
      <c r="I967" s="96" t="s">
        <v>204</v>
      </c>
      <c r="J967" s="96" t="s">
        <v>177</v>
      </c>
      <c r="K967" s="96" t="s">
        <v>210</v>
      </c>
      <c r="L967">
        <v>49</v>
      </c>
      <c r="M967" t="s">
        <v>24</v>
      </c>
      <c r="N967" t="s">
        <v>184</v>
      </c>
      <c r="O967" t="s">
        <v>170</v>
      </c>
      <c r="P967">
        <v>2025</v>
      </c>
    </row>
    <row r="968" spans="1:16" x14ac:dyDescent="0.25">
      <c r="A968" s="96" t="s">
        <v>2</v>
      </c>
      <c r="B968" s="96" t="s">
        <v>302</v>
      </c>
      <c r="C968" s="96" t="s">
        <v>4448</v>
      </c>
      <c r="D968" s="96" t="s">
        <v>40</v>
      </c>
      <c r="E968" s="43">
        <v>46105</v>
      </c>
      <c r="F968" s="43">
        <v>46112</v>
      </c>
      <c r="G968" s="96" t="s">
        <v>92</v>
      </c>
      <c r="H968" s="96" t="s">
        <v>1023</v>
      </c>
      <c r="I968" s="96" t="s">
        <v>204</v>
      </c>
      <c r="J968" s="96" t="s">
        <v>177</v>
      </c>
      <c r="K968" s="96" t="s">
        <v>205</v>
      </c>
      <c r="L968">
        <v>7</v>
      </c>
      <c r="M968" t="s">
        <v>11</v>
      </c>
      <c r="N968" t="s">
        <v>35</v>
      </c>
      <c r="O968" t="s">
        <v>150</v>
      </c>
      <c r="P968">
        <v>2026</v>
      </c>
    </row>
    <row r="969" spans="1:16" hidden="1" x14ac:dyDescent="0.25">
      <c r="A969" s="96" t="s">
        <v>2</v>
      </c>
      <c r="B969" s="96" t="s">
        <v>251</v>
      </c>
      <c r="C969" s="96" t="s">
        <v>1061</v>
      </c>
      <c r="D969" s="96" t="s">
        <v>208</v>
      </c>
      <c r="E969" s="43">
        <v>46007</v>
      </c>
      <c r="F969" s="43">
        <v>46040</v>
      </c>
      <c r="G969" s="96" t="s">
        <v>92</v>
      </c>
      <c r="H969" s="96" t="s">
        <v>1025</v>
      </c>
      <c r="I969" s="96" t="s">
        <v>209</v>
      </c>
      <c r="J969" s="96" t="s">
        <v>169</v>
      </c>
      <c r="K969" s="96" t="s">
        <v>210</v>
      </c>
      <c r="L969">
        <v>33</v>
      </c>
      <c r="M969" t="s">
        <v>24</v>
      </c>
      <c r="N969" t="s">
        <v>25</v>
      </c>
      <c r="O969" t="s">
        <v>170</v>
      </c>
      <c r="P969">
        <v>2025</v>
      </c>
    </row>
    <row r="970" spans="1:16" x14ac:dyDescent="0.25">
      <c r="A970" s="96" t="s">
        <v>21</v>
      </c>
      <c r="B970" s="96" t="s">
        <v>374</v>
      </c>
      <c r="C970" s="96" t="s">
        <v>4449</v>
      </c>
      <c r="D970" s="96" t="s">
        <v>34</v>
      </c>
      <c r="E970" s="43">
        <v>46042</v>
      </c>
      <c r="F970" s="43">
        <v>46044</v>
      </c>
      <c r="G970" s="96" t="s">
        <v>90</v>
      </c>
      <c r="H970" s="96" t="s">
        <v>1027</v>
      </c>
      <c r="I970" s="96" t="s">
        <v>9</v>
      </c>
      <c r="J970" s="96" t="s">
        <v>91</v>
      </c>
      <c r="K970" s="96" t="s">
        <v>230</v>
      </c>
      <c r="L970">
        <v>2</v>
      </c>
      <c r="M970" t="s">
        <v>11</v>
      </c>
      <c r="N970" t="s">
        <v>29</v>
      </c>
      <c r="O970" t="s">
        <v>150</v>
      </c>
      <c r="P970">
        <v>2026</v>
      </c>
    </row>
    <row r="971" spans="1:16" hidden="1" x14ac:dyDescent="0.25">
      <c r="A971" s="96" t="s">
        <v>2</v>
      </c>
      <c r="B971" s="96" t="s">
        <v>238</v>
      </c>
      <c r="C971" s="96" t="s">
        <v>4450</v>
      </c>
      <c r="D971" s="96" t="s">
        <v>215</v>
      </c>
      <c r="E971" s="43">
        <v>45872</v>
      </c>
      <c r="F971" s="43">
        <v>45894</v>
      </c>
      <c r="G971" s="96" t="s">
        <v>92</v>
      </c>
      <c r="H971" s="96" t="s">
        <v>1028</v>
      </c>
      <c r="I971" s="96" t="s">
        <v>157</v>
      </c>
      <c r="J971" s="96" t="s">
        <v>283</v>
      </c>
      <c r="K971" s="96" t="s">
        <v>205</v>
      </c>
      <c r="L971">
        <v>22</v>
      </c>
      <c r="M971" t="s">
        <v>19</v>
      </c>
      <c r="N971" t="s">
        <v>8</v>
      </c>
      <c r="O971" t="s">
        <v>170</v>
      </c>
      <c r="P971">
        <v>2025</v>
      </c>
    </row>
    <row r="972" spans="1:16" x14ac:dyDescent="0.25">
      <c r="A972" s="96" t="s">
        <v>2</v>
      </c>
      <c r="B972" s="96" t="s">
        <v>288</v>
      </c>
      <c r="C972" s="96" t="s">
        <v>4451</v>
      </c>
      <c r="D972" s="96" t="s">
        <v>223</v>
      </c>
      <c r="E972" s="43">
        <v>46085</v>
      </c>
      <c r="F972" s="43">
        <v>46151</v>
      </c>
      <c r="G972" s="96" t="s">
        <v>95</v>
      </c>
      <c r="H972" s="96" t="s">
        <v>1029</v>
      </c>
      <c r="I972" s="96" t="s">
        <v>225</v>
      </c>
      <c r="J972" s="96" t="s">
        <v>93</v>
      </c>
      <c r="K972" s="96" t="s">
        <v>195</v>
      </c>
      <c r="L972">
        <v>66</v>
      </c>
      <c r="M972" t="s">
        <v>28</v>
      </c>
      <c r="N972" t="s">
        <v>35</v>
      </c>
      <c r="O972" t="s">
        <v>170</v>
      </c>
      <c r="P972">
        <v>2026</v>
      </c>
    </row>
    <row r="973" spans="1:16" hidden="1" x14ac:dyDescent="0.25">
      <c r="A973" s="96" t="s">
        <v>2</v>
      </c>
      <c r="B973" s="96" t="s">
        <v>280</v>
      </c>
      <c r="C973" s="96" t="s">
        <v>4452</v>
      </c>
      <c r="D973" s="96" t="s">
        <v>208</v>
      </c>
      <c r="E973" s="43">
        <v>46017</v>
      </c>
      <c r="F973" s="43">
        <v>46093</v>
      </c>
      <c r="G973" s="96" t="s">
        <v>95</v>
      </c>
      <c r="H973" s="96" t="s">
        <v>4453</v>
      </c>
      <c r="I973" s="96" t="s">
        <v>209</v>
      </c>
      <c r="J973" s="96" t="s">
        <v>177</v>
      </c>
      <c r="K973" s="96" t="s">
        <v>217</v>
      </c>
      <c r="L973">
        <v>76</v>
      </c>
      <c r="M973" t="s">
        <v>28</v>
      </c>
      <c r="N973" t="s">
        <v>25</v>
      </c>
      <c r="O973" t="s">
        <v>170</v>
      </c>
      <c r="P973">
        <v>2025</v>
      </c>
    </row>
    <row r="974" spans="1:16" x14ac:dyDescent="0.25">
      <c r="A974" s="96" t="s">
        <v>21</v>
      </c>
      <c r="B974" s="96" t="s">
        <v>288</v>
      </c>
      <c r="C974" s="96" t="s">
        <v>1062</v>
      </c>
      <c r="D974" s="96" t="s">
        <v>203</v>
      </c>
      <c r="E974" s="43">
        <v>46150</v>
      </c>
      <c r="F974" s="43">
        <v>46148</v>
      </c>
      <c r="G974" s="96" t="s">
        <v>92</v>
      </c>
      <c r="H974" s="96" t="s">
        <v>4454</v>
      </c>
      <c r="I974" s="96" t="s">
        <v>225</v>
      </c>
      <c r="J974" s="96" t="s">
        <v>165</v>
      </c>
      <c r="K974" s="96" t="s">
        <v>210</v>
      </c>
      <c r="L974">
        <v>-2</v>
      </c>
      <c r="M974" t="s">
        <v>11</v>
      </c>
      <c r="N974" t="s">
        <v>183</v>
      </c>
      <c r="O974" t="s">
        <v>170</v>
      </c>
      <c r="P974">
        <v>2026</v>
      </c>
    </row>
    <row r="975" spans="1:16" x14ac:dyDescent="0.25">
      <c r="A975" s="96" t="s">
        <v>2</v>
      </c>
      <c r="B975" s="96" t="s">
        <v>196</v>
      </c>
      <c r="C975" s="96" t="s">
        <v>4455</v>
      </c>
      <c r="D975" s="96" t="s">
        <v>14</v>
      </c>
      <c r="E975" s="43">
        <v>46049</v>
      </c>
      <c r="F975" s="43">
        <v>46137</v>
      </c>
      <c r="G975" s="96" t="s">
        <v>90</v>
      </c>
      <c r="H975" s="96" t="s">
        <v>4456</v>
      </c>
      <c r="I975" s="96" t="s">
        <v>228</v>
      </c>
      <c r="J975" s="96" t="s">
        <v>173</v>
      </c>
      <c r="K975" s="96" t="s">
        <v>200</v>
      </c>
      <c r="L975">
        <v>88</v>
      </c>
      <c r="M975" t="s">
        <v>28</v>
      </c>
      <c r="N975" t="s">
        <v>29</v>
      </c>
      <c r="O975" t="s">
        <v>152</v>
      </c>
      <c r="P975">
        <v>2026</v>
      </c>
    </row>
    <row r="976" spans="1:16" hidden="1" x14ac:dyDescent="0.25">
      <c r="A976" s="96" t="s">
        <v>2</v>
      </c>
      <c r="B976" s="96" t="s">
        <v>221</v>
      </c>
      <c r="C976" s="96" t="s">
        <v>1063</v>
      </c>
      <c r="D976" s="96" t="s">
        <v>215</v>
      </c>
      <c r="E976" s="43">
        <v>45891</v>
      </c>
      <c r="F976" s="43">
        <v>45988</v>
      </c>
      <c r="G976" s="96" t="s">
        <v>92</v>
      </c>
      <c r="H976" s="96" t="s">
        <v>4457</v>
      </c>
      <c r="I976" s="96" t="s">
        <v>194</v>
      </c>
      <c r="J976" s="96" t="s">
        <v>98</v>
      </c>
      <c r="K976" s="96" t="s">
        <v>230</v>
      </c>
      <c r="L976">
        <v>97</v>
      </c>
      <c r="M976" t="s">
        <v>28</v>
      </c>
      <c r="N976" t="s">
        <v>8</v>
      </c>
      <c r="O976" t="s">
        <v>170</v>
      </c>
      <c r="P976">
        <v>2025</v>
      </c>
    </row>
    <row r="977" spans="1:16" x14ac:dyDescent="0.25">
      <c r="A977" s="96" t="s">
        <v>175</v>
      </c>
      <c r="B977" s="96" t="s">
        <v>374</v>
      </c>
      <c r="C977" s="96" t="s">
        <v>1064</v>
      </c>
      <c r="D977" s="96" t="s">
        <v>203</v>
      </c>
      <c r="E977" s="43">
        <v>46027</v>
      </c>
      <c r="F977" s="43">
        <v>46048</v>
      </c>
      <c r="G977" s="96" t="s">
        <v>90</v>
      </c>
      <c r="H977" s="96" t="s">
        <v>4458</v>
      </c>
      <c r="I977" s="96" t="s">
        <v>194</v>
      </c>
      <c r="J977" s="96" t="s">
        <v>168</v>
      </c>
      <c r="K977" s="96" t="s">
        <v>157</v>
      </c>
      <c r="L977">
        <v>21</v>
      </c>
      <c r="M977" t="s">
        <v>19</v>
      </c>
      <c r="N977" t="s">
        <v>29</v>
      </c>
      <c r="O977" t="s">
        <v>150</v>
      </c>
      <c r="P977">
        <v>2026</v>
      </c>
    </row>
    <row r="978" spans="1:16" x14ac:dyDescent="0.25">
      <c r="A978" s="96" t="s">
        <v>175</v>
      </c>
      <c r="B978" s="96" t="s">
        <v>249</v>
      </c>
      <c r="C978" s="96" t="s">
        <v>4459</v>
      </c>
      <c r="D978" s="96" t="s">
        <v>14</v>
      </c>
      <c r="E978" s="43">
        <v>46056</v>
      </c>
      <c r="F978" s="43">
        <v>46095</v>
      </c>
      <c r="G978" s="96" t="s">
        <v>92</v>
      </c>
      <c r="H978" s="96" t="s">
        <v>4460</v>
      </c>
      <c r="I978" s="96" t="s">
        <v>204</v>
      </c>
      <c r="J978" s="96" t="s">
        <v>97</v>
      </c>
      <c r="K978" s="96" t="s">
        <v>246</v>
      </c>
      <c r="L978">
        <v>39</v>
      </c>
      <c r="M978" t="s">
        <v>24</v>
      </c>
      <c r="N978" t="s">
        <v>32</v>
      </c>
      <c r="O978" t="s">
        <v>170</v>
      </c>
      <c r="P978">
        <v>2026</v>
      </c>
    </row>
    <row r="979" spans="1:16" hidden="1" x14ac:dyDescent="0.25">
      <c r="A979" s="96" t="s">
        <v>2</v>
      </c>
      <c r="B979" s="96" t="s">
        <v>251</v>
      </c>
      <c r="C979" s="96" t="s">
        <v>1065</v>
      </c>
      <c r="D979" s="96" t="s">
        <v>208</v>
      </c>
      <c r="E979" s="43">
        <v>45917</v>
      </c>
      <c r="F979" s="43">
        <v>45976</v>
      </c>
      <c r="G979" s="96" t="s">
        <v>95</v>
      </c>
      <c r="H979" s="96" t="s">
        <v>4461</v>
      </c>
      <c r="I979" s="96" t="s">
        <v>194</v>
      </c>
      <c r="J979" s="96" t="s">
        <v>216</v>
      </c>
      <c r="K979" s="96" t="s">
        <v>205</v>
      </c>
      <c r="L979">
        <v>59</v>
      </c>
      <c r="M979" t="s">
        <v>24</v>
      </c>
      <c r="N979" t="s">
        <v>12</v>
      </c>
      <c r="O979" t="s">
        <v>170</v>
      </c>
      <c r="P979">
        <v>2025</v>
      </c>
    </row>
    <row r="980" spans="1:16" hidden="1" x14ac:dyDescent="0.25">
      <c r="A980" s="96" t="s">
        <v>2</v>
      </c>
      <c r="B980" s="96" t="s">
        <v>251</v>
      </c>
      <c r="C980" s="96" t="s">
        <v>1067</v>
      </c>
      <c r="D980" s="96" t="s">
        <v>208</v>
      </c>
      <c r="E980" s="43">
        <v>45994</v>
      </c>
      <c r="F980" s="43">
        <v>46018</v>
      </c>
      <c r="G980" s="96" t="s">
        <v>90</v>
      </c>
      <c r="H980" s="96" t="s">
        <v>4462</v>
      </c>
      <c r="I980" s="96" t="s">
        <v>194</v>
      </c>
      <c r="J980" s="96" t="s">
        <v>98</v>
      </c>
      <c r="K980" s="96" t="s">
        <v>246</v>
      </c>
      <c r="L980">
        <v>24</v>
      </c>
      <c r="M980" t="s">
        <v>19</v>
      </c>
      <c r="N980" t="s">
        <v>25</v>
      </c>
      <c r="O980" t="s">
        <v>170</v>
      </c>
      <c r="P980">
        <v>2025</v>
      </c>
    </row>
    <row r="981" spans="1:16" hidden="1" x14ac:dyDescent="0.25">
      <c r="A981" s="96" t="s">
        <v>2</v>
      </c>
      <c r="B981" s="96" t="s">
        <v>280</v>
      </c>
      <c r="C981" s="96" t="s">
        <v>1069</v>
      </c>
      <c r="D981" s="96" t="s">
        <v>223</v>
      </c>
      <c r="E981" s="43">
        <v>45734</v>
      </c>
      <c r="F981" s="43">
        <v>45844</v>
      </c>
      <c r="G981" s="96" t="s">
        <v>90</v>
      </c>
      <c r="H981" s="96" t="s">
        <v>4463</v>
      </c>
      <c r="I981" s="96" t="s">
        <v>228</v>
      </c>
      <c r="J981" s="96" t="s">
        <v>91</v>
      </c>
      <c r="K981" s="96" t="s">
        <v>246</v>
      </c>
      <c r="L981">
        <v>110</v>
      </c>
      <c r="M981" t="s">
        <v>28</v>
      </c>
      <c r="N981" t="s">
        <v>186</v>
      </c>
      <c r="O981" t="s">
        <v>170</v>
      </c>
      <c r="P981">
        <v>2025</v>
      </c>
    </row>
    <row r="982" spans="1:16" x14ac:dyDescent="0.25">
      <c r="A982" s="96" t="s">
        <v>2</v>
      </c>
      <c r="B982" s="96" t="s">
        <v>249</v>
      </c>
      <c r="C982" s="96" t="s">
        <v>4464</v>
      </c>
      <c r="D982" s="96" t="s">
        <v>215</v>
      </c>
      <c r="E982" s="43">
        <v>46032</v>
      </c>
      <c r="F982" s="43">
        <v>46134</v>
      </c>
      <c r="G982" s="96" t="s">
        <v>92</v>
      </c>
      <c r="H982" s="96" t="s">
        <v>4465</v>
      </c>
      <c r="I982" s="96" t="s">
        <v>204</v>
      </c>
      <c r="J982" s="96" t="s">
        <v>177</v>
      </c>
      <c r="K982" s="96" t="s">
        <v>230</v>
      </c>
      <c r="L982">
        <v>102</v>
      </c>
      <c r="M982" t="s">
        <v>28</v>
      </c>
      <c r="N982" t="s">
        <v>29</v>
      </c>
      <c r="O982" t="s">
        <v>170</v>
      </c>
      <c r="P982">
        <v>2026</v>
      </c>
    </row>
    <row r="983" spans="1:16" x14ac:dyDescent="0.25">
      <c r="A983" s="96" t="s">
        <v>2</v>
      </c>
      <c r="B983" s="96" t="s">
        <v>261</v>
      </c>
      <c r="C983" s="96" t="s">
        <v>4466</v>
      </c>
      <c r="D983" s="96" t="s">
        <v>34</v>
      </c>
      <c r="E983" s="43">
        <v>46115</v>
      </c>
      <c r="F983" s="43">
        <v>46148</v>
      </c>
      <c r="G983" s="96" t="s">
        <v>92</v>
      </c>
      <c r="H983" s="96" t="s">
        <v>4467</v>
      </c>
      <c r="I983" s="96" t="s">
        <v>204</v>
      </c>
      <c r="J983" s="96" t="s">
        <v>98</v>
      </c>
      <c r="K983" s="96" t="s">
        <v>210</v>
      </c>
      <c r="L983">
        <v>33</v>
      </c>
      <c r="M983" t="s">
        <v>24</v>
      </c>
      <c r="N983" t="s">
        <v>37</v>
      </c>
      <c r="O983" t="s">
        <v>151</v>
      </c>
      <c r="P983">
        <v>2026</v>
      </c>
    </row>
    <row r="984" spans="1:16" x14ac:dyDescent="0.25">
      <c r="A984" s="96" t="s">
        <v>2</v>
      </c>
      <c r="B984" s="96" t="s">
        <v>196</v>
      </c>
      <c r="C984" s="96" t="s">
        <v>1071</v>
      </c>
      <c r="D984" s="96" t="s">
        <v>215</v>
      </c>
      <c r="E984" s="43">
        <v>46110</v>
      </c>
      <c r="F984" s="43">
        <v>46149</v>
      </c>
      <c r="G984" s="96" t="s">
        <v>92</v>
      </c>
      <c r="H984" s="96" t="s">
        <v>4468</v>
      </c>
      <c r="I984" s="96" t="s">
        <v>225</v>
      </c>
      <c r="J984" s="96" t="s">
        <v>97</v>
      </c>
      <c r="K984" s="96" t="s">
        <v>230</v>
      </c>
      <c r="L984">
        <v>39</v>
      </c>
      <c r="M984" t="s">
        <v>24</v>
      </c>
      <c r="N984" t="s">
        <v>35</v>
      </c>
      <c r="O984" t="s">
        <v>152</v>
      </c>
      <c r="P984">
        <v>2026</v>
      </c>
    </row>
    <row r="985" spans="1:16" hidden="1" x14ac:dyDescent="0.25">
      <c r="A985" s="96" t="s">
        <v>2</v>
      </c>
      <c r="B985" s="96" t="s">
        <v>206</v>
      </c>
      <c r="C985" s="96" t="s">
        <v>1073</v>
      </c>
      <c r="D985" s="96" t="s">
        <v>223</v>
      </c>
      <c r="E985" s="43">
        <v>45791</v>
      </c>
      <c r="F985" s="43">
        <v>45802</v>
      </c>
      <c r="G985" s="96" t="s">
        <v>92</v>
      </c>
      <c r="H985" s="96" t="s">
        <v>4469</v>
      </c>
      <c r="I985" s="96" t="s">
        <v>194</v>
      </c>
      <c r="J985" s="96" t="s">
        <v>229</v>
      </c>
      <c r="K985" s="96" t="s">
        <v>210</v>
      </c>
      <c r="L985">
        <v>11</v>
      </c>
      <c r="M985" t="s">
        <v>15</v>
      </c>
      <c r="N985" t="s">
        <v>182</v>
      </c>
      <c r="O985" t="s">
        <v>152</v>
      </c>
      <c r="P985">
        <v>2025</v>
      </c>
    </row>
    <row r="986" spans="1:16" hidden="1" x14ac:dyDescent="0.25">
      <c r="A986" s="96" t="s">
        <v>2</v>
      </c>
      <c r="B986" s="96" t="s">
        <v>255</v>
      </c>
      <c r="C986" s="96" t="s">
        <v>4470</v>
      </c>
      <c r="D986" s="96" t="s">
        <v>215</v>
      </c>
      <c r="E986" s="43">
        <v>45959</v>
      </c>
      <c r="F986" s="43">
        <v>45988</v>
      </c>
      <c r="G986" s="96" t="s">
        <v>90</v>
      </c>
      <c r="H986" s="96" t="s">
        <v>1037</v>
      </c>
      <c r="I986" s="96" t="s">
        <v>157</v>
      </c>
      <c r="J986" s="96" t="s">
        <v>169</v>
      </c>
      <c r="K986" s="96" t="s">
        <v>233</v>
      </c>
      <c r="L986">
        <v>29</v>
      </c>
      <c r="M986" t="s">
        <v>19</v>
      </c>
      <c r="N986" t="s">
        <v>16</v>
      </c>
      <c r="O986" t="s">
        <v>150</v>
      </c>
      <c r="P986">
        <v>2025</v>
      </c>
    </row>
    <row r="987" spans="1:16" hidden="1" x14ac:dyDescent="0.25">
      <c r="A987" s="96" t="s">
        <v>171</v>
      </c>
      <c r="B987" s="96" t="s">
        <v>206</v>
      </c>
      <c r="C987" s="96" t="s">
        <v>1074</v>
      </c>
      <c r="D987" s="96" t="s">
        <v>203</v>
      </c>
      <c r="E987" s="43">
        <v>45858</v>
      </c>
      <c r="F987" s="43">
        <v>45906</v>
      </c>
      <c r="G987" s="96" t="s">
        <v>92</v>
      </c>
      <c r="H987" s="96" t="s">
        <v>4471</v>
      </c>
      <c r="I987" s="96" t="s">
        <v>204</v>
      </c>
      <c r="J987" s="96" t="s">
        <v>172</v>
      </c>
      <c r="K987" s="96" t="s">
        <v>200</v>
      </c>
      <c r="L987">
        <v>48</v>
      </c>
      <c r="M987" t="s">
        <v>24</v>
      </c>
      <c r="N987" t="s">
        <v>187</v>
      </c>
      <c r="O987" t="s">
        <v>152</v>
      </c>
      <c r="P987">
        <v>2025</v>
      </c>
    </row>
    <row r="988" spans="1:16" x14ac:dyDescent="0.25">
      <c r="A988" s="96" t="s">
        <v>2</v>
      </c>
      <c r="B988" s="96" t="s">
        <v>374</v>
      </c>
      <c r="C988" s="96" t="s">
        <v>1076</v>
      </c>
      <c r="D988" s="96" t="s">
        <v>192</v>
      </c>
      <c r="E988" s="43">
        <v>46096</v>
      </c>
      <c r="F988" s="43">
        <v>46149</v>
      </c>
      <c r="G988" s="96" t="s">
        <v>90</v>
      </c>
      <c r="H988" s="96" t="s">
        <v>1039</v>
      </c>
      <c r="I988" s="96" t="s">
        <v>9</v>
      </c>
      <c r="J988" s="96" t="s">
        <v>199</v>
      </c>
      <c r="K988" s="96" t="s">
        <v>246</v>
      </c>
      <c r="L988">
        <v>53</v>
      </c>
      <c r="M988" t="s">
        <v>24</v>
      </c>
      <c r="N988" t="s">
        <v>35</v>
      </c>
      <c r="O988" t="s">
        <v>150</v>
      </c>
      <c r="P988">
        <v>2026</v>
      </c>
    </row>
    <row r="989" spans="1:16" hidden="1" x14ac:dyDescent="0.25">
      <c r="A989" s="96" t="s">
        <v>2</v>
      </c>
      <c r="B989" s="96" t="s">
        <v>255</v>
      </c>
      <c r="C989" s="96" t="s">
        <v>1077</v>
      </c>
      <c r="D989" s="96" t="s">
        <v>223</v>
      </c>
      <c r="E989" s="43">
        <v>45742</v>
      </c>
      <c r="F989" s="43">
        <v>45749</v>
      </c>
      <c r="G989" s="96" t="s">
        <v>92</v>
      </c>
      <c r="H989" s="96" t="s">
        <v>1041</v>
      </c>
      <c r="I989" s="96" t="s">
        <v>225</v>
      </c>
      <c r="J989" s="96" t="s">
        <v>176</v>
      </c>
      <c r="K989" s="96" t="s">
        <v>230</v>
      </c>
      <c r="L989">
        <v>7</v>
      </c>
      <c r="M989" t="s">
        <v>11</v>
      </c>
      <c r="N989" t="s">
        <v>186</v>
      </c>
      <c r="O989" t="s">
        <v>150</v>
      </c>
      <c r="P989">
        <v>2025</v>
      </c>
    </row>
    <row r="990" spans="1:16" hidden="1" x14ac:dyDescent="0.25">
      <c r="A990" s="96" t="s">
        <v>2</v>
      </c>
      <c r="B990" s="96" t="s">
        <v>247</v>
      </c>
      <c r="C990" s="96" t="s">
        <v>4472</v>
      </c>
      <c r="D990" s="96" t="s">
        <v>34</v>
      </c>
      <c r="E990" s="43">
        <v>45926</v>
      </c>
      <c r="F990" s="43">
        <v>45939</v>
      </c>
      <c r="G990" s="96" t="s">
        <v>92</v>
      </c>
      <c r="H990" s="96" t="s">
        <v>4473</v>
      </c>
      <c r="I990" s="96" t="s">
        <v>209</v>
      </c>
      <c r="J990" s="96" t="s">
        <v>199</v>
      </c>
      <c r="K990" s="96" t="s">
        <v>230</v>
      </c>
      <c r="L990">
        <v>13</v>
      </c>
      <c r="M990" t="s">
        <v>15</v>
      </c>
      <c r="N990" t="s">
        <v>12</v>
      </c>
      <c r="O990" t="s">
        <v>150</v>
      </c>
      <c r="P990">
        <v>2025</v>
      </c>
    </row>
    <row r="991" spans="1:16" x14ac:dyDescent="0.25">
      <c r="A991" s="96" t="s">
        <v>2</v>
      </c>
      <c r="B991" s="96" t="s">
        <v>218</v>
      </c>
      <c r="C991" s="96" t="s">
        <v>1078</v>
      </c>
      <c r="D991" s="96" t="s">
        <v>208</v>
      </c>
      <c r="E991" s="43">
        <v>46045</v>
      </c>
      <c r="F991" s="43">
        <v>46050</v>
      </c>
      <c r="G991" s="96" t="s">
        <v>92</v>
      </c>
      <c r="H991" s="96" t="s">
        <v>1043</v>
      </c>
      <c r="I991" s="96" t="s">
        <v>228</v>
      </c>
      <c r="J991" s="96" t="s">
        <v>177</v>
      </c>
      <c r="K991" s="96" t="s">
        <v>210</v>
      </c>
      <c r="L991">
        <v>5</v>
      </c>
      <c r="M991" t="s">
        <v>11</v>
      </c>
      <c r="N991" t="s">
        <v>29</v>
      </c>
      <c r="O991" t="s">
        <v>152</v>
      </c>
      <c r="P991">
        <v>2026</v>
      </c>
    </row>
    <row r="992" spans="1:16" x14ac:dyDescent="0.25">
      <c r="A992" s="96" t="s">
        <v>2</v>
      </c>
      <c r="B992" s="96" t="s">
        <v>218</v>
      </c>
      <c r="C992" s="96" t="s">
        <v>4474</v>
      </c>
      <c r="D992" s="96" t="s">
        <v>237</v>
      </c>
      <c r="E992" s="43">
        <v>46024</v>
      </c>
      <c r="F992" s="43">
        <v>46059</v>
      </c>
      <c r="G992" s="96" t="s">
        <v>92</v>
      </c>
      <c r="H992" s="96" t="s">
        <v>4475</v>
      </c>
      <c r="I992" s="96" t="s">
        <v>225</v>
      </c>
      <c r="J992" s="96" t="s">
        <v>173</v>
      </c>
      <c r="K992" s="96" t="s">
        <v>200</v>
      </c>
      <c r="L992">
        <v>35</v>
      </c>
      <c r="M992" t="s">
        <v>24</v>
      </c>
      <c r="N992" t="s">
        <v>29</v>
      </c>
      <c r="O992" t="s">
        <v>152</v>
      </c>
      <c r="P992">
        <v>2026</v>
      </c>
    </row>
    <row r="993" spans="1:16" hidden="1" x14ac:dyDescent="0.25">
      <c r="A993" s="96" t="s">
        <v>21</v>
      </c>
      <c r="B993" s="96" t="s">
        <v>213</v>
      </c>
      <c r="C993" s="96" t="s">
        <v>1079</v>
      </c>
      <c r="D993" s="96" t="s">
        <v>203</v>
      </c>
      <c r="E993" s="43">
        <v>45877</v>
      </c>
      <c r="F993" s="43">
        <v>45931</v>
      </c>
      <c r="G993" s="96" t="s">
        <v>92</v>
      </c>
      <c r="H993" s="96" t="s">
        <v>4476</v>
      </c>
      <c r="I993" s="96" t="s">
        <v>194</v>
      </c>
      <c r="J993" s="96" t="s">
        <v>168</v>
      </c>
      <c r="K993" s="96" t="s">
        <v>230</v>
      </c>
      <c r="L993">
        <v>54</v>
      </c>
      <c r="M993" t="s">
        <v>24</v>
      </c>
      <c r="N993" t="s">
        <v>8</v>
      </c>
      <c r="O993" t="s">
        <v>149</v>
      </c>
      <c r="P993">
        <v>2025</v>
      </c>
    </row>
    <row r="994" spans="1:16" x14ac:dyDescent="0.25">
      <c r="A994" s="96" t="s">
        <v>2</v>
      </c>
      <c r="B994" s="96" t="s">
        <v>269</v>
      </c>
      <c r="C994" s="96" t="s">
        <v>1080</v>
      </c>
      <c r="D994" s="96" t="s">
        <v>203</v>
      </c>
      <c r="E994" s="43">
        <v>46058</v>
      </c>
      <c r="F994" s="43">
        <v>46122</v>
      </c>
      <c r="G994" s="96" t="s">
        <v>90</v>
      </c>
      <c r="H994" s="96" t="s">
        <v>4477</v>
      </c>
      <c r="I994" s="96" t="s">
        <v>209</v>
      </c>
      <c r="J994" s="96" t="s">
        <v>174</v>
      </c>
      <c r="K994" s="96" t="s">
        <v>217</v>
      </c>
      <c r="L994">
        <v>64</v>
      </c>
      <c r="M994" t="s">
        <v>28</v>
      </c>
      <c r="N994" t="s">
        <v>32</v>
      </c>
      <c r="O994" t="s">
        <v>152</v>
      </c>
      <c r="P994">
        <v>2026</v>
      </c>
    </row>
    <row r="995" spans="1:16" x14ac:dyDescent="0.25">
      <c r="A995" s="96" t="s">
        <v>2</v>
      </c>
      <c r="B995" s="96" t="s">
        <v>249</v>
      </c>
      <c r="C995" s="96" t="s">
        <v>1081</v>
      </c>
      <c r="D995" s="96" t="s">
        <v>14</v>
      </c>
      <c r="E995" s="43">
        <v>46104</v>
      </c>
      <c r="F995" s="43">
        <v>46146</v>
      </c>
      <c r="G995" s="96" t="s">
        <v>92</v>
      </c>
      <c r="H995" s="96" t="s">
        <v>4478</v>
      </c>
      <c r="I995" s="96" t="s">
        <v>157</v>
      </c>
      <c r="J995" s="96" t="s">
        <v>283</v>
      </c>
      <c r="K995" s="96" t="s">
        <v>200</v>
      </c>
      <c r="L995">
        <v>42</v>
      </c>
      <c r="M995" t="s">
        <v>24</v>
      </c>
      <c r="N995" t="s">
        <v>35</v>
      </c>
      <c r="O995" t="s">
        <v>170</v>
      </c>
      <c r="P995">
        <v>2026</v>
      </c>
    </row>
    <row r="996" spans="1:16" x14ac:dyDescent="0.25">
      <c r="A996" s="96" t="s">
        <v>21</v>
      </c>
      <c r="B996" s="96" t="s">
        <v>290</v>
      </c>
      <c r="C996" s="96" t="s">
        <v>1082</v>
      </c>
      <c r="D996" s="96" t="s">
        <v>223</v>
      </c>
      <c r="E996" s="43">
        <v>46056</v>
      </c>
      <c r="F996" s="43">
        <v>46139</v>
      </c>
      <c r="G996" s="96" t="s">
        <v>92</v>
      </c>
      <c r="H996" s="96" t="s">
        <v>4479</v>
      </c>
      <c r="I996" s="96" t="s">
        <v>194</v>
      </c>
      <c r="J996" s="96" t="s">
        <v>177</v>
      </c>
      <c r="K996" s="96" t="s">
        <v>157</v>
      </c>
      <c r="L996">
        <v>83</v>
      </c>
      <c r="M996" t="s">
        <v>28</v>
      </c>
      <c r="N996" t="s">
        <v>32</v>
      </c>
      <c r="O996" t="s">
        <v>149</v>
      </c>
      <c r="P996">
        <v>2026</v>
      </c>
    </row>
    <row r="997" spans="1:16" hidden="1" x14ac:dyDescent="0.25">
      <c r="A997" s="96" t="s">
        <v>2</v>
      </c>
      <c r="B997" s="96" t="s">
        <v>257</v>
      </c>
      <c r="C997" s="96" t="s">
        <v>1083</v>
      </c>
      <c r="D997" s="96" t="s">
        <v>237</v>
      </c>
      <c r="E997" s="43">
        <v>45909</v>
      </c>
      <c r="F997" s="43">
        <v>45928</v>
      </c>
      <c r="G997" s="96" t="s">
        <v>90</v>
      </c>
      <c r="H997" s="96" t="s">
        <v>4480</v>
      </c>
      <c r="I997" s="96" t="s">
        <v>225</v>
      </c>
      <c r="J997" s="96" t="s">
        <v>172</v>
      </c>
      <c r="K997" s="96" t="s">
        <v>210</v>
      </c>
      <c r="L997">
        <v>19</v>
      </c>
      <c r="M997" t="s">
        <v>19</v>
      </c>
      <c r="N997" t="s">
        <v>12</v>
      </c>
      <c r="O997" t="s">
        <v>151</v>
      </c>
      <c r="P997">
        <v>2025</v>
      </c>
    </row>
    <row r="998" spans="1:16" hidden="1" x14ac:dyDescent="0.25">
      <c r="A998" s="96" t="s">
        <v>2</v>
      </c>
      <c r="B998" s="96" t="s">
        <v>255</v>
      </c>
      <c r="C998" s="96" t="s">
        <v>1084</v>
      </c>
      <c r="D998" s="96" t="s">
        <v>215</v>
      </c>
      <c r="E998" s="43">
        <v>45921</v>
      </c>
      <c r="F998" s="43">
        <v>46016</v>
      </c>
      <c r="G998" s="96" t="s">
        <v>95</v>
      </c>
      <c r="H998" s="96" t="s">
        <v>4481</v>
      </c>
      <c r="I998" s="96" t="s">
        <v>157</v>
      </c>
      <c r="J998" s="96" t="s">
        <v>229</v>
      </c>
      <c r="K998" s="96" t="s">
        <v>157</v>
      </c>
      <c r="L998">
        <v>95</v>
      </c>
      <c r="M998" t="s">
        <v>28</v>
      </c>
      <c r="N998" t="s">
        <v>12</v>
      </c>
      <c r="O998" t="s">
        <v>150</v>
      </c>
      <c r="P998">
        <v>2025</v>
      </c>
    </row>
    <row r="999" spans="1:16" x14ac:dyDescent="0.25">
      <c r="A999" s="96" t="s">
        <v>175</v>
      </c>
      <c r="B999" s="96" t="s">
        <v>234</v>
      </c>
      <c r="C999" s="96" t="s">
        <v>1085</v>
      </c>
      <c r="D999" s="96" t="s">
        <v>10</v>
      </c>
      <c r="E999" s="43">
        <v>46050</v>
      </c>
      <c r="F999" s="43">
        <v>46145</v>
      </c>
      <c r="G999" s="96" t="s">
        <v>92</v>
      </c>
      <c r="H999" s="96" t="s">
        <v>4482</v>
      </c>
      <c r="I999" s="96" t="s">
        <v>209</v>
      </c>
      <c r="J999" s="96" t="s">
        <v>96</v>
      </c>
      <c r="K999" s="96" t="s">
        <v>233</v>
      </c>
      <c r="L999">
        <v>95</v>
      </c>
      <c r="M999" t="s">
        <v>28</v>
      </c>
      <c r="N999" t="s">
        <v>29</v>
      </c>
      <c r="O999" t="s">
        <v>150</v>
      </c>
      <c r="P999">
        <v>2026</v>
      </c>
    </row>
    <row r="1000" spans="1:16" x14ac:dyDescent="0.25">
      <c r="A1000" s="96" t="s">
        <v>2</v>
      </c>
      <c r="B1000" s="96" t="s">
        <v>201</v>
      </c>
      <c r="C1000" s="96" t="s">
        <v>4483</v>
      </c>
      <c r="D1000" s="96" t="s">
        <v>208</v>
      </c>
      <c r="E1000" s="43">
        <v>46126</v>
      </c>
      <c r="F1000" s="43">
        <v>46146</v>
      </c>
      <c r="G1000" s="96" t="s">
        <v>92</v>
      </c>
      <c r="H1000" s="96" t="s">
        <v>1052</v>
      </c>
      <c r="I1000" s="96" t="s">
        <v>204</v>
      </c>
      <c r="J1000" s="96" t="s">
        <v>168</v>
      </c>
      <c r="K1000" s="96" t="s">
        <v>200</v>
      </c>
      <c r="L1000">
        <v>20</v>
      </c>
      <c r="M1000" t="s">
        <v>19</v>
      </c>
      <c r="N1000" t="s">
        <v>37</v>
      </c>
      <c r="O1000" t="s">
        <v>170</v>
      </c>
      <c r="P1000">
        <v>2026</v>
      </c>
    </row>
    <row r="1001" spans="1:16" hidden="1" x14ac:dyDescent="0.25">
      <c r="A1001" s="96" t="s">
        <v>2</v>
      </c>
      <c r="B1001" s="96" t="s">
        <v>247</v>
      </c>
      <c r="C1001" s="96" t="s">
        <v>1086</v>
      </c>
      <c r="D1001" s="96" t="s">
        <v>34</v>
      </c>
      <c r="E1001" s="43">
        <v>45794</v>
      </c>
      <c r="F1001" s="43">
        <v>45856</v>
      </c>
      <c r="G1001" s="96" t="s">
        <v>92</v>
      </c>
      <c r="H1001" s="96" t="s">
        <v>4484</v>
      </c>
      <c r="I1001" s="96" t="s">
        <v>228</v>
      </c>
      <c r="J1001" s="96" t="s">
        <v>165</v>
      </c>
      <c r="K1001" s="96" t="s">
        <v>157</v>
      </c>
      <c r="L1001">
        <v>62</v>
      </c>
      <c r="M1001" t="s">
        <v>28</v>
      </c>
      <c r="N1001" t="s">
        <v>182</v>
      </c>
      <c r="O1001" t="s">
        <v>150</v>
      </c>
      <c r="P1001">
        <v>2025</v>
      </c>
    </row>
    <row r="1002" spans="1:16" x14ac:dyDescent="0.25">
      <c r="A1002" s="96" t="s">
        <v>2</v>
      </c>
      <c r="B1002" s="96" t="s">
        <v>288</v>
      </c>
      <c r="C1002" s="96" t="s">
        <v>1087</v>
      </c>
      <c r="D1002" s="96" t="s">
        <v>208</v>
      </c>
      <c r="E1002" s="43">
        <v>46139</v>
      </c>
      <c r="F1002" s="43">
        <v>46146</v>
      </c>
      <c r="G1002" s="96" t="s">
        <v>92</v>
      </c>
      <c r="H1002" s="96" t="s">
        <v>4485</v>
      </c>
      <c r="I1002" s="96" t="s">
        <v>9</v>
      </c>
      <c r="J1002" s="96" t="s">
        <v>216</v>
      </c>
      <c r="K1002" s="96" t="s">
        <v>210</v>
      </c>
      <c r="L1002">
        <v>7</v>
      </c>
      <c r="M1002" t="s">
        <v>11</v>
      </c>
      <c r="N1002" t="s">
        <v>37</v>
      </c>
      <c r="O1002" t="s">
        <v>170</v>
      </c>
      <c r="P1002">
        <v>2026</v>
      </c>
    </row>
    <row r="1003" spans="1:16" hidden="1" x14ac:dyDescent="0.25">
      <c r="A1003" s="96" t="s">
        <v>2</v>
      </c>
      <c r="B1003" s="96" t="s">
        <v>272</v>
      </c>
      <c r="C1003" s="96" t="s">
        <v>4486</v>
      </c>
      <c r="D1003" s="96" t="s">
        <v>10</v>
      </c>
      <c r="E1003" s="43">
        <v>45908</v>
      </c>
      <c r="F1003" s="43">
        <v>46001</v>
      </c>
      <c r="G1003" s="96" t="s">
        <v>90</v>
      </c>
      <c r="H1003" s="96" t="s">
        <v>1056</v>
      </c>
      <c r="I1003" s="96" t="s">
        <v>228</v>
      </c>
      <c r="J1003" s="96" t="s">
        <v>174</v>
      </c>
      <c r="K1003" s="96" t="s">
        <v>230</v>
      </c>
      <c r="L1003">
        <v>93</v>
      </c>
      <c r="M1003" t="s">
        <v>28</v>
      </c>
      <c r="N1003" t="s">
        <v>12</v>
      </c>
      <c r="O1003" t="s">
        <v>151</v>
      </c>
      <c r="P1003">
        <v>2025</v>
      </c>
    </row>
    <row r="1004" spans="1:16" x14ac:dyDescent="0.25">
      <c r="A1004" s="96" t="s">
        <v>21</v>
      </c>
      <c r="B1004" s="96" t="s">
        <v>305</v>
      </c>
      <c r="C1004" s="96" t="s">
        <v>1088</v>
      </c>
      <c r="D1004" s="96" t="s">
        <v>10</v>
      </c>
      <c r="E1004" s="43">
        <v>46150</v>
      </c>
      <c r="F1004" s="43">
        <v>46146</v>
      </c>
      <c r="G1004" s="96" t="s">
        <v>92</v>
      </c>
      <c r="H1004" s="96" t="s">
        <v>1058</v>
      </c>
      <c r="I1004" s="96" t="s">
        <v>225</v>
      </c>
      <c r="J1004" s="96" t="s">
        <v>229</v>
      </c>
      <c r="K1004" s="96" t="s">
        <v>246</v>
      </c>
      <c r="L1004">
        <v>-4</v>
      </c>
      <c r="M1004" t="s">
        <v>11</v>
      </c>
      <c r="N1004" t="s">
        <v>183</v>
      </c>
      <c r="O1004" t="s">
        <v>170</v>
      </c>
      <c r="P1004">
        <v>2026</v>
      </c>
    </row>
    <row r="1005" spans="1:16" hidden="1" x14ac:dyDescent="0.25">
      <c r="A1005" s="96" t="s">
        <v>2</v>
      </c>
      <c r="B1005" s="96" t="s">
        <v>231</v>
      </c>
      <c r="C1005" s="96" t="s">
        <v>1091</v>
      </c>
      <c r="D1005" s="96" t="s">
        <v>34</v>
      </c>
      <c r="E1005" s="43">
        <v>45943</v>
      </c>
      <c r="F1005" s="43">
        <v>46061</v>
      </c>
      <c r="G1005" s="96" t="s">
        <v>92</v>
      </c>
      <c r="H1005" s="96" t="s">
        <v>4487</v>
      </c>
      <c r="I1005" s="96" t="s">
        <v>157</v>
      </c>
      <c r="J1005" s="96" t="s">
        <v>97</v>
      </c>
      <c r="K1005" s="96" t="s">
        <v>217</v>
      </c>
      <c r="L1005">
        <v>118</v>
      </c>
      <c r="M1005" t="s">
        <v>28</v>
      </c>
      <c r="N1005" t="s">
        <v>16</v>
      </c>
      <c r="O1005" t="s">
        <v>170</v>
      </c>
      <c r="P1005">
        <v>2025</v>
      </c>
    </row>
    <row r="1006" spans="1:16" hidden="1" x14ac:dyDescent="0.25">
      <c r="A1006" s="96" t="s">
        <v>2</v>
      </c>
      <c r="B1006" s="96" t="s">
        <v>190</v>
      </c>
      <c r="C1006" s="96" t="s">
        <v>4488</v>
      </c>
      <c r="D1006" s="96" t="s">
        <v>192</v>
      </c>
      <c r="E1006" s="43">
        <v>45685</v>
      </c>
      <c r="F1006" s="43">
        <v>45756</v>
      </c>
      <c r="G1006" s="96" t="s">
        <v>92</v>
      </c>
      <c r="H1006" s="96" t="s">
        <v>4489</v>
      </c>
      <c r="I1006" s="96" t="s">
        <v>157</v>
      </c>
      <c r="J1006" s="96" t="s">
        <v>93</v>
      </c>
      <c r="K1006" s="96" t="s">
        <v>157</v>
      </c>
      <c r="L1006">
        <v>71</v>
      </c>
      <c r="M1006" t="s">
        <v>28</v>
      </c>
      <c r="N1006" t="s">
        <v>181</v>
      </c>
      <c r="O1006" t="s">
        <v>150</v>
      </c>
      <c r="P1006">
        <v>2025</v>
      </c>
    </row>
    <row r="1007" spans="1:16" hidden="1" x14ac:dyDescent="0.25">
      <c r="A1007" s="96" t="s">
        <v>2</v>
      </c>
      <c r="B1007" s="96" t="s">
        <v>253</v>
      </c>
      <c r="C1007" s="96" t="s">
        <v>1092</v>
      </c>
      <c r="D1007" s="96" t="s">
        <v>203</v>
      </c>
      <c r="E1007" s="43">
        <v>45949</v>
      </c>
      <c r="F1007" s="43">
        <v>46006</v>
      </c>
      <c r="G1007" s="96" t="s">
        <v>90</v>
      </c>
      <c r="H1007" s="96" t="s">
        <v>4490</v>
      </c>
      <c r="I1007" s="96" t="s">
        <v>204</v>
      </c>
      <c r="J1007" s="96" t="s">
        <v>229</v>
      </c>
      <c r="K1007" s="96" t="s">
        <v>205</v>
      </c>
      <c r="L1007">
        <v>57</v>
      </c>
      <c r="M1007" t="s">
        <v>24</v>
      </c>
      <c r="N1007" t="s">
        <v>16</v>
      </c>
      <c r="O1007" t="s">
        <v>152</v>
      </c>
      <c r="P1007">
        <v>2025</v>
      </c>
    </row>
    <row r="1008" spans="1:16" hidden="1" x14ac:dyDescent="0.25">
      <c r="A1008" s="96" t="s">
        <v>2</v>
      </c>
      <c r="B1008" s="96" t="s">
        <v>240</v>
      </c>
      <c r="C1008" s="96" t="s">
        <v>1094</v>
      </c>
      <c r="D1008" s="96" t="s">
        <v>237</v>
      </c>
      <c r="E1008" s="43">
        <v>45859</v>
      </c>
      <c r="F1008" s="43">
        <v>45978</v>
      </c>
      <c r="G1008" s="96" t="s">
        <v>92</v>
      </c>
      <c r="H1008" s="96" t="s">
        <v>4491</v>
      </c>
      <c r="I1008" s="96" t="s">
        <v>209</v>
      </c>
      <c r="J1008" s="96" t="s">
        <v>165</v>
      </c>
      <c r="K1008" s="96" t="s">
        <v>200</v>
      </c>
      <c r="L1008">
        <v>119</v>
      </c>
      <c r="M1008" t="s">
        <v>28</v>
      </c>
      <c r="N1008" t="s">
        <v>187</v>
      </c>
      <c r="O1008" t="s">
        <v>149</v>
      </c>
      <c r="P1008">
        <v>2025</v>
      </c>
    </row>
    <row r="1009" spans="1:16" hidden="1" x14ac:dyDescent="0.25">
      <c r="A1009" s="96" t="s">
        <v>2</v>
      </c>
      <c r="B1009" s="96" t="s">
        <v>247</v>
      </c>
      <c r="C1009" s="96" t="s">
        <v>4492</v>
      </c>
      <c r="D1009" s="96" t="s">
        <v>10</v>
      </c>
      <c r="E1009" s="43">
        <v>45705</v>
      </c>
      <c r="F1009" s="43">
        <v>45744</v>
      </c>
      <c r="G1009" s="96" t="s">
        <v>90</v>
      </c>
      <c r="H1009" s="96" t="s">
        <v>4493</v>
      </c>
      <c r="I1009" s="96" t="s">
        <v>228</v>
      </c>
      <c r="J1009" s="96" t="s">
        <v>91</v>
      </c>
      <c r="K1009" s="96" t="s">
        <v>195</v>
      </c>
      <c r="L1009">
        <v>39</v>
      </c>
      <c r="M1009" t="s">
        <v>24</v>
      </c>
      <c r="N1009" t="s">
        <v>188</v>
      </c>
      <c r="O1009" t="s">
        <v>150</v>
      </c>
      <c r="P1009">
        <v>2025</v>
      </c>
    </row>
    <row r="1010" spans="1:16" hidden="1" x14ac:dyDescent="0.25">
      <c r="A1010" s="96" t="s">
        <v>2</v>
      </c>
      <c r="B1010" s="96" t="s">
        <v>247</v>
      </c>
      <c r="C1010" s="96" t="s">
        <v>1095</v>
      </c>
      <c r="D1010" s="96" t="s">
        <v>10</v>
      </c>
      <c r="E1010" s="43">
        <v>45898</v>
      </c>
      <c r="F1010" s="43">
        <v>45909</v>
      </c>
      <c r="G1010" s="96" t="s">
        <v>95</v>
      </c>
      <c r="H1010" s="96" t="s">
        <v>4494</v>
      </c>
      <c r="I1010" s="96" t="s">
        <v>209</v>
      </c>
      <c r="J1010" s="96" t="s">
        <v>173</v>
      </c>
      <c r="K1010" s="96" t="s">
        <v>210</v>
      </c>
      <c r="L1010">
        <v>11</v>
      </c>
      <c r="M1010" t="s">
        <v>15</v>
      </c>
      <c r="N1010" t="s">
        <v>8</v>
      </c>
      <c r="O1010" t="s">
        <v>150</v>
      </c>
      <c r="P1010">
        <v>2025</v>
      </c>
    </row>
    <row r="1011" spans="1:16" x14ac:dyDescent="0.25">
      <c r="A1011" s="96" t="s">
        <v>2</v>
      </c>
      <c r="B1011" s="96" t="s">
        <v>288</v>
      </c>
      <c r="C1011" s="96" t="s">
        <v>1096</v>
      </c>
      <c r="D1011" s="96" t="s">
        <v>223</v>
      </c>
      <c r="E1011" s="43">
        <v>46086</v>
      </c>
      <c r="F1011" s="43">
        <v>46112</v>
      </c>
      <c r="G1011" s="96" t="s">
        <v>92</v>
      </c>
      <c r="H1011" s="96" t="s">
        <v>4495</v>
      </c>
      <c r="I1011" s="96" t="s">
        <v>225</v>
      </c>
      <c r="J1011" s="96" t="s">
        <v>98</v>
      </c>
      <c r="K1011" s="96" t="s">
        <v>195</v>
      </c>
      <c r="L1011">
        <v>26</v>
      </c>
      <c r="M1011" t="s">
        <v>19</v>
      </c>
      <c r="N1011" t="s">
        <v>35</v>
      </c>
      <c r="O1011" t="s">
        <v>170</v>
      </c>
      <c r="P1011">
        <v>2026</v>
      </c>
    </row>
    <row r="1012" spans="1:16" hidden="1" x14ac:dyDescent="0.25">
      <c r="A1012" s="96" t="s">
        <v>2</v>
      </c>
      <c r="B1012" s="96" t="s">
        <v>253</v>
      </c>
      <c r="C1012" s="96" t="s">
        <v>1097</v>
      </c>
      <c r="D1012" s="96" t="s">
        <v>14</v>
      </c>
      <c r="E1012" s="43">
        <v>45891</v>
      </c>
      <c r="F1012" s="43">
        <v>45975</v>
      </c>
      <c r="G1012" s="96" t="s">
        <v>90</v>
      </c>
      <c r="H1012" s="96" t="s">
        <v>4496</v>
      </c>
      <c r="I1012" s="96" t="s">
        <v>9</v>
      </c>
      <c r="J1012" s="96" t="s">
        <v>96</v>
      </c>
      <c r="K1012" s="96" t="s">
        <v>195</v>
      </c>
      <c r="L1012">
        <v>84</v>
      </c>
      <c r="M1012" t="s">
        <v>28</v>
      </c>
      <c r="N1012" t="s">
        <v>8</v>
      </c>
      <c r="O1012" t="s">
        <v>152</v>
      </c>
      <c r="P1012">
        <v>2025</v>
      </c>
    </row>
    <row r="1013" spans="1:16" x14ac:dyDescent="0.25">
      <c r="A1013" s="96" t="s">
        <v>175</v>
      </c>
      <c r="B1013" s="96" t="s">
        <v>244</v>
      </c>
      <c r="C1013" s="96" t="s">
        <v>4497</v>
      </c>
      <c r="D1013" s="96" t="s">
        <v>34</v>
      </c>
      <c r="E1013" s="43">
        <v>46124</v>
      </c>
      <c r="F1013" s="43">
        <v>46147</v>
      </c>
      <c r="G1013" s="96" t="s">
        <v>92</v>
      </c>
      <c r="H1013" s="96" t="s">
        <v>4498</v>
      </c>
      <c r="I1013" s="96" t="s">
        <v>228</v>
      </c>
      <c r="J1013" s="96" t="s">
        <v>96</v>
      </c>
      <c r="K1013" s="96" t="s">
        <v>217</v>
      </c>
      <c r="L1013">
        <v>23</v>
      </c>
      <c r="M1013" t="s">
        <v>19</v>
      </c>
      <c r="N1013" t="s">
        <v>37</v>
      </c>
      <c r="O1013" t="s">
        <v>150</v>
      </c>
      <c r="P1013">
        <v>2026</v>
      </c>
    </row>
    <row r="1014" spans="1:16" x14ac:dyDescent="0.25">
      <c r="A1014" s="96" t="s">
        <v>171</v>
      </c>
      <c r="B1014" s="96" t="s">
        <v>305</v>
      </c>
      <c r="C1014" s="96" t="s">
        <v>1098</v>
      </c>
      <c r="D1014" s="96" t="s">
        <v>237</v>
      </c>
      <c r="E1014" s="43">
        <v>46150</v>
      </c>
      <c r="F1014" s="43">
        <v>46151</v>
      </c>
      <c r="G1014" s="96" t="s">
        <v>92</v>
      </c>
      <c r="H1014" s="96" t="s">
        <v>4499</v>
      </c>
      <c r="I1014" s="96" t="s">
        <v>204</v>
      </c>
      <c r="J1014" s="96" t="s">
        <v>98</v>
      </c>
      <c r="K1014" s="96" t="s">
        <v>200</v>
      </c>
      <c r="L1014">
        <v>1</v>
      </c>
      <c r="M1014" t="s">
        <v>11</v>
      </c>
      <c r="N1014" t="s">
        <v>183</v>
      </c>
      <c r="O1014" t="s">
        <v>170</v>
      </c>
      <c r="P1014">
        <v>2026</v>
      </c>
    </row>
    <row r="1015" spans="1:16" hidden="1" x14ac:dyDescent="0.25">
      <c r="A1015" s="96" t="s">
        <v>175</v>
      </c>
      <c r="B1015" s="96" t="s">
        <v>190</v>
      </c>
      <c r="C1015" s="96" t="s">
        <v>1099</v>
      </c>
      <c r="D1015" s="96" t="s">
        <v>10</v>
      </c>
      <c r="E1015" s="43">
        <v>45856</v>
      </c>
      <c r="F1015" s="43">
        <v>45896</v>
      </c>
      <c r="G1015" s="96" t="s">
        <v>92</v>
      </c>
      <c r="H1015" s="96" t="s">
        <v>4500</v>
      </c>
      <c r="I1015" s="96" t="s">
        <v>225</v>
      </c>
      <c r="J1015" s="96" t="s">
        <v>216</v>
      </c>
      <c r="K1015" s="96" t="s">
        <v>195</v>
      </c>
      <c r="L1015">
        <v>40</v>
      </c>
      <c r="M1015" t="s">
        <v>24</v>
      </c>
      <c r="N1015" t="s">
        <v>187</v>
      </c>
      <c r="O1015" t="s">
        <v>150</v>
      </c>
      <c r="P1015">
        <v>2025</v>
      </c>
    </row>
    <row r="1016" spans="1:16" hidden="1" x14ac:dyDescent="0.25">
      <c r="A1016" s="96" t="s">
        <v>2</v>
      </c>
      <c r="B1016" s="96" t="s">
        <v>247</v>
      </c>
      <c r="C1016" s="96" t="s">
        <v>4501</v>
      </c>
      <c r="D1016" s="96" t="s">
        <v>192</v>
      </c>
      <c r="E1016" s="43">
        <v>45843</v>
      </c>
      <c r="F1016" s="43">
        <v>45922</v>
      </c>
      <c r="G1016" s="96" t="s">
        <v>92</v>
      </c>
      <c r="H1016" s="96" t="s">
        <v>4502</v>
      </c>
      <c r="I1016" s="96" t="s">
        <v>228</v>
      </c>
      <c r="J1016" s="96" t="s">
        <v>177</v>
      </c>
      <c r="K1016" s="96" t="s">
        <v>246</v>
      </c>
      <c r="L1016">
        <v>79</v>
      </c>
      <c r="M1016" t="s">
        <v>28</v>
      </c>
      <c r="N1016" t="s">
        <v>187</v>
      </c>
      <c r="O1016" t="s">
        <v>150</v>
      </c>
      <c r="P1016">
        <v>2025</v>
      </c>
    </row>
    <row r="1017" spans="1:16" hidden="1" x14ac:dyDescent="0.25">
      <c r="A1017" s="96" t="s">
        <v>2</v>
      </c>
      <c r="B1017" s="96" t="s">
        <v>257</v>
      </c>
      <c r="C1017" s="96" t="s">
        <v>4503</v>
      </c>
      <c r="D1017" s="96" t="s">
        <v>14</v>
      </c>
      <c r="E1017" s="43">
        <v>45701</v>
      </c>
      <c r="F1017" s="43">
        <v>45757</v>
      </c>
      <c r="G1017" s="96" t="s">
        <v>92</v>
      </c>
      <c r="H1017" s="96" t="s">
        <v>1066</v>
      </c>
      <c r="I1017" s="96" t="s">
        <v>204</v>
      </c>
      <c r="J1017" s="96" t="s">
        <v>174</v>
      </c>
      <c r="K1017" s="96" t="s">
        <v>230</v>
      </c>
      <c r="L1017">
        <v>56</v>
      </c>
      <c r="M1017" t="s">
        <v>24</v>
      </c>
      <c r="N1017" t="s">
        <v>188</v>
      </c>
      <c r="O1017" t="s">
        <v>151</v>
      </c>
      <c r="P1017">
        <v>2025</v>
      </c>
    </row>
    <row r="1018" spans="1:16" x14ac:dyDescent="0.25">
      <c r="A1018" s="96" t="s">
        <v>2</v>
      </c>
      <c r="B1018" s="96" t="s">
        <v>305</v>
      </c>
      <c r="C1018" s="96" t="s">
        <v>1100</v>
      </c>
      <c r="D1018" s="96" t="s">
        <v>10</v>
      </c>
      <c r="E1018" s="43">
        <v>46063</v>
      </c>
      <c r="F1018" s="43">
        <v>46146</v>
      </c>
      <c r="G1018" s="96" t="s">
        <v>90</v>
      </c>
      <c r="H1018" s="96" t="s">
        <v>1068</v>
      </c>
      <c r="I1018" s="96" t="s">
        <v>9</v>
      </c>
      <c r="J1018" s="96" t="s">
        <v>172</v>
      </c>
      <c r="K1018" s="96" t="s">
        <v>200</v>
      </c>
      <c r="L1018">
        <v>83</v>
      </c>
      <c r="M1018" t="s">
        <v>28</v>
      </c>
      <c r="N1018" t="s">
        <v>32</v>
      </c>
      <c r="O1018" t="s">
        <v>170</v>
      </c>
      <c r="P1018">
        <v>2026</v>
      </c>
    </row>
    <row r="1019" spans="1:16" x14ac:dyDescent="0.25">
      <c r="A1019" s="96" t="s">
        <v>2</v>
      </c>
      <c r="B1019" s="96" t="s">
        <v>261</v>
      </c>
      <c r="C1019" s="96" t="s">
        <v>1102</v>
      </c>
      <c r="D1019" s="96" t="s">
        <v>223</v>
      </c>
      <c r="E1019" s="43">
        <v>46126</v>
      </c>
      <c r="F1019" s="43">
        <v>46147</v>
      </c>
      <c r="G1019" s="96" t="s">
        <v>90</v>
      </c>
      <c r="H1019" s="96" t="s">
        <v>1070</v>
      </c>
      <c r="I1019" s="96" t="s">
        <v>194</v>
      </c>
      <c r="J1019" s="96" t="s">
        <v>97</v>
      </c>
      <c r="K1019" s="96" t="s">
        <v>200</v>
      </c>
      <c r="L1019">
        <v>21</v>
      </c>
      <c r="M1019" t="s">
        <v>19</v>
      </c>
      <c r="N1019" t="s">
        <v>37</v>
      </c>
      <c r="O1019" t="s">
        <v>151</v>
      </c>
      <c r="P1019">
        <v>2026</v>
      </c>
    </row>
    <row r="1020" spans="1:16" hidden="1" x14ac:dyDescent="0.25">
      <c r="A1020" s="96" t="s">
        <v>2</v>
      </c>
      <c r="B1020" s="96" t="s">
        <v>221</v>
      </c>
      <c r="C1020" s="96" t="s">
        <v>1103</v>
      </c>
      <c r="D1020" s="96" t="s">
        <v>203</v>
      </c>
      <c r="E1020" s="43">
        <v>45718</v>
      </c>
      <c r="F1020" s="43">
        <v>45821</v>
      </c>
      <c r="G1020" s="96" t="s">
        <v>92</v>
      </c>
      <c r="H1020" s="96" t="s">
        <v>4504</v>
      </c>
      <c r="I1020" s="96" t="s">
        <v>225</v>
      </c>
      <c r="J1020" s="96" t="s">
        <v>199</v>
      </c>
      <c r="K1020" s="96" t="s">
        <v>246</v>
      </c>
      <c r="L1020">
        <v>103</v>
      </c>
      <c r="M1020" t="s">
        <v>28</v>
      </c>
      <c r="N1020" t="s">
        <v>186</v>
      </c>
      <c r="O1020" t="s">
        <v>170</v>
      </c>
      <c r="P1020">
        <v>2025</v>
      </c>
    </row>
    <row r="1021" spans="1:16" hidden="1" x14ac:dyDescent="0.25">
      <c r="A1021" s="96" t="s">
        <v>2</v>
      </c>
      <c r="B1021" s="96" t="s">
        <v>247</v>
      </c>
      <c r="C1021" s="96" t="s">
        <v>1104</v>
      </c>
      <c r="D1021" s="96" t="s">
        <v>223</v>
      </c>
      <c r="E1021" s="43">
        <v>45704</v>
      </c>
      <c r="F1021" s="43">
        <v>45767</v>
      </c>
      <c r="G1021" s="96" t="s">
        <v>92</v>
      </c>
      <c r="H1021" s="96" t="s">
        <v>4505</v>
      </c>
      <c r="I1021" s="96" t="s">
        <v>194</v>
      </c>
      <c r="J1021" s="96" t="s">
        <v>199</v>
      </c>
      <c r="K1021" s="96" t="s">
        <v>210</v>
      </c>
      <c r="L1021">
        <v>63</v>
      </c>
      <c r="M1021" t="s">
        <v>28</v>
      </c>
      <c r="N1021" t="s">
        <v>188</v>
      </c>
      <c r="O1021" t="s">
        <v>150</v>
      </c>
      <c r="P1021">
        <v>2025</v>
      </c>
    </row>
    <row r="1022" spans="1:16" hidden="1" x14ac:dyDescent="0.25">
      <c r="A1022" s="96" t="s">
        <v>2</v>
      </c>
      <c r="B1022" s="96" t="s">
        <v>251</v>
      </c>
      <c r="C1022" s="96" t="s">
        <v>1106</v>
      </c>
      <c r="D1022" s="96" t="s">
        <v>14</v>
      </c>
      <c r="E1022" s="43">
        <v>45713</v>
      </c>
      <c r="F1022" s="43">
        <v>45757</v>
      </c>
      <c r="G1022" s="96" t="s">
        <v>92</v>
      </c>
      <c r="H1022" s="96" t="s">
        <v>1072</v>
      </c>
      <c r="I1022" s="96" t="s">
        <v>225</v>
      </c>
      <c r="J1022" s="96" t="s">
        <v>177</v>
      </c>
      <c r="K1022" s="96" t="s">
        <v>246</v>
      </c>
      <c r="L1022">
        <v>44</v>
      </c>
      <c r="M1022" t="s">
        <v>24</v>
      </c>
      <c r="N1022" t="s">
        <v>188</v>
      </c>
      <c r="O1022" t="s">
        <v>170</v>
      </c>
      <c r="P1022">
        <v>2025</v>
      </c>
    </row>
    <row r="1023" spans="1:16" hidden="1" x14ac:dyDescent="0.25">
      <c r="A1023" s="96" t="s">
        <v>2</v>
      </c>
      <c r="B1023" s="96" t="s">
        <v>213</v>
      </c>
      <c r="C1023" s="96" t="s">
        <v>1108</v>
      </c>
      <c r="D1023" s="96" t="s">
        <v>40</v>
      </c>
      <c r="E1023" s="43">
        <v>45828</v>
      </c>
      <c r="F1023" s="43">
        <v>45839</v>
      </c>
      <c r="G1023" s="96" t="s">
        <v>92</v>
      </c>
      <c r="H1023" s="96" t="s">
        <v>4506</v>
      </c>
      <c r="I1023" s="96" t="s">
        <v>225</v>
      </c>
      <c r="J1023" s="96" t="s">
        <v>176</v>
      </c>
      <c r="K1023" s="96" t="s">
        <v>210</v>
      </c>
      <c r="L1023">
        <v>11</v>
      </c>
      <c r="M1023" t="s">
        <v>15</v>
      </c>
      <c r="N1023" t="s">
        <v>184</v>
      </c>
      <c r="O1023" t="s">
        <v>149</v>
      </c>
      <c r="P1023">
        <v>2025</v>
      </c>
    </row>
    <row r="1024" spans="1:16" hidden="1" x14ac:dyDescent="0.25">
      <c r="A1024" s="96" t="s">
        <v>2</v>
      </c>
      <c r="B1024" s="96" t="s">
        <v>221</v>
      </c>
      <c r="C1024" s="96" t="s">
        <v>4507</v>
      </c>
      <c r="D1024" s="96" t="s">
        <v>34</v>
      </c>
      <c r="E1024" s="43">
        <v>45762</v>
      </c>
      <c r="F1024" s="43">
        <v>45778</v>
      </c>
      <c r="G1024" s="96" t="s">
        <v>95</v>
      </c>
      <c r="H1024" s="96" t="s">
        <v>1075</v>
      </c>
      <c r="I1024" s="96" t="s">
        <v>157</v>
      </c>
      <c r="J1024" s="96" t="s">
        <v>93</v>
      </c>
      <c r="K1024" s="96" t="s">
        <v>230</v>
      </c>
      <c r="L1024">
        <v>16</v>
      </c>
      <c r="M1024" t="s">
        <v>19</v>
      </c>
      <c r="N1024" t="s">
        <v>185</v>
      </c>
      <c r="O1024" t="s">
        <v>170</v>
      </c>
      <c r="P1024">
        <v>2025</v>
      </c>
    </row>
    <row r="1025" spans="1:16" x14ac:dyDescent="0.25">
      <c r="A1025" s="96" t="s">
        <v>2</v>
      </c>
      <c r="B1025" s="96" t="s">
        <v>290</v>
      </c>
      <c r="C1025" s="96" t="s">
        <v>4508</v>
      </c>
      <c r="D1025" s="96" t="s">
        <v>10</v>
      </c>
      <c r="E1025" s="43">
        <v>46123</v>
      </c>
      <c r="F1025" s="43">
        <v>46150</v>
      </c>
      <c r="G1025" s="96" t="s">
        <v>92</v>
      </c>
      <c r="H1025" s="96" t="s">
        <v>4509</v>
      </c>
      <c r="I1025" s="96" t="s">
        <v>9</v>
      </c>
      <c r="J1025" s="96" t="s">
        <v>177</v>
      </c>
      <c r="K1025" s="96" t="s">
        <v>230</v>
      </c>
      <c r="L1025">
        <v>27</v>
      </c>
      <c r="M1025" t="s">
        <v>19</v>
      </c>
      <c r="N1025" t="s">
        <v>37</v>
      </c>
      <c r="O1025" t="s">
        <v>149</v>
      </c>
      <c r="P1025">
        <v>2026</v>
      </c>
    </row>
    <row r="1026" spans="1:16" hidden="1" x14ac:dyDescent="0.25">
      <c r="A1026" s="96" t="s">
        <v>2</v>
      </c>
      <c r="B1026" s="96" t="s">
        <v>264</v>
      </c>
      <c r="C1026" s="96" t="s">
        <v>1111</v>
      </c>
      <c r="D1026" s="96" t="s">
        <v>10</v>
      </c>
      <c r="E1026" s="43">
        <v>45875</v>
      </c>
      <c r="F1026" s="43">
        <v>45888</v>
      </c>
      <c r="G1026" s="96" t="s">
        <v>92</v>
      </c>
      <c r="H1026" s="96" t="s">
        <v>4510</v>
      </c>
      <c r="I1026" s="96" t="s">
        <v>194</v>
      </c>
      <c r="J1026" s="96" t="s">
        <v>216</v>
      </c>
      <c r="K1026" s="96" t="s">
        <v>246</v>
      </c>
      <c r="L1026">
        <v>13</v>
      </c>
      <c r="M1026" t="s">
        <v>15</v>
      </c>
      <c r="N1026" t="s">
        <v>8</v>
      </c>
      <c r="O1026" t="s">
        <v>152</v>
      </c>
      <c r="P1026">
        <v>2025</v>
      </c>
    </row>
    <row r="1027" spans="1:16" hidden="1" x14ac:dyDescent="0.25">
      <c r="A1027" s="96" t="s">
        <v>175</v>
      </c>
      <c r="B1027" s="96" t="s">
        <v>213</v>
      </c>
      <c r="C1027" s="96" t="s">
        <v>1113</v>
      </c>
      <c r="D1027" s="96" t="s">
        <v>10</v>
      </c>
      <c r="E1027" s="43">
        <v>45999</v>
      </c>
      <c r="F1027" s="43">
        <v>46090</v>
      </c>
      <c r="G1027" s="96" t="s">
        <v>92</v>
      </c>
      <c r="H1027" s="96" t="s">
        <v>4511</v>
      </c>
      <c r="I1027" s="96" t="s">
        <v>157</v>
      </c>
      <c r="J1027" s="96" t="s">
        <v>96</v>
      </c>
      <c r="K1027" s="96" t="s">
        <v>246</v>
      </c>
      <c r="L1027">
        <v>91</v>
      </c>
      <c r="M1027" t="s">
        <v>28</v>
      </c>
      <c r="N1027" t="s">
        <v>25</v>
      </c>
      <c r="O1027" t="s">
        <v>149</v>
      </c>
      <c r="P1027">
        <v>2025</v>
      </c>
    </row>
    <row r="1028" spans="1:16" x14ac:dyDescent="0.25">
      <c r="A1028" s="96" t="s">
        <v>2</v>
      </c>
      <c r="B1028" s="96" t="s">
        <v>274</v>
      </c>
      <c r="C1028" s="96" t="s">
        <v>4512</v>
      </c>
      <c r="D1028" s="96" t="s">
        <v>192</v>
      </c>
      <c r="E1028" s="43">
        <v>46124</v>
      </c>
      <c r="F1028" s="43">
        <v>46147</v>
      </c>
      <c r="G1028" s="96" t="s">
        <v>90</v>
      </c>
      <c r="H1028" s="96" t="s">
        <v>4513</v>
      </c>
      <c r="I1028" s="96" t="s">
        <v>194</v>
      </c>
      <c r="J1028" s="96" t="s">
        <v>199</v>
      </c>
      <c r="K1028" s="96" t="s">
        <v>217</v>
      </c>
      <c r="L1028">
        <v>23</v>
      </c>
      <c r="M1028" t="s">
        <v>19</v>
      </c>
      <c r="N1028" t="s">
        <v>37</v>
      </c>
      <c r="O1028" t="s">
        <v>170</v>
      </c>
      <c r="P1028">
        <v>2026</v>
      </c>
    </row>
    <row r="1029" spans="1:16" hidden="1" x14ac:dyDescent="0.25">
      <c r="A1029" s="96" t="s">
        <v>2</v>
      </c>
      <c r="B1029" s="96" t="s">
        <v>206</v>
      </c>
      <c r="C1029" s="96" t="s">
        <v>4514</v>
      </c>
      <c r="D1029" s="96" t="s">
        <v>215</v>
      </c>
      <c r="E1029" s="43">
        <v>45942</v>
      </c>
      <c r="F1029" s="43">
        <v>46038</v>
      </c>
      <c r="G1029" s="96" t="s">
        <v>92</v>
      </c>
      <c r="H1029" s="96" t="s">
        <v>4515</v>
      </c>
      <c r="I1029" s="96" t="s">
        <v>194</v>
      </c>
      <c r="J1029" s="96" t="s">
        <v>96</v>
      </c>
      <c r="K1029" s="96" t="s">
        <v>195</v>
      </c>
      <c r="L1029">
        <v>96</v>
      </c>
      <c r="M1029" t="s">
        <v>28</v>
      </c>
      <c r="N1029" t="s">
        <v>16</v>
      </c>
      <c r="O1029" t="s">
        <v>152</v>
      </c>
      <c r="P1029">
        <v>2025</v>
      </c>
    </row>
    <row r="1030" spans="1:16" hidden="1" x14ac:dyDescent="0.25">
      <c r="A1030" s="96" t="s">
        <v>175</v>
      </c>
      <c r="B1030" s="96" t="s">
        <v>190</v>
      </c>
      <c r="C1030" s="96" t="s">
        <v>1114</v>
      </c>
      <c r="D1030" s="96" t="s">
        <v>215</v>
      </c>
      <c r="E1030" s="43">
        <v>45950</v>
      </c>
      <c r="F1030" s="43">
        <v>45985</v>
      </c>
      <c r="G1030" s="96" t="s">
        <v>90</v>
      </c>
      <c r="H1030" s="96" t="s">
        <v>4516</v>
      </c>
      <c r="I1030" s="96" t="s">
        <v>209</v>
      </c>
      <c r="J1030" s="96" t="s">
        <v>169</v>
      </c>
      <c r="K1030" s="96" t="s">
        <v>230</v>
      </c>
      <c r="L1030">
        <v>35</v>
      </c>
      <c r="M1030" t="s">
        <v>24</v>
      </c>
      <c r="N1030" t="s">
        <v>16</v>
      </c>
      <c r="O1030" t="s">
        <v>150</v>
      </c>
      <c r="P1030">
        <v>2025</v>
      </c>
    </row>
    <row r="1031" spans="1:16" hidden="1" x14ac:dyDescent="0.25">
      <c r="A1031" s="96" t="s">
        <v>2</v>
      </c>
      <c r="B1031" s="96" t="s">
        <v>257</v>
      </c>
      <c r="C1031" s="96" t="s">
        <v>1115</v>
      </c>
      <c r="D1031" s="96" t="s">
        <v>237</v>
      </c>
      <c r="E1031" s="43">
        <v>45716</v>
      </c>
      <c r="F1031" s="43">
        <v>45795</v>
      </c>
      <c r="G1031" s="96" t="s">
        <v>90</v>
      </c>
      <c r="H1031" s="96" t="s">
        <v>4517</v>
      </c>
      <c r="I1031" s="96" t="s">
        <v>157</v>
      </c>
      <c r="J1031" s="96" t="s">
        <v>173</v>
      </c>
      <c r="K1031" s="96" t="s">
        <v>195</v>
      </c>
      <c r="L1031">
        <v>79</v>
      </c>
      <c r="M1031" t="s">
        <v>28</v>
      </c>
      <c r="N1031" t="s">
        <v>188</v>
      </c>
      <c r="O1031" t="s">
        <v>151</v>
      </c>
      <c r="P1031">
        <v>2025</v>
      </c>
    </row>
    <row r="1032" spans="1:16" hidden="1" x14ac:dyDescent="0.25">
      <c r="A1032" s="96" t="s">
        <v>175</v>
      </c>
      <c r="B1032" s="96" t="s">
        <v>221</v>
      </c>
      <c r="C1032" s="96" t="s">
        <v>1118</v>
      </c>
      <c r="D1032" s="96" t="s">
        <v>40</v>
      </c>
      <c r="E1032" s="43">
        <v>45806</v>
      </c>
      <c r="F1032" s="43">
        <v>45925</v>
      </c>
      <c r="G1032" s="96" t="s">
        <v>90</v>
      </c>
      <c r="H1032" s="96" t="s">
        <v>4518</v>
      </c>
      <c r="I1032" s="96" t="s">
        <v>204</v>
      </c>
      <c r="J1032" s="96" t="s">
        <v>98</v>
      </c>
      <c r="K1032" s="96" t="s">
        <v>210</v>
      </c>
      <c r="L1032">
        <v>119</v>
      </c>
      <c r="M1032" t="s">
        <v>28</v>
      </c>
      <c r="N1032" t="s">
        <v>182</v>
      </c>
      <c r="O1032" t="s">
        <v>170</v>
      </c>
      <c r="P1032">
        <v>2025</v>
      </c>
    </row>
    <row r="1033" spans="1:16" hidden="1" x14ac:dyDescent="0.25">
      <c r="A1033" s="96" t="s">
        <v>2</v>
      </c>
      <c r="B1033" s="96" t="s">
        <v>213</v>
      </c>
      <c r="C1033" s="96" t="s">
        <v>1119</v>
      </c>
      <c r="D1033" s="96" t="s">
        <v>14</v>
      </c>
      <c r="E1033" s="43">
        <v>45689</v>
      </c>
      <c r="F1033" s="43">
        <v>45793</v>
      </c>
      <c r="G1033" s="96" t="s">
        <v>92</v>
      </c>
      <c r="H1033" s="96" t="s">
        <v>4519</v>
      </c>
      <c r="I1033" s="96" t="s">
        <v>157</v>
      </c>
      <c r="J1033" s="96" t="s">
        <v>229</v>
      </c>
      <c r="K1033" s="96" t="s">
        <v>205</v>
      </c>
      <c r="L1033">
        <v>104</v>
      </c>
      <c r="M1033" t="s">
        <v>28</v>
      </c>
      <c r="N1033" t="s">
        <v>188</v>
      </c>
      <c r="O1033" t="s">
        <v>149</v>
      </c>
      <c r="P1033">
        <v>2025</v>
      </c>
    </row>
    <row r="1034" spans="1:16" hidden="1" x14ac:dyDescent="0.25">
      <c r="A1034" s="96" t="s">
        <v>2</v>
      </c>
      <c r="B1034" s="96" t="s">
        <v>280</v>
      </c>
      <c r="C1034" s="96" t="s">
        <v>1120</v>
      </c>
      <c r="D1034" s="96" t="s">
        <v>203</v>
      </c>
      <c r="E1034" s="43">
        <v>45701</v>
      </c>
      <c r="F1034" s="43">
        <v>45740</v>
      </c>
      <c r="G1034" s="96" t="s">
        <v>90</v>
      </c>
      <c r="H1034" s="96" t="s">
        <v>4520</v>
      </c>
      <c r="I1034" s="96" t="s">
        <v>194</v>
      </c>
      <c r="J1034" s="96" t="s">
        <v>168</v>
      </c>
      <c r="K1034" s="96" t="s">
        <v>210</v>
      </c>
      <c r="L1034">
        <v>39</v>
      </c>
      <c r="M1034" t="s">
        <v>24</v>
      </c>
      <c r="N1034" t="s">
        <v>188</v>
      </c>
      <c r="O1034" t="s">
        <v>170</v>
      </c>
      <c r="P1034">
        <v>2025</v>
      </c>
    </row>
    <row r="1035" spans="1:16" hidden="1" x14ac:dyDescent="0.25">
      <c r="A1035" s="96" t="s">
        <v>2</v>
      </c>
      <c r="B1035" s="96" t="s">
        <v>231</v>
      </c>
      <c r="C1035" s="96" t="s">
        <v>1121</v>
      </c>
      <c r="D1035" s="96" t="s">
        <v>10</v>
      </c>
      <c r="E1035" s="43">
        <v>45874</v>
      </c>
      <c r="F1035" s="43">
        <v>45946</v>
      </c>
      <c r="G1035" s="96" t="s">
        <v>90</v>
      </c>
      <c r="H1035" s="96" t="s">
        <v>4521</v>
      </c>
      <c r="I1035" s="96" t="s">
        <v>204</v>
      </c>
      <c r="J1035" s="96" t="s">
        <v>177</v>
      </c>
      <c r="K1035" s="96" t="s">
        <v>200</v>
      </c>
      <c r="L1035">
        <v>72</v>
      </c>
      <c r="M1035" t="s">
        <v>28</v>
      </c>
      <c r="N1035" t="s">
        <v>8</v>
      </c>
      <c r="O1035" t="s">
        <v>170</v>
      </c>
      <c r="P1035">
        <v>2025</v>
      </c>
    </row>
    <row r="1036" spans="1:16" hidden="1" x14ac:dyDescent="0.25">
      <c r="A1036" s="96" t="s">
        <v>2</v>
      </c>
      <c r="B1036" s="96" t="s">
        <v>272</v>
      </c>
      <c r="C1036" s="96" t="s">
        <v>1122</v>
      </c>
      <c r="D1036" s="96" t="s">
        <v>34</v>
      </c>
      <c r="E1036" s="43">
        <v>45828</v>
      </c>
      <c r="F1036" s="43">
        <v>45921</v>
      </c>
      <c r="G1036" s="96" t="s">
        <v>95</v>
      </c>
      <c r="H1036" s="96" t="s">
        <v>4522</v>
      </c>
      <c r="I1036" s="96" t="s">
        <v>204</v>
      </c>
      <c r="J1036" s="96" t="s">
        <v>177</v>
      </c>
      <c r="K1036" s="96" t="s">
        <v>217</v>
      </c>
      <c r="L1036">
        <v>93</v>
      </c>
      <c r="M1036" t="s">
        <v>28</v>
      </c>
      <c r="N1036" t="s">
        <v>184</v>
      </c>
      <c r="O1036" t="s">
        <v>151</v>
      </c>
      <c r="P1036">
        <v>2025</v>
      </c>
    </row>
    <row r="1037" spans="1:16" hidden="1" x14ac:dyDescent="0.25">
      <c r="A1037" s="96" t="s">
        <v>2</v>
      </c>
      <c r="B1037" s="96" t="s">
        <v>280</v>
      </c>
      <c r="C1037" s="96" t="s">
        <v>1124</v>
      </c>
      <c r="D1037" s="96" t="s">
        <v>10</v>
      </c>
      <c r="E1037" s="43">
        <v>45802</v>
      </c>
      <c r="F1037" s="43">
        <v>45909</v>
      </c>
      <c r="G1037" s="96" t="s">
        <v>92</v>
      </c>
      <c r="H1037" s="96" t="s">
        <v>4523</v>
      </c>
      <c r="I1037" s="96" t="s">
        <v>204</v>
      </c>
      <c r="J1037" s="96" t="s">
        <v>93</v>
      </c>
      <c r="K1037" s="96" t="s">
        <v>157</v>
      </c>
      <c r="L1037">
        <v>107</v>
      </c>
      <c r="M1037" t="s">
        <v>28</v>
      </c>
      <c r="N1037" t="s">
        <v>182</v>
      </c>
      <c r="O1037" t="s">
        <v>170</v>
      </c>
      <c r="P1037">
        <v>2025</v>
      </c>
    </row>
    <row r="1038" spans="1:16" hidden="1" x14ac:dyDescent="0.25">
      <c r="A1038" s="96" t="s">
        <v>2</v>
      </c>
      <c r="B1038" s="96" t="s">
        <v>211</v>
      </c>
      <c r="C1038" s="96" t="s">
        <v>4524</v>
      </c>
      <c r="D1038" s="96" t="s">
        <v>223</v>
      </c>
      <c r="E1038" s="43">
        <v>45691</v>
      </c>
      <c r="F1038" s="43">
        <v>45748</v>
      </c>
      <c r="G1038" s="96" t="s">
        <v>92</v>
      </c>
      <c r="H1038" s="96" t="s">
        <v>4525</v>
      </c>
      <c r="I1038" s="96" t="s">
        <v>228</v>
      </c>
      <c r="J1038" s="96" t="s">
        <v>94</v>
      </c>
      <c r="K1038" s="96" t="s">
        <v>217</v>
      </c>
      <c r="L1038">
        <v>57</v>
      </c>
      <c r="M1038" t="s">
        <v>24</v>
      </c>
      <c r="N1038" t="s">
        <v>188</v>
      </c>
      <c r="O1038" t="s">
        <v>170</v>
      </c>
      <c r="P1038">
        <v>2025</v>
      </c>
    </row>
    <row r="1039" spans="1:16" hidden="1" x14ac:dyDescent="0.25">
      <c r="A1039" s="96" t="s">
        <v>21</v>
      </c>
      <c r="B1039" s="96" t="s">
        <v>255</v>
      </c>
      <c r="C1039" s="96" t="s">
        <v>4526</v>
      </c>
      <c r="D1039" s="96" t="s">
        <v>34</v>
      </c>
      <c r="E1039" s="43">
        <v>46016</v>
      </c>
      <c r="F1039" s="43">
        <v>46019</v>
      </c>
      <c r="G1039" s="96" t="s">
        <v>92</v>
      </c>
      <c r="H1039" s="96" t="s">
        <v>1089</v>
      </c>
      <c r="I1039" s="96" t="s">
        <v>204</v>
      </c>
      <c r="J1039" s="96" t="s">
        <v>199</v>
      </c>
      <c r="K1039" s="96" t="s">
        <v>233</v>
      </c>
      <c r="L1039">
        <v>3</v>
      </c>
      <c r="M1039" t="s">
        <v>11</v>
      </c>
      <c r="N1039" t="s">
        <v>25</v>
      </c>
      <c r="O1039" t="s">
        <v>150</v>
      </c>
      <c r="P1039">
        <v>2025</v>
      </c>
    </row>
    <row r="1040" spans="1:16" hidden="1" x14ac:dyDescent="0.25">
      <c r="A1040" s="96" t="s">
        <v>2</v>
      </c>
      <c r="B1040" s="96" t="s">
        <v>255</v>
      </c>
      <c r="C1040" s="96" t="s">
        <v>1126</v>
      </c>
      <c r="D1040" s="96" t="s">
        <v>14</v>
      </c>
      <c r="E1040" s="43">
        <v>45990</v>
      </c>
      <c r="F1040" s="43">
        <v>45995</v>
      </c>
      <c r="G1040" s="96" t="s">
        <v>90</v>
      </c>
      <c r="H1040" s="96" t="s">
        <v>1090</v>
      </c>
      <c r="I1040" s="96" t="s">
        <v>194</v>
      </c>
      <c r="J1040" s="96" t="s">
        <v>216</v>
      </c>
      <c r="K1040" s="96" t="s">
        <v>233</v>
      </c>
      <c r="L1040">
        <v>5</v>
      </c>
      <c r="M1040" t="s">
        <v>11</v>
      </c>
      <c r="N1040" t="s">
        <v>20</v>
      </c>
      <c r="O1040" t="s">
        <v>150</v>
      </c>
      <c r="P1040">
        <v>2025</v>
      </c>
    </row>
    <row r="1041" spans="1:16" x14ac:dyDescent="0.25">
      <c r="A1041" s="96" t="s">
        <v>2</v>
      </c>
      <c r="B1041" s="96" t="s">
        <v>269</v>
      </c>
      <c r="C1041" s="96" t="s">
        <v>1127</v>
      </c>
      <c r="D1041" s="96" t="s">
        <v>203</v>
      </c>
      <c r="E1041" s="43">
        <v>46055</v>
      </c>
      <c r="F1041" s="43">
        <v>46145</v>
      </c>
      <c r="G1041" s="96" t="s">
        <v>90</v>
      </c>
      <c r="H1041" s="96" t="s">
        <v>4527</v>
      </c>
      <c r="I1041" s="96" t="s">
        <v>228</v>
      </c>
      <c r="J1041" s="96" t="s">
        <v>172</v>
      </c>
      <c r="K1041" s="96" t="s">
        <v>217</v>
      </c>
      <c r="L1041">
        <v>90</v>
      </c>
      <c r="M1041" t="s">
        <v>28</v>
      </c>
      <c r="N1041" t="s">
        <v>32</v>
      </c>
      <c r="O1041" t="s">
        <v>152</v>
      </c>
      <c r="P1041">
        <v>2026</v>
      </c>
    </row>
    <row r="1042" spans="1:16" hidden="1" x14ac:dyDescent="0.25">
      <c r="A1042" s="96" t="s">
        <v>2</v>
      </c>
      <c r="B1042" s="96" t="s">
        <v>213</v>
      </c>
      <c r="C1042" s="96" t="s">
        <v>1128</v>
      </c>
      <c r="D1042" s="96" t="s">
        <v>215</v>
      </c>
      <c r="E1042" s="43">
        <v>45940</v>
      </c>
      <c r="F1042" s="43">
        <v>45959</v>
      </c>
      <c r="G1042" s="96" t="s">
        <v>92</v>
      </c>
      <c r="H1042" s="96" t="s">
        <v>4528</v>
      </c>
      <c r="I1042" s="96" t="s">
        <v>157</v>
      </c>
      <c r="J1042" s="96" t="s">
        <v>174</v>
      </c>
      <c r="K1042" s="96" t="s">
        <v>210</v>
      </c>
      <c r="L1042">
        <v>19</v>
      </c>
      <c r="M1042" t="s">
        <v>19</v>
      </c>
      <c r="N1042" t="s">
        <v>16</v>
      </c>
      <c r="O1042" t="s">
        <v>149</v>
      </c>
      <c r="P1042">
        <v>2025</v>
      </c>
    </row>
    <row r="1043" spans="1:16" x14ac:dyDescent="0.25">
      <c r="A1043" s="96" t="s">
        <v>2</v>
      </c>
      <c r="B1043" s="96" t="s">
        <v>226</v>
      </c>
      <c r="C1043" s="96" t="s">
        <v>1129</v>
      </c>
      <c r="D1043" s="96" t="s">
        <v>40</v>
      </c>
      <c r="E1043" s="43">
        <v>46119</v>
      </c>
      <c r="F1043" s="43">
        <v>46147</v>
      </c>
      <c r="G1043" s="96" t="s">
        <v>92</v>
      </c>
      <c r="H1043" s="96" t="s">
        <v>1093</v>
      </c>
      <c r="I1043" s="96" t="s">
        <v>228</v>
      </c>
      <c r="J1043" s="96" t="s">
        <v>176</v>
      </c>
      <c r="K1043" s="96" t="s">
        <v>230</v>
      </c>
      <c r="L1043">
        <v>28</v>
      </c>
      <c r="M1043" t="s">
        <v>19</v>
      </c>
      <c r="N1043" t="s">
        <v>37</v>
      </c>
      <c r="O1043" t="s">
        <v>151</v>
      </c>
      <c r="P1043">
        <v>2026</v>
      </c>
    </row>
    <row r="1044" spans="1:16" hidden="1" x14ac:dyDescent="0.25">
      <c r="A1044" s="96" t="s">
        <v>2</v>
      </c>
      <c r="B1044" s="96" t="s">
        <v>253</v>
      </c>
      <c r="C1044" s="96" t="s">
        <v>1130</v>
      </c>
      <c r="D1044" s="96" t="s">
        <v>14</v>
      </c>
      <c r="E1044" s="43">
        <v>45704</v>
      </c>
      <c r="F1044" s="43">
        <v>45746</v>
      </c>
      <c r="G1044" s="96" t="s">
        <v>92</v>
      </c>
      <c r="H1044" s="96" t="s">
        <v>4529</v>
      </c>
      <c r="I1044" s="96" t="s">
        <v>9</v>
      </c>
      <c r="J1044" s="96" t="s">
        <v>173</v>
      </c>
      <c r="K1044" s="96" t="s">
        <v>210</v>
      </c>
      <c r="L1044">
        <v>42</v>
      </c>
      <c r="M1044" t="s">
        <v>24</v>
      </c>
      <c r="N1044" t="s">
        <v>188</v>
      </c>
      <c r="O1044" t="s">
        <v>152</v>
      </c>
      <c r="P1044">
        <v>2025</v>
      </c>
    </row>
    <row r="1045" spans="1:16" hidden="1" x14ac:dyDescent="0.25">
      <c r="A1045" s="96" t="s">
        <v>2</v>
      </c>
      <c r="B1045" s="96" t="s">
        <v>322</v>
      </c>
      <c r="C1045" s="96" t="s">
        <v>4530</v>
      </c>
      <c r="D1045" s="96" t="s">
        <v>237</v>
      </c>
      <c r="E1045" s="43">
        <v>46021</v>
      </c>
      <c r="F1045" s="43">
        <v>46104</v>
      </c>
      <c r="G1045" s="96" t="s">
        <v>92</v>
      </c>
      <c r="H1045" s="96" t="s">
        <v>4531</v>
      </c>
      <c r="I1045" s="96" t="s">
        <v>194</v>
      </c>
      <c r="J1045" s="96" t="s">
        <v>172</v>
      </c>
      <c r="K1045" s="96" t="s">
        <v>195</v>
      </c>
      <c r="L1045">
        <v>83</v>
      </c>
      <c r="M1045" t="s">
        <v>28</v>
      </c>
      <c r="N1045" t="s">
        <v>25</v>
      </c>
      <c r="O1045" t="s">
        <v>150</v>
      </c>
      <c r="P1045">
        <v>2025</v>
      </c>
    </row>
    <row r="1046" spans="1:16" x14ac:dyDescent="0.25">
      <c r="A1046" s="96" t="s">
        <v>2</v>
      </c>
      <c r="B1046" s="96" t="s">
        <v>274</v>
      </c>
      <c r="C1046" s="96" t="s">
        <v>1131</v>
      </c>
      <c r="D1046" s="96" t="s">
        <v>40</v>
      </c>
      <c r="E1046" s="43">
        <v>46093</v>
      </c>
      <c r="F1046" s="43">
        <v>46146</v>
      </c>
      <c r="G1046" s="96" t="s">
        <v>92</v>
      </c>
      <c r="H1046" s="96" t="s">
        <v>4532</v>
      </c>
      <c r="I1046" s="96" t="s">
        <v>225</v>
      </c>
      <c r="J1046" s="96" t="s">
        <v>172</v>
      </c>
      <c r="K1046" s="96" t="s">
        <v>230</v>
      </c>
      <c r="L1046">
        <v>53</v>
      </c>
      <c r="M1046" t="s">
        <v>24</v>
      </c>
      <c r="N1046" t="s">
        <v>35</v>
      </c>
      <c r="O1046" t="s">
        <v>170</v>
      </c>
      <c r="P1046">
        <v>2026</v>
      </c>
    </row>
    <row r="1047" spans="1:16" hidden="1" x14ac:dyDescent="0.25">
      <c r="A1047" s="96" t="s">
        <v>2</v>
      </c>
      <c r="B1047" s="96" t="s">
        <v>272</v>
      </c>
      <c r="C1047" s="96" t="s">
        <v>1132</v>
      </c>
      <c r="D1047" s="96" t="s">
        <v>223</v>
      </c>
      <c r="E1047" s="43">
        <v>45844</v>
      </c>
      <c r="F1047" s="43">
        <v>45907</v>
      </c>
      <c r="G1047" s="96" t="s">
        <v>92</v>
      </c>
      <c r="H1047" s="96" t="s">
        <v>4533</v>
      </c>
      <c r="I1047" s="96" t="s">
        <v>225</v>
      </c>
      <c r="J1047" s="96" t="s">
        <v>91</v>
      </c>
      <c r="K1047" s="96" t="s">
        <v>157</v>
      </c>
      <c r="L1047">
        <v>63</v>
      </c>
      <c r="M1047" t="s">
        <v>28</v>
      </c>
      <c r="N1047" t="s">
        <v>187</v>
      </c>
      <c r="O1047" t="s">
        <v>151</v>
      </c>
      <c r="P1047">
        <v>2025</v>
      </c>
    </row>
    <row r="1048" spans="1:16" x14ac:dyDescent="0.25">
      <c r="A1048" s="96" t="s">
        <v>175</v>
      </c>
      <c r="B1048" s="96" t="s">
        <v>234</v>
      </c>
      <c r="C1048" s="96" t="s">
        <v>1133</v>
      </c>
      <c r="D1048" s="96" t="s">
        <v>34</v>
      </c>
      <c r="E1048" s="43">
        <v>46030</v>
      </c>
      <c r="F1048" s="43">
        <v>46085</v>
      </c>
      <c r="G1048" s="96" t="s">
        <v>92</v>
      </c>
      <c r="H1048" s="96" t="s">
        <v>4534</v>
      </c>
      <c r="I1048" s="96" t="s">
        <v>157</v>
      </c>
      <c r="J1048" s="96" t="s">
        <v>229</v>
      </c>
      <c r="K1048" s="96" t="s">
        <v>217</v>
      </c>
      <c r="L1048">
        <v>55</v>
      </c>
      <c r="M1048" t="s">
        <v>24</v>
      </c>
      <c r="N1048" t="s">
        <v>29</v>
      </c>
      <c r="O1048" t="s">
        <v>150</v>
      </c>
      <c r="P1048">
        <v>2026</v>
      </c>
    </row>
    <row r="1049" spans="1:16" hidden="1" x14ac:dyDescent="0.25">
      <c r="A1049" s="96" t="s">
        <v>2</v>
      </c>
      <c r="B1049" s="96" t="s">
        <v>251</v>
      </c>
      <c r="C1049" s="96" t="s">
        <v>1135</v>
      </c>
      <c r="D1049" s="96" t="s">
        <v>10</v>
      </c>
      <c r="E1049" s="43">
        <v>45806</v>
      </c>
      <c r="F1049" s="43">
        <v>45813</v>
      </c>
      <c r="G1049" s="96" t="s">
        <v>92</v>
      </c>
      <c r="H1049" s="96" t="s">
        <v>4535</v>
      </c>
      <c r="I1049" s="96" t="s">
        <v>9</v>
      </c>
      <c r="J1049" s="96" t="s">
        <v>283</v>
      </c>
      <c r="K1049" s="96" t="s">
        <v>210</v>
      </c>
      <c r="L1049">
        <v>7</v>
      </c>
      <c r="M1049" t="s">
        <v>11</v>
      </c>
      <c r="N1049" t="s">
        <v>182</v>
      </c>
      <c r="O1049" t="s">
        <v>170</v>
      </c>
      <c r="P1049">
        <v>2025</v>
      </c>
    </row>
    <row r="1050" spans="1:16" x14ac:dyDescent="0.25">
      <c r="A1050" s="96" t="s">
        <v>2</v>
      </c>
      <c r="B1050" s="96" t="s">
        <v>244</v>
      </c>
      <c r="C1050" s="96" t="s">
        <v>4536</v>
      </c>
      <c r="D1050" s="96" t="s">
        <v>208</v>
      </c>
      <c r="E1050" s="43">
        <v>46053</v>
      </c>
      <c r="F1050" s="43">
        <v>46076</v>
      </c>
      <c r="G1050" s="96" t="s">
        <v>90</v>
      </c>
      <c r="H1050" s="96" t="s">
        <v>4537</v>
      </c>
      <c r="I1050" s="96" t="s">
        <v>209</v>
      </c>
      <c r="J1050" s="96" t="s">
        <v>216</v>
      </c>
      <c r="K1050" s="96" t="s">
        <v>230</v>
      </c>
      <c r="L1050">
        <v>23</v>
      </c>
      <c r="M1050" t="s">
        <v>19</v>
      </c>
      <c r="N1050" t="s">
        <v>29</v>
      </c>
      <c r="O1050" t="s">
        <v>150</v>
      </c>
      <c r="P1050">
        <v>2026</v>
      </c>
    </row>
    <row r="1051" spans="1:16" hidden="1" x14ac:dyDescent="0.25">
      <c r="A1051" s="96" t="s">
        <v>2</v>
      </c>
      <c r="B1051" s="96" t="s">
        <v>251</v>
      </c>
      <c r="C1051" s="96" t="s">
        <v>1137</v>
      </c>
      <c r="D1051" s="96" t="s">
        <v>14</v>
      </c>
      <c r="E1051" s="43">
        <v>45819</v>
      </c>
      <c r="F1051" s="43">
        <v>45898</v>
      </c>
      <c r="G1051" s="96" t="s">
        <v>92</v>
      </c>
      <c r="H1051" s="96" t="s">
        <v>4538</v>
      </c>
      <c r="I1051" s="96" t="s">
        <v>204</v>
      </c>
      <c r="J1051" s="96" t="s">
        <v>169</v>
      </c>
      <c r="K1051" s="96" t="s">
        <v>230</v>
      </c>
      <c r="L1051">
        <v>79</v>
      </c>
      <c r="M1051" t="s">
        <v>28</v>
      </c>
      <c r="N1051" t="s">
        <v>184</v>
      </c>
      <c r="O1051" t="s">
        <v>170</v>
      </c>
      <c r="P1051">
        <v>2025</v>
      </c>
    </row>
    <row r="1052" spans="1:16" hidden="1" x14ac:dyDescent="0.25">
      <c r="A1052" s="96" t="s">
        <v>2</v>
      </c>
      <c r="B1052" s="96" t="s">
        <v>257</v>
      </c>
      <c r="C1052" s="96" t="s">
        <v>1139</v>
      </c>
      <c r="D1052" s="96" t="s">
        <v>14</v>
      </c>
      <c r="E1052" s="43">
        <v>45922</v>
      </c>
      <c r="F1052" s="43">
        <v>46004</v>
      </c>
      <c r="G1052" s="96" t="s">
        <v>90</v>
      </c>
      <c r="H1052" s="96" t="s">
        <v>4539</v>
      </c>
      <c r="I1052" s="96" t="s">
        <v>194</v>
      </c>
      <c r="J1052" s="96" t="s">
        <v>169</v>
      </c>
      <c r="K1052" s="96" t="s">
        <v>217</v>
      </c>
      <c r="L1052">
        <v>82</v>
      </c>
      <c r="M1052" t="s">
        <v>28</v>
      </c>
      <c r="N1052" t="s">
        <v>12</v>
      </c>
      <c r="O1052" t="s">
        <v>151</v>
      </c>
      <c r="P1052">
        <v>2025</v>
      </c>
    </row>
    <row r="1053" spans="1:16" hidden="1" x14ac:dyDescent="0.25">
      <c r="A1053" s="96" t="s">
        <v>21</v>
      </c>
      <c r="B1053" s="96" t="s">
        <v>190</v>
      </c>
      <c r="C1053" s="96" t="s">
        <v>1140</v>
      </c>
      <c r="D1053" s="96" t="s">
        <v>208</v>
      </c>
      <c r="E1053" s="43">
        <v>45911</v>
      </c>
      <c r="F1053" s="43">
        <v>45983</v>
      </c>
      <c r="G1053" s="96" t="s">
        <v>92</v>
      </c>
      <c r="H1053" s="96" t="s">
        <v>4540</v>
      </c>
      <c r="I1053" s="96" t="s">
        <v>157</v>
      </c>
      <c r="J1053" s="96" t="s">
        <v>172</v>
      </c>
      <c r="K1053" s="96" t="s">
        <v>230</v>
      </c>
      <c r="L1053">
        <v>72</v>
      </c>
      <c r="M1053" t="s">
        <v>28</v>
      </c>
      <c r="N1053" t="s">
        <v>12</v>
      </c>
      <c r="O1053" t="s">
        <v>150</v>
      </c>
      <c r="P1053">
        <v>2025</v>
      </c>
    </row>
    <row r="1054" spans="1:16" hidden="1" x14ac:dyDescent="0.25">
      <c r="A1054" s="96" t="s">
        <v>2</v>
      </c>
      <c r="B1054" s="96" t="s">
        <v>206</v>
      </c>
      <c r="C1054" s="96" t="s">
        <v>1141</v>
      </c>
      <c r="D1054" s="96" t="s">
        <v>34</v>
      </c>
      <c r="E1054" s="43">
        <v>45867</v>
      </c>
      <c r="F1054" s="43">
        <v>45969</v>
      </c>
      <c r="G1054" s="96" t="s">
        <v>92</v>
      </c>
      <c r="H1054" s="96" t="s">
        <v>4541</v>
      </c>
      <c r="I1054" s="96" t="s">
        <v>9</v>
      </c>
      <c r="J1054" s="96" t="s">
        <v>91</v>
      </c>
      <c r="K1054" s="96" t="s">
        <v>157</v>
      </c>
      <c r="L1054">
        <v>102</v>
      </c>
      <c r="M1054" t="s">
        <v>28</v>
      </c>
      <c r="N1054" t="s">
        <v>187</v>
      </c>
      <c r="O1054" t="s">
        <v>152</v>
      </c>
      <c r="P1054">
        <v>2025</v>
      </c>
    </row>
    <row r="1055" spans="1:16" x14ac:dyDescent="0.25">
      <c r="A1055" s="96" t="s">
        <v>2</v>
      </c>
      <c r="B1055" s="96" t="s">
        <v>269</v>
      </c>
      <c r="C1055" s="96" t="s">
        <v>1142</v>
      </c>
      <c r="D1055" s="96" t="s">
        <v>203</v>
      </c>
      <c r="E1055" s="43">
        <v>46066</v>
      </c>
      <c r="F1055" s="43">
        <v>46114</v>
      </c>
      <c r="G1055" s="96" t="s">
        <v>92</v>
      </c>
      <c r="H1055" s="96" t="s">
        <v>1101</v>
      </c>
      <c r="I1055" s="96" t="s">
        <v>204</v>
      </c>
      <c r="J1055" s="96" t="s">
        <v>168</v>
      </c>
      <c r="K1055" s="96" t="s">
        <v>200</v>
      </c>
      <c r="L1055">
        <v>48</v>
      </c>
      <c r="M1055" t="s">
        <v>24</v>
      </c>
      <c r="N1055" t="s">
        <v>32</v>
      </c>
      <c r="O1055" t="s">
        <v>152</v>
      </c>
      <c r="P1055">
        <v>2026</v>
      </c>
    </row>
    <row r="1056" spans="1:16" x14ac:dyDescent="0.25">
      <c r="A1056" s="96" t="s">
        <v>2</v>
      </c>
      <c r="B1056" s="96" t="s">
        <v>201</v>
      </c>
      <c r="C1056" s="96" t="s">
        <v>1143</v>
      </c>
      <c r="D1056" s="96" t="s">
        <v>223</v>
      </c>
      <c r="E1056" s="43">
        <v>46091</v>
      </c>
      <c r="F1056" s="43">
        <v>46098</v>
      </c>
      <c r="G1056" s="96" t="s">
        <v>90</v>
      </c>
      <c r="H1056" s="96" t="s">
        <v>4542</v>
      </c>
      <c r="I1056" s="96" t="s">
        <v>209</v>
      </c>
      <c r="J1056" s="96" t="s">
        <v>173</v>
      </c>
      <c r="K1056" s="96" t="s">
        <v>205</v>
      </c>
      <c r="L1056">
        <v>7</v>
      </c>
      <c r="M1056" t="s">
        <v>11</v>
      </c>
      <c r="N1056" t="s">
        <v>35</v>
      </c>
      <c r="O1056" t="s">
        <v>170</v>
      </c>
      <c r="P1056">
        <v>2026</v>
      </c>
    </row>
    <row r="1057" spans="1:16" x14ac:dyDescent="0.25">
      <c r="A1057" s="96" t="s">
        <v>2</v>
      </c>
      <c r="B1057" s="96" t="s">
        <v>234</v>
      </c>
      <c r="C1057" s="96" t="s">
        <v>1144</v>
      </c>
      <c r="D1057" s="96" t="s">
        <v>203</v>
      </c>
      <c r="E1057" s="43">
        <v>46042</v>
      </c>
      <c r="F1057" s="43">
        <v>46057</v>
      </c>
      <c r="G1057" s="96" t="s">
        <v>90</v>
      </c>
      <c r="H1057" s="96" t="s">
        <v>4543</v>
      </c>
      <c r="I1057" s="96" t="s">
        <v>228</v>
      </c>
      <c r="J1057" s="96" t="s">
        <v>216</v>
      </c>
      <c r="K1057" s="96" t="s">
        <v>233</v>
      </c>
      <c r="L1057">
        <v>15</v>
      </c>
      <c r="M1057" t="s">
        <v>19</v>
      </c>
      <c r="N1057" t="s">
        <v>29</v>
      </c>
      <c r="O1057" t="s">
        <v>150</v>
      </c>
      <c r="P1057">
        <v>2026</v>
      </c>
    </row>
    <row r="1058" spans="1:16" hidden="1" x14ac:dyDescent="0.25">
      <c r="A1058" s="96" t="s">
        <v>2</v>
      </c>
      <c r="B1058" s="96" t="s">
        <v>190</v>
      </c>
      <c r="C1058" s="96" t="s">
        <v>1145</v>
      </c>
      <c r="D1058" s="96" t="s">
        <v>208</v>
      </c>
      <c r="E1058" s="43">
        <v>45861</v>
      </c>
      <c r="F1058" s="43">
        <v>45959</v>
      </c>
      <c r="G1058" s="96" t="s">
        <v>90</v>
      </c>
      <c r="H1058" s="96" t="s">
        <v>4544</v>
      </c>
      <c r="I1058" s="96" t="s">
        <v>225</v>
      </c>
      <c r="J1058" s="96" t="s">
        <v>172</v>
      </c>
      <c r="K1058" s="96" t="s">
        <v>205</v>
      </c>
      <c r="L1058">
        <v>98</v>
      </c>
      <c r="M1058" t="s">
        <v>28</v>
      </c>
      <c r="N1058" t="s">
        <v>187</v>
      </c>
      <c r="O1058" t="s">
        <v>150</v>
      </c>
      <c r="P1058">
        <v>2025</v>
      </c>
    </row>
    <row r="1059" spans="1:16" x14ac:dyDescent="0.25">
      <c r="A1059" s="96" t="s">
        <v>2</v>
      </c>
      <c r="B1059" s="96" t="s">
        <v>201</v>
      </c>
      <c r="C1059" s="96" t="s">
        <v>1146</v>
      </c>
      <c r="D1059" s="96" t="s">
        <v>14</v>
      </c>
      <c r="E1059" s="43">
        <v>46120</v>
      </c>
      <c r="F1059" s="43">
        <v>46150</v>
      </c>
      <c r="G1059" s="96" t="s">
        <v>92</v>
      </c>
      <c r="H1059" s="96" t="s">
        <v>1105</v>
      </c>
      <c r="I1059" s="96" t="s">
        <v>228</v>
      </c>
      <c r="J1059" s="96" t="s">
        <v>176</v>
      </c>
      <c r="K1059" s="96" t="s">
        <v>205</v>
      </c>
      <c r="L1059">
        <v>30</v>
      </c>
      <c r="M1059" t="s">
        <v>19</v>
      </c>
      <c r="N1059" t="s">
        <v>37</v>
      </c>
      <c r="O1059" t="s">
        <v>170</v>
      </c>
      <c r="P1059">
        <v>2026</v>
      </c>
    </row>
    <row r="1060" spans="1:16" x14ac:dyDescent="0.25">
      <c r="A1060" s="96" t="s">
        <v>2</v>
      </c>
      <c r="B1060" s="96" t="s">
        <v>374</v>
      </c>
      <c r="C1060" s="96" t="s">
        <v>4545</v>
      </c>
      <c r="D1060" s="96" t="s">
        <v>203</v>
      </c>
      <c r="E1060" s="43">
        <v>46088</v>
      </c>
      <c r="F1060" s="43">
        <v>46131</v>
      </c>
      <c r="G1060" s="96" t="s">
        <v>95</v>
      </c>
      <c r="H1060" s="96" t="s">
        <v>1107</v>
      </c>
      <c r="I1060" s="96" t="s">
        <v>228</v>
      </c>
      <c r="J1060" s="96" t="s">
        <v>173</v>
      </c>
      <c r="K1060" s="96" t="s">
        <v>230</v>
      </c>
      <c r="L1060">
        <v>43</v>
      </c>
      <c r="M1060" t="s">
        <v>24</v>
      </c>
      <c r="N1060" t="s">
        <v>35</v>
      </c>
      <c r="O1060" t="s">
        <v>150</v>
      </c>
      <c r="P1060">
        <v>2026</v>
      </c>
    </row>
    <row r="1061" spans="1:16" hidden="1" x14ac:dyDescent="0.25">
      <c r="A1061" s="96" t="s">
        <v>2</v>
      </c>
      <c r="B1061" s="96" t="s">
        <v>255</v>
      </c>
      <c r="C1061" s="96" t="s">
        <v>4546</v>
      </c>
      <c r="D1061" s="96" t="s">
        <v>203</v>
      </c>
      <c r="E1061" s="43">
        <v>45775</v>
      </c>
      <c r="F1061" s="43">
        <v>45818</v>
      </c>
      <c r="G1061" s="96" t="s">
        <v>90</v>
      </c>
      <c r="H1061" s="96" t="s">
        <v>1109</v>
      </c>
      <c r="I1061" s="96" t="s">
        <v>9</v>
      </c>
      <c r="J1061" s="96" t="s">
        <v>176</v>
      </c>
      <c r="K1061" s="96" t="s">
        <v>246</v>
      </c>
      <c r="L1061">
        <v>43</v>
      </c>
      <c r="M1061" t="s">
        <v>24</v>
      </c>
      <c r="N1061" t="s">
        <v>185</v>
      </c>
      <c r="O1061" t="s">
        <v>150</v>
      </c>
      <c r="P1061">
        <v>2025</v>
      </c>
    </row>
    <row r="1062" spans="1:16" hidden="1" x14ac:dyDescent="0.25">
      <c r="A1062" s="96" t="s">
        <v>2</v>
      </c>
      <c r="B1062" s="96" t="s">
        <v>251</v>
      </c>
      <c r="C1062" s="96" t="s">
        <v>4547</v>
      </c>
      <c r="D1062" s="96" t="s">
        <v>223</v>
      </c>
      <c r="E1062" s="43">
        <v>45804</v>
      </c>
      <c r="F1062" s="43">
        <v>45870</v>
      </c>
      <c r="G1062" s="96" t="s">
        <v>92</v>
      </c>
      <c r="H1062" s="96" t="s">
        <v>1110</v>
      </c>
      <c r="I1062" s="96" t="s">
        <v>204</v>
      </c>
      <c r="J1062" s="96" t="s">
        <v>168</v>
      </c>
      <c r="K1062" s="96" t="s">
        <v>217</v>
      </c>
      <c r="L1062">
        <v>66</v>
      </c>
      <c r="M1062" t="s">
        <v>28</v>
      </c>
      <c r="N1062" t="s">
        <v>182</v>
      </c>
      <c r="O1062" t="s">
        <v>170</v>
      </c>
      <c r="P1062">
        <v>2025</v>
      </c>
    </row>
    <row r="1063" spans="1:16" hidden="1" x14ac:dyDescent="0.25">
      <c r="A1063" s="96" t="s">
        <v>171</v>
      </c>
      <c r="B1063" s="96" t="s">
        <v>280</v>
      </c>
      <c r="C1063" s="96" t="s">
        <v>1149</v>
      </c>
      <c r="D1063" s="96" t="s">
        <v>40</v>
      </c>
      <c r="E1063" s="43">
        <v>45976</v>
      </c>
      <c r="F1063" s="43">
        <v>46049</v>
      </c>
      <c r="G1063" s="96" t="s">
        <v>92</v>
      </c>
      <c r="H1063" s="96" t="s">
        <v>4548</v>
      </c>
      <c r="I1063" s="96" t="s">
        <v>204</v>
      </c>
      <c r="J1063" s="96" t="s">
        <v>216</v>
      </c>
      <c r="K1063" s="96" t="s">
        <v>210</v>
      </c>
      <c r="L1063">
        <v>73</v>
      </c>
      <c r="M1063" t="s">
        <v>28</v>
      </c>
      <c r="N1063" t="s">
        <v>20</v>
      </c>
      <c r="O1063" t="s">
        <v>170</v>
      </c>
      <c r="P1063">
        <v>2025</v>
      </c>
    </row>
    <row r="1064" spans="1:16" x14ac:dyDescent="0.25">
      <c r="A1064" s="96" t="s">
        <v>2</v>
      </c>
      <c r="B1064" s="96" t="s">
        <v>226</v>
      </c>
      <c r="C1064" s="96" t="s">
        <v>4549</v>
      </c>
      <c r="D1064" s="96" t="s">
        <v>40</v>
      </c>
      <c r="E1064" s="43">
        <v>46049</v>
      </c>
      <c r="F1064" s="43">
        <v>46085</v>
      </c>
      <c r="G1064" s="96" t="s">
        <v>92</v>
      </c>
      <c r="H1064" s="96" t="s">
        <v>1112</v>
      </c>
      <c r="I1064" s="96" t="s">
        <v>225</v>
      </c>
      <c r="J1064" s="96" t="s">
        <v>168</v>
      </c>
      <c r="K1064" s="96" t="s">
        <v>210</v>
      </c>
      <c r="L1064">
        <v>36</v>
      </c>
      <c r="M1064" t="s">
        <v>24</v>
      </c>
      <c r="N1064" t="s">
        <v>29</v>
      </c>
      <c r="O1064" t="s">
        <v>151</v>
      </c>
      <c r="P1064">
        <v>2026</v>
      </c>
    </row>
    <row r="1065" spans="1:16" x14ac:dyDescent="0.25">
      <c r="A1065" s="96" t="s">
        <v>2</v>
      </c>
      <c r="B1065" s="96" t="s">
        <v>234</v>
      </c>
      <c r="C1065" s="96" t="s">
        <v>1151</v>
      </c>
      <c r="D1065" s="96" t="s">
        <v>203</v>
      </c>
      <c r="E1065" s="43">
        <v>46080</v>
      </c>
      <c r="F1065" s="43">
        <v>46148</v>
      </c>
      <c r="G1065" s="96" t="s">
        <v>90</v>
      </c>
      <c r="H1065" s="96" t="s">
        <v>4550</v>
      </c>
      <c r="I1065" s="96" t="s">
        <v>194</v>
      </c>
      <c r="J1065" s="96" t="s">
        <v>172</v>
      </c>
      <c r="K1065" s="96" t="s">
        <v>217</v>
      </c>
      <c r="L1065">
        <v>68</v>
      </c>
      <c r="M1065" t="s">
        <v>28</v>
      </c>
      <c r="N1065" t="s">
        <v>32</v>
      </c>
      <c r="O1065" t="s">
        <v>150</v>
      </c>
      <c r="P1065">
        <v>2026</v>
      </c>
    </row>
    <row r="1066" spans="1:16" x14ac:dyDescent="0.25">
      <c r="A1066" s="96" t="s">
        <v>2</v>
      </c>
      <c r="B1066" s="96" t="s">
        <v>234</v>
      </c>
      <c r="C1066" s="96" t="s">
        <v>1152</v>
      </c>
      <c r="D1066" s="96" t="s">
        <v>34</v>
      </c>
      <c r="E1066" s="43">
        <v>46063</v>
      </c>
      <c r="F1066" s="43">
        <v>46147</v>
      </c>
      <c r="G1066" s="96" t="s">
        <v>92</v>
      </c>
      <c r="H1066" s="96" t="s">
        <v>4551</v>
      </c>
      <c r="I1066" s="96" t="s">
        <v>225</v>
      </c>
      <c r="J1066" s="96" t="s">
        <v>199</v>
      </c>
      <c r="K1066" s="96" t="s">
        <v>195</v>
      </c>
      <c r="L1066">
        <v>84</v>
      </c>
      <c r="M1066" t="s">
        <v>28</v>
      </c>
      <c r="N1066" t="s">
        <v>32</v>
      </c>
      <c r="O1066" t="s">
        <v>150</v>
      </c>
      <c r="P1066">
        <v>2026</v>
      </c>
    </row>
    <row r="1067" spans="1:16" x14ac:dyDescent="0.25">
      <c r="A1067" s="96" t="s">
        <v>21</v>
      </c>
      <c r="B1067" s="96" t="s">
        <v>234</v>
      </c>
      <c r="C1067" s="96" t="s">
        <v>1153</v>
      </c>
      <c r="D1067" s="96" t="s">
        <v>237</v>
      </c>
      <c r="E1067" s="43">
        <v>46026</v>
      </c>
      <c r="F1067" s="43">
        <v>46050</v>
      </c>
      <c r="G1067" s="96" t="s">
        <v>92</v>
      </c>
      <c r="H1067" s="96" t="s">
        <v>4552</v>
      </c>
      <c r="I1067" s="96" t="s">
        <v>194</v>
      </c>
      <c r="J1067" s="96" t="s">
        <v>283</v>
      </c>
      <c r="K1067" s="96" t="s">
        <v>217</v>
      </c>
      <c r="L1067">
        <v>24</v>
      </c>
      <c r="M1067" t="s">
        <v>19</v>
      </c>
      <c r="N1067" t="s">
        <v>29</v>
      </c>
      <c r="O1067" t="s">
        <v>150</v>
      </c>
      <c r="P1067">
        <v>2026</v>
      </c>
    </row>
    <row r="1068" spans="1:16" x14ac:dyDescent="0.25">
      <c r="A1068" s="96" t="s">
        <v>189</v>
      </c>
      <c r="B1068" s="96" t="s">
        <v>244</v>
      </c>
      <c r="C1068" s="96" t="s">
        <v>1154</v>
      </c>
      <c r="D1068" s="96" t="s">
        <v>192</v>
      </c>
      <c r="E1068" s="43">
        <v>46096</v>
      </c>
      <c r="F1068" s="43">
        <v>46104</v>
      </c>
      <c r="G1068" s="96" t="s">
        <v>90</v>
      </c>
      <c r="H1068" s="96" t="s">
        <v>1116</v>
      </c>
      <c r="I1068" s="96" t="s">
        <v>228</v>
      </c>
      <c r="J1068" s="96" t="s">
        <v>177</v>
      </c>
      <c r="K1068" s="96" t="s">
        <v>246</v>
      </c>
      <c r="L1068">
        <v>8</v>
      </c>
      <c r="M1068" t="s">
        <v>15</v>
      </c>
      <c r="N1068" t="s">
        <v>35</v>
      </c>
      <c r="O1068" t="s">
        <v>150</v>
      </c>
      <c r="P1068">
        <v>2026</v>
      </c>
    </row>
    <row r="1069" spans="1:16" hidden="1" x14ac:dyDescent="0.25">
      <c r="A1069" s="96" t="s">
        <v>2</v>
      </c>
      <c r="B1069" s="96" t="s">
        <v>257</v>
      </c>
      <c r="C1069" s="96" t="s">
        <v>4553</v>
      </c>
      <c r="D1069" s="96" t="s">
        <v>192</v>
      </c>
      <c r="E1069" s="43">
        <v>45666</v>
      </c>
      <c r="F1069" s="43">
        <v>45725</v>
      </c>
      <c r="G1069" s="96" t="s">
        <v>90</v>
      </c>
      <c r="H1069" s="96" t="s">
        <v>1117</v>
      </c>
      <c r="I1069" s="96" t="s">
        <v>194</v>
      </c>
      <c r="J1069" s="96" t="s">
        <v>93</v>
      </c>
      <c r="K1069" s="96" t="s">
        <v>233</v>
      </c>
      <c r="L1069">
        <v>59</v>
      </c>
      <c r="M1069" t="s">
        <v>24</v>
      </c>
      <c r="N1069" t="s">
        <v>181</v>
      </c>
      <c r="O1069" t="s">
        <v>151</v>
      </c>
      <c r="P1069">
        <v>2025</v>
      </c>
    </row>
    <row r="1070" spans="1:16" hidden="1" x14ac:dyDescent="0.25">
      <c r="A1070" s="96" t="s">
        <v>171</v>
      </c>
      <c r="B1070" s="96" t="s">
        <v>272</v>
      </c>
      <c r="C1070" s="96" t="s">
        <v>1155</v>
      </c>
      <c r="D1070" s="96" t="s">
        <v>14</v>
      </c>
      <c r="E1070" s="43">
        <v>46010</v>
      </c>
      <c r="F1070" s="43">
        <v>46016</v>
      </c>
      <c r="G1070" s="96" t="s">
        <v>90</v>
      </c>
      <c r="H1070" s="96" t="s">
        <v>4554</v>
      </c>
      <c r="I1070" s="96" t="s">
        <v>9</v>
      </c>
      <c r="J1070" s="96" t="s">
        <v>172</v>
      </c>
      <c r="K1070" s="96" t="s">
        <v>217</v>
      </c>
      <c r="L1070">
        <v>6</v>
      </c>
      <c r="M1070" t="s">
        <v>11</v>
      </c>
      <c r="N1070" t="s">
        <v>25</v>
      </c>
      <c r="O1070" t="s">
        <v>151</v>
      </c>
      <c r="P1070">
        <v>2025</v>
      </c>
    </row>
    <row r="1071" spans="1:16" x14ac:dyDescent="0.25">
      <c r="A1071" s="96" t="s">
        <v>171</v>
      </c>
      <c r="B1071" s="96" t="s">
        <v>305</v>
      </c>
      <c r="C1071" s="96" t="s">
        <v>4555</v>
      </c>
      <c r="D1071" s="96" t="s">
        <v>14</v>
      </c>
      <c r="E1071" s="43">
        <v>46099</v>
      </c>
      <c r="F1071" s="43">
        <v>46151</v>
      </c>
      <c r="G1071" s="96" t="s">
        <v>92</v>
      </c>
      <c r="H1071" s="96" t="s">
        <v>4556</v>
      </c>
      <c r="I1071" s="96" t="s">
        <v>194</v>
      </c>
      <c r="J1071" s="96" t="s">
        <v>168</v>
      </c>
      <c r="K1071" s="96" t="s">
        <v>246</v>
      </c>
      <c r="L1071">
        <v>52</v>
      </c>
      <c r="M1071" t="s">
        <v>24</v>
      </c>
      <c r="N1071" t="s">
        <v>35</v>
      </c>
      <c r="O1071" t="s">
        <v>170</v>
      </c>
      <c r="P1071">
        <v>2026</v>
      </c>
    </row>
    <row r="1072" spans="1:16" hidden="1" x14ac:dyDescent="0.25">
      <c r="A1072" s="96" t="s">
        <v>2</v>
      </c>
      <c r="B1072" s="96" t="s">
        <v>280</v>
      </c>
      <c r="C1072" s="96" t="s">
        <v>1156</v>
      </c>
      <c r="D1072" s="96" t="s">
        <v>215</v>
      </c>
      <c r="E1072" s="43">
        <v>45948</v>
      </c>
      <c r="F1072" s="43">
        <v>46021</v>
      </c>
      <c r="G1072" s="96" t="s">
        <v>92</v>
      </c>
      <c r="H1072" s="96" t="s">
        <v>4557</v>
      </c>
      <c r="I1072" s="96" t="s">
        <v>228</v>
      </c>
      <c r="J1072" s="96" t="s">
        <v>283</v>
      </c>
      <c r="K1072" s="96" t="s">
        <v>157</v>
      </c>
      <c r="L1072">
        <v>73</v>
      </c>
      <c r="M1072" t="s">
        <v>28</v>
      </c>
      <c r="N1072" t="s">
        <v>16</v>
      </c>
      <c r="O1072" t="s">
        <v>170</v>
      </c>
      <c r="P1072">
        <v>2025</v>
      </c>
    </row>
    <row r="1073" spans="1:16" hidden="1" x14ac:dyDescent="0.25">
      <c r="A1073" s="96" t="s">
        <v>2</v>
      </c>
      <c r="B1073" s="96" t="s">
        <v>251</v>
      </c>
      <c r="C1073" s="96" t="s">
        <v>1158</v>
      </c>
      <c r="D1073" s="96" t="s">
        <v>192</v>
      </c>
      <c r="E1073" s="43">
        <v>45983</v>
      </c>
      <c r="F1073" s="43">
        <v>46056</v>
      </c>
      <c r="G1073" s="96" t="s">
        <v>90</v>
      </c>
      <c r="H1073" s="96" t="s">
        <v>4558</v>
      </c>
      <c r="I1073" s="96" t="s">
        <v>9</v>
      </c>
      <c r="J1073" s="96" t="s">
        <v>97</v>
      </c>
      <c r="K1073" s="96" t="s">
        <v>195</v>
      </c>
      <c r="L1073">
        <v>73</v>
      </c>
      <c r="M1073" t="s">
        <v>28</v>
      </c>
      <c r="N1073" t="s">
        <v>20</v>
      </c>
      <c r="O1073" t="s">
        <v>170</v>
      </c>
      <c r="P1073">
        <v>2025</v>
      </c>
    </row>
    <row r="1074" spans="1:16" hidden="1" x14ac:dyDescent="0.25">
      <c r="A1074" s="96" t="s">
        <v>2</v>
      </c>
      <c r="B1074" s="96" t="s">
        <v>255</v>
      </c>
      <c r="C1074" s="96" t="s">
        <v>1160</v>
      </c>
      <c r="D1074" s="96" t="s">
        <v>10</v>
      </c>
      <c r="E1074" s="43">
        <v>45960</v>
      </c>
      <c r="F1074" s="43">
        <v>46015</v>
      </c>
      <c r="G1074" s="96" t="s">
        <v>92</v>
      </c>
      <c r="H1074" s="96" t="s">
        <v>4559</v>
      </c>
      <c r="I1074" s="96" t="s">
        <v>209</v>
      </c>
      <c r="J1074" s="96" t="s">
        <v>94</v>
      </c>
      <c r="K1074" s="96" t="s">
        <v>210</v>
      </c>
      <c r="L1074">
        <v>55</v>
      </c>
      <c r="M1074" t="s">
        <v>24</v>
      </c>
      <c r="N1074" t="s">
        <v>16</v>
      </c>
      <c r="O1074" t="s">
        <v>150</v>
      </c>
      <c r="P1074">
        <v>2025</v>
      </c>
    </row>
    <row r="1075" spans="1:16" hidden="1" x14ac:dyDescent="0.25">
      <c r="A1075" s="96" t="s">
        <v>189</v>
      </c>
      <c r="B1075" s="96" t="s">
        <v>238</v>
      </c>
      <c r="C1075" s="96" t="s">
        <v>1161</v>
      </c>
      <c r="D1075" s="96" t="s">
        <v>223</v>
      </c>
      <c r="E1075" s="43">
        <v>45660</v>
      </c>
      <c r="F1075" s="43">
        <v>45758</v>
      </c>
      <c r="G1075" s="96" t="s">
        <v>95</v>
      </c>
      <c r="H1075" s="96" t="s">
        <v>1123</v>
      </c>
      <c r="I1075" s="96" t="s">
        <v>228</v>
      </c>
      <c r="J1075" s="96" t="s">
        <v>174</v>
      </c>
      <c r="K1075" s="96" t="s">
        <v>233</v>
      </c>
      <c r="L1075">
        <v>98</v>
      </c>
      <c r="M1075" t="s">
        <v>28</v>
      </c>
      <c r="N1075" t="s">
        <v>181</v>
      </c>
      <c r="O1075" t="s">
        <v>170</v>
      </c>
      <c r="P1075">
        <v>2025</v>
      </c>
    </row>
    <row r="1076" spans="1:16" hidden="1" x14ac:dyDescent="0.25">
      <c r="A1076" s="96" t="s">
        <v>2</v>
      </c>
      <c r="B1076" s="96" t="s">
        <v>211</v>
      </c>
      <c r="C1076" s="96" t="s">
        <v>1162</v>
      </c>
      <c r="D1076" s="96" t="s">
        <v>14</v>
      </c>
      <c r="E1076" s="43">
        <v>45891</v>
      </c>
      <c r="F1076" s="43">
        <v>45929</v>
      </c>
      <c r="G1076" s="96" t="s">
        <v>92</v>
      </c>
      <c r="H1076" s="96" t="s">
        <v>1125</v>
      </c>
      <c r="I1076" s="96" t="s">
        <v>228</v>
      </c>
      <c r="J1076" s="96" t="s">
        <v>98</v>
      </c>
      <c r="K1076" s="96" t="s">
        <v>210</v>
      </c>
      <c r="L1076">
        <v>38</v>
      </c>
      <c r="M1076" t="s">
        <v>24</v>
      </c>
      <c r="N1076" t="s">
        <v>8</v>
      </c>
      <c r="O1076" t="s">
        <v>170</v>
      </c>
      <c r="P1076">
        <v>2025</v>
      </c>
    </row>
    <row r="1077" spans="1:16" hidden="1" x14ac:dyDescent="0.25">
      <c r="A1077" s="96" t="s">
        <v>2</v>
      </c>
      <c r="B1077" s="96" t="s">
        <v>213</v>
      </c>
      <c r="C1077" s="96" t="s">
        <v>1163</v>
      </c>
      <c r="D1077" s="96" t="s">
        <v>203</v>
      </c>
      <c r="E1077" s="43">
        <v>45696</v>
      </c>
      <c r="F1077" s="43">
        <v>45754</v>
      </c>
      <c r="G1077" s="96" t="s">
        <v>92</v>
      </c>
      <c r="H1077" s="96" t="s">
        <v>4560</v>
      </c>
      <c r="I1077" s="96" t="s">
        <v>204</v>
      </c>
      <c r="J1077" s="96" t="s">
        <v>96</v>
      </c>
      <c r="K1077" s="96" t="s">
        <v>200</v>
      </c>
      <c r="L1077">
        <v>58</v>
      </c>
      <c r="M1077" t="s">
        <v>24</v>
      </c>
      <c r="N1077" t="s">
        <v>188</v>
      </c>
      <c r="O1077" t="s">
        <v>149</v>
      </c>
      <c r="P1077">
        <v>2025</v>
      </c>
    </row>
    <row r="1078" spans="1:16" hidden="1" x14ac:dyDescent="0.25">
      <c r="A1078" s="96" t="s">
        <v>2</v>
      </c>
      <c r="B1078" s="96" t="s">
        <v>257</v>
      </c>
      <c r="C1078" s="96" t="s">
        <v>1164</v>
      </c>
      <c r="D1078" s="96" t="s">
        <v>208</v>
      </c>
      <c r="E1078" s="43">
        <v>45681</v>
      </c>
      <c r="F1078" s="43">
        <v>45722</v>
      </c>
      <c r="G1078" s="96" t="s">
        <v>92</v>
      </c>
      <c r="H1078" s="96" t="s">
        <v>4561</v>
      </c>
      <c r="I1078" s="96" t="s">
        <v>157</v>
      </c>
      <c r="J1078" s="96" t="s">
        <v>172</v>
      </c>
      <c r="K1078" s="96" t="s">
        <v>195</v>
      </c>
      <c r="L1078">
        <v>41</v>
      </c>
      <c r="M1078" t="s">
        <v>24</v>
      </c>
      <c r="N1078" t="s">
        <v>181</v>
      </c>
      <c r="O1078" t="s">
        <v>151</v>
      </c>
      <c r="P1078">
        <v>2025</v>
      </c>
    </row>
    <row r="1079" spans="1:16" x14ac:dyDescent="0.25">
      <c r="A1079" s="96" t="s">
        <v>189</v>
      </c>
      <c r="B1079" s="96" t="s">
        <v>226</v>
      </c>
      <c r="C1079" s="96" t="s">
        <v>4562</v>
      </c>
      <c r="D1079" s="96" t="s">
        <v>10</v>
      </c>
      <c r="E1079" s="43">
        <v>46035</v>
      </c>
      <c r="F1079" s="43">
        <v>46044</v>
      </c>
      <c r="G1079" s="96" t="s">
        <v>90</v>
      </c>
      <c r="H1079" s="96" t="s">
        <v>4563</v>
      </c>
      <c r="I1079" s="96" t="s">
        <v>194</v>
      </c>
      <c r="J1079" s="96" t="s">
        <v>229</v>
      </c>
      <c r="K1079" s="96" t="s">
        <v>205</v>
      </c>
      <c r="L1079">
        <v>9</v>
      </c>
      <c r="M1079" t="s">
        <v>15</v>
      </c>
      <c r="N1079" t="s">
        <v>29</v>
      </c>
      <c r="O1079" t="s">
        <v>151</v>
      </c>
      <c r="P1079">
        <v>2026</v>
      </c>
    </row>
    <row r="1080" spans="1:16" x14ac:dyDescent="0.25">
      <c r="A1080" s="96" t="s">
        <v>21</v>
      </c>
      <c r="B1080" s="96" t="s">
        <v>234</v>
      </c>
      <c r="C1080" s="96" t="s">
        <v>1165</v>
      </c>
      <c r="D1080" s="96" t="s">
        <v>10</v>
      </c>
      <c r="E1080" s="43">
        <v>46094</v>
      </c>
      <c r="F1080" s="43">
        <v>46148</v>
      </c>
      <c r="G1080" s="96" t="s">
        <v>92</v>
      </c>
      <c r="H1080" s="96" t="s">
        <v>4564</v>
      </c>
      <c r="I1080" s="96" t="s">
        <v>9</v>
      </c>
      <c r="J1080" s="96" t="s">
        <v>165</v>
      </c>
      <c r="K1080" s="96" t="s">
        <v>246</v>
      </c>
      <c r="L1080">
        <v>54</v>
      </c>
      <c r="M1080" t="s">
        <v>24</v>
      </c>
      <c r="N1080" t="s">
        <v>35</v>
      </c>
      <c r="O1080" t="s">
        <v>150</v>
      </c>
      <c r="P1080">
        <v>2026</v>
      </c>
    </row>
    <row r="1081" spans="1:16" hidden="1" x14ac:dyDescent="0.25">
      <c r="A1081" s="96" t="s">
        <v>2</v>
      </c>
      <c r="B1081" s="96" t="s">
        <v>255</v>
      </c>
      <c r="C1081" s="96" t="s">
        <v>1166</v>
      </c>
      <c r="D1081" s="96" t="s">
        <v>14</v>
      </c>
      <c r="E1081" s="43">
        <v>45922</v>
      </c>
      <c r="F1081" s="43">
        <v>45946</v>
      </c>
      <c r="G1081" s="96" t="s">
        <v>92</v>
      </c>
      <c r="H1081" s="96" t="s">
        <v>4565</v>
      </c>
      <c r="I1081" s="96" t="s">
        <v>194</v>
      </c>
      <c r="J1081" s="96" t="s">
        <v>98</v>
      </c>
      <c r="K1081" s="96" t="s">
        <v>200</v>
      </c>
      <c r="L1081">
        <v>24</v>
      </c>
      <c r="M1081" t="s">
        <v>19</v>
      </c>
      <c r="N1081" t="s">
        <v>12</v>
      </c>
      <c r="O1081" t="s">
        <v>150</v>
      </c>
      <c r="P1081">
        <v>2025</v>
      </c>
    </row>
    <row r="1082" spans="1:16" hidden="1" x14ac:dyDescent="0.25">
      <c r="A1082" s="96" t="s">
        <v>2</v>
      </c>
      <c r="B1082" s="96" t="s">
        <v>240</v>
      </c>
      <c r="C1082" s="96" t="s">
        <v>1167</v>
      </c>
      <c r="D1082" s="96" t="s">
        <v>223</v>
      </c>
      <c r="E1082" s="43">
        <v>45895</v>
      </c>
      <c r="F1082" s="43">
        <v>46009</v>
      </c>
      <c r="G1082" s="96" t="s">
        <v>92</v>
      </c>
      <c r="H1082" s="96" t="s">
        <v>4566</v>
      </c>
      <c r="I1082" s="96" t="s">
        <v>225</v>
      </c>
      <c r="J1082" s="96" t="s">
        <v>93</v>
      </c>
      <c r="K1082" s="96" t="s">
        <v>195</v>
      </c>
      <c r="L1082">
        <v>114</v>
      </c>
      <c r="M1082" t="s">
        <v>28</v>
      </c>
      <c r="N1082" t="s">
        <v>8</v>
      </c>
      <c r="O1082" t="s">
        <v>149</v>
      </c>
      <c r="P1082">
        <v>2025</v>
      </c>
    </row>
    <row r="1083" spans="1:16" x14ac:dyDescent="0.25">
      <c r="A1083" s="96" t="s">
        <v>2</v>
      </c>
      <c r="B1083" s="96" t="s">
        <v>219</v>
      </c>
      <c r="C1083" s="96" t="s">
        <v>4567</v>
      </c>
      <c r="D1083" s="96" t="s">
        <v>10</v>
      </c>
      <c r="E1083" s="43">
        <v>46057</v>
      </c>
      <c r="F1083" s="43">
        <v>46083</v>
      </c>
      <c r="G1083" s="96" t="s">
        <v>90</v>
      </c>
      <c r="H1083" s="96" t="s">
        <v>4568</v>
      </c>
      <c r="I1083" s="96" t="s">
        <v>9</v>
      </c>
      <c r="J1083" s="96" t="s">
        <v>216</v>
      </c>
      <c r="K1083" s="96" t="s">
        <v>230</v>
      </c>
      <c r="L1083">
        <v>26</v>
      </c>
      <c r="M1083" t="s">
        <v>19</v>
      </c>
      <c r="N1083" t="s">
        <v>32</v>
      </c>
      <c r="O1083" t="s">
        <v>149</v>
      </c>
      <c r="P1083">
        <v>2026</v>
      </c>
    </row>
    <row r="1084" spans="1:16" x14ac:dyDescent="0.25">
      <c r="A1084" s="96" t="s">
        <v>2</v>
      </c>
      <c r="B1084" s="96" t="s">
        <v>249</v>
      </c>
      <c r="C1084" s="96" t="s">
        <v>1168</v>
      </c>
      <c r="D1084" s="96" t="s">
        <v>34</v>
      </c>
      <c r="E1084" s="43">
        <v>46045</v>
      </c>
      <c r="F1084" s="43">
        <v>46147</v>
      </c>
      <c r="G1084" s="96" t="s">
        <v>92</v>
      </c>
      <c r="H1084" s="96" t="s">
        <v>4569</v>
      </c>
      <c r="I1084" s="96" t="s">
        <v>157</v>
      </c>
      <c r="J1084" s="96" t="s">
        <v>169</v>
      </c>
      <c r="K1084" s="96" t="s">
        <v>246</v>
      </c>
      <c r="L1084">
        <v>102</v>
      </c>
      <c r="M1084" t="s">
        <v>28</v>
      </c>
      <c r="N1084" t="s">
        <v>29</v>
      </c>
      <c r="O1084" t="s">
        <v>170</v>
      </c>
      <c r="P1084">
        <v>2026</v>
      </c>
    </row>
    <row r="1085" spans="1:16" hidden="1" x14ac:dyDescent="0.25">
      <c r="A1085" s="96" t="s">
        <v>2</v>
      </c>
      <c r="B1085" s="96" t="s">
        <v>247</v>
      </c>
      <c r="C1085" s="96" t="s">
        <v>4570</v>
      </c>
      <c r="D1085" s="96" t="s">
        <v>14</v>
      </c>
      <c r="E1085" s="43">
        <v>45942</v>
      </c>
      <c r="F1085" s="43">
        <v>46016</v>
      </c>
      <c r="G1085" s="96" t="s">
        <v>92</v>
      </c>
      <c r="H1085" s="96" t="s">
        <v>4571</v>
      </c>
      <c r="I1085" s="96" t="s">
        <v>194</v>
      </c>
      <c r="J1085" s="96" t="s">
        <v>165</v>
      </c>
      <c r="K1085" s="96" t="s">
        <v>157</v>
      </c>
      <c r="L1085">
        <v>74</v>
      </c>
      <c r="M1085" t="s">
        <v>28</v>
      </c>
      <c r="N1085" t="s">
        <v>16</v>
      </c>
      <c r="O1085" t="s">
        <v>150</v>
      </c>
      <c r="P1085">
        <v>2025</v>
      </c>
    </row>
    <row r="1086" spans="1:16" x14ac:dyDescent="0.25">
      <c r="A1086" s="96" t="s">
        <v>2</v>
      </c>
      <c r="B1086" s="96" t="s">
        <v>317</v>
      </c>
      <c r="C1086" s="96" t="s">
        <v>1169</v>
      </c>
      <c r="D1086" s="96" t="s">
        <v>40</v>
      </c>
      <c r="E1086" s="43">
        <v>46144</v>
      </c>
      <c r="F1086" s="43">
        <v>46149</v>
      </c>
      <c r="G1086" s="96" t="s">
        <v>90</v>
      </c>
      <c r="H1086" s="96" t="s">
        <v>4572</v>
      </c>
      <c r="I1086" s="96" t="s">
        <v>204</v>
      </c>
      <c r="J1086" s="96" t="s">
        <v>177</v>
      </c>
      <c r="K1086" s="96" t="s">
        <v>210</v>
      </c>
      <c r="L1086">
        <v>5</v>
      </c>
      <c r="M1086" t="s">
        <v>11</v>
      </c>
      <c r="N1086" t="s">
        <v>183</v>
      </c>
      <c r="O1086" t="s">
        <v>170</v>
      </c>
      <c r="P1086">
        <v>2026</v>
      </c>
    </row>
    <row r="1087" spans="1:16" hidden="1" x14ac:dyDescent="0.25">
      <c r="A1087" s="96" t="s">
        <v>2</v>
      </c>
      <c r="B1087" s="96" t="s">
        <v>280</v>
      </c>
      <c r="C1087" s="96" t="s">
        <v>1170</v>
      </c>
      <c r="D1087" s="96" t="s">
        <v>215</v>
      </c>
      <c r="E1087" s="43">
        <v>45945</v>
      </c>
      <c r="F1087" s="43">
        <v>46030</v>
      </c>
      <c r="G1087" s="96" t="s">
        <v>92</v>
      </c>
      <c r="H1087" s="96" t="s">
        <v>4573</v>
      </c>
      <c r="I1087" s="96" t="s">
        <v>157</v>
      </c>
      <c r="J1087" s="96" t="s">
        <v>97</v>
      </c>
      <c r="K1087" s="96" t="s">
        <v>246</v>
      </c>
      <c r="L1087">
        <v>85</v>
      </c>
      <c r="M1087" t="s">
        <v>28</v>
      </c>
      <c r="N1087" t="s">
        <v>16</v>
      </c>
      <c r="O1087" t="s">
        <v>170</v>
      </c>
      <c r="P1087">
        <v>2025</v>
      </c>
    </row>
    <row r="1088" spans="1:16" x14ac:dyDescent="0.25">
      <c r="A1088" s="96" t="s">
        <v>2</v>
      </c>
      <c r="B1088" s="96" t="s">
        <v>374</v>
      </c>
      <c r="C1088" s="96" t="s">
        <v>1171</v>
      </c>
      <c r="D1088" s="96" t="s">
        <v>10</v>
      </c>
      <c r="E1088" s="43">
        <v>46099</v>
      </c>
      <c r="F1088" s="43">
        <v>46151</v>
      </c>
      <c r="G1088" s="96" t="s">
        <v>92</v>
      </c>
      <c r="H1088" s="96" t="s">
        <v>4574</v>
      </c>
      <c r="I1088" s="96" t="s">
        <v>194</v>
      </c>
      <c r="J1088" s="96" t="s">
        <v>97</v>
      </c>
      <c r="K1088" s="96" t="s">
        <v>246</v>
      </c>
      <c r="L1088">
        <v>52</v>
      </c>
      <c r="M1088" t="s">
        <v>24</v>
      </c>
      <c r="N1088" t="s">
        <v>35</v>
      </c>
      <c r="O1088" t="s">
        <v>150</v>
      </c>
      <c r="P1088">
        <v>2026</v>
      </c>
    </row>
    <row r="1089" spans="1:16" hidden="1" x14ac:dyDescent="0.25">
      <c r="A1089" s="96" t="s">
        <v>2</v>
      </c>
      <c r="B1089" s="96" t="s">
        <v>264</v>
      </c>
      <c r="C1089" s="96" t="s">
        <v>1172</v>
      </c>
      <c r="D1089" s="96" t="s">
        <v>192</v>
      </c>
      <c r="E1089" s="43">
        <v>45838</v>
      </c>
      <c r="F1089" s="43">
        <v>45849</v>
      </c>
      <c r="G1089" s="96" t="s">
        <v>92</v>
      </c>
      <c r="H1089" s="96" t="s">
        <v>4575</v>
      </c>
      <c r="I1089" s="96" t="s">
        <v>9</v>
      </c>
      <c r="J1089" s="96" t="s">
        <v>98</v>
      </c>
      <c r="K1089" s="96" t="s">
        <v>200</v>
      </c>
      <c r="L1089">
        <v>11</v>
      </c>
      <c r="M1089" t="s">
        <v>15</v>
      </c>
      <c r="N1089" t="s">
        <v>184</v>
      </c>
      <c r="O1089" t="s">
        <v>152</v>
      </c>
      <c r="P1089">
        <v>2025</v>
      </c>
    </row>
    <row r="1090" spans="1:16" x14ac:dyDescent="0.25">
      <c r="A1090" s="96" t="s">
        <v>2</v>
      </c>
      <c r="B1090" s="96" t="s">
        <v>201</v>
      </c>
      <c r="C1090" s="96" t="s">
        <v>1173</v>
      </c>
      <c r="D1090" s="96" t="s">
        <v>215</v>
      </c>
      <c r="E1090" s="43">
        <v>46106</v>
      </c>
      <c r="F1090" s="43">
        <v>46120</v>
      </c>
      <c r="G1090" s="96" t="s">
        <v>92</v>
      </c>
      <c r="H1090" s="96" t="s">
        <v>4576</v>
      </c>
      <c r="I1090" s="96" t="s">
        <v>9</v>
      </c>
      <c r="J1090" s="96" t="s">
        <v>165</v>
      </c>
      <c r="K1090" s="96" t="s">
        <v>233</v>
      </c>
      <c r="L1090">
        <v>14</v>
      </c>
      <c r="M1090" t="s">
        <v>15</v>
      </c>
      <c r="N1090" t="s">
        <v>35</v>
      </c>
      <c r="O1090" t="s">
        <v>170</v>
      </c>
      <c r="P1090">
        <v>2026</v>
      </c>
    </row>
    <row r="1091" spans="1:16" hidden="1" x14ac:dyDescent="0.25">
      <c r="A1091" s="96" t="s">
        <v>2</v>
      </c>
      <c r="B1091" s="96" t="s">
        <v>240</v>
      </c>
      <c r="C1091" s="96" t="s">
        <v>4577</v>
      </c>
      <c r="D1091" s="96" t="s">
        <v>237</v>
      </c>
      <c r="E1091" s="43">
        <v>45917</v>
      </c>
      <c r="F1091" s="43">
        <v>45967</v>
      </c>
      <c r="G1091" s="96" t="s">
        <v>90</v>
      </c>
      <c r="H1091" s="96" t="s">
        <v>1134</v>
      </c>
      <c r="I1091" s="96" t="s">
        <v>9</v>
      </c>
      <c r="J1091" s="96" t="s">
        <v>229</v>
      </c>
      <c r="K1091" s="96" t="s">
        <v>210</v>
      </c>
      <c r="L1091">
        <v>50</v>
      </c>
      <c r="M1091" t="s">
        <v>24</v>
      </c>
      <c r="N1091" t="s">
        <v>12</v>
      </c>
      <c r="O1091" t="s">
        <v>149</v>
      </c>
      <c r="P1091">
        <v>2025</v>
      </c>
    </row>
    <row r="1092" spans="1:16" hidden="1" x14ac:dyDescent="0.25">
      <c r="A1092" s="96" t="s">
        <v>21</v>
      </c>
      <c r="B1092" s="96" t="s">
        <v>238</v>
      </c>
      <c r="C1092" s="96" t="s">
        <v>1174</v>
      </c>
      <c r="D1092" s="96" t="s">
        <v>34</v>
      </c>
      <c r="E1092" s="43">
        <v>45865</v>
      </c>
      <c r="F1092" s="43">
        <v>45957</v>
      </c>
      <c r="G1092" s="96" t="s">
        <v>92</v>
      </c>
      <c r="H1092" s="96" t="s">
        <v>1136</v>
      </c>
      <c r="I1092" s="96" t="s">
        <v>9</v>
      </c>
      <c r="J1092" s="96" t="s">
        <v>165</v>
      </c>
      <c r="K1092" s="96" t="s">
        <v>210</v>
      </c>
      <c r="L1092">
        <v>92</v>
      </c>
      <c r="M1092" t="s">
        <v>28</v>
      </c>
      <c r="N1092" t="s">
        <v>187</v>
      </c>
      <c r="O1092" t="s">
        <v>170</v>
      </c>
      <c r="P1092">
        <v>2025</v>
      </c>
    </row>
    <row r="1093" spans="1:16" hidden="1" x14ac:dyDescent="0.25">
      <c r="A1093" s="96" t="s">
        <v>2</v>
      </c>
      <c r="B1093" s="96" t="s">
        <v>253</v>
      </c>
      <c r="C1093" s="96" t="s">
        <v>1175</v>
      </c>
      <c r="D1093" s="96" t="s">
        <v>10</v>
      </c>
      <c r="E1093" s="43">
        <v>45751</v>
      </c>
      <c r="F1093" s="43">
        <v>45868</v>
      </c>
      <c r="G1093" s="96" t="s">
        <v>92</v>
      </c>
      <c r="H1093" s="96" t="s">
        <v>1138</v>
      </c>
      <c r="I1093" s="96" t="s">
        <v>194</v>
      </c>
      <c r="J1093" s="96" t="s">
        <v>96</v>
      </c>
      <c r="K1093" s="96" t="s">
        <v>195</v>
      </c>
      <c r="L1093">
        <v>117</v>
      </c>
      <c r="M1093" t="s">
        <v>28</v>
      </c>
      <c r="N1093" t="s">
        <v>185</v>
      </c>
      <c r="O1093" t="s">
        <v>152</v>
      </c>
      <c r="P1093">
        <v>2025</v>
      </c>
    </row>
    <row r="1094" spans="1:16" x14ac:dyDescent="0.25">
      <c r="A1094" s="96" t="s">
        <v>2</v>
      </c>
      <c r="B1094" s="96" t="s">
        <v>234</v>
      </c>
      <c r="C1094" s="96" t="s">
        <v>1176</v>
      </c>
      <c r="D1094" s="96" t="s">
        <v>10</v>
      </c>
      <c r="E1094" s="43">
        <v>46149</v>
      </c>
      <c r="F1094" s="43">
        <v>46148</v>
      </c>
      <c r="G1094" s="96" t="s">
        <v>92</v>
      </c>
      <c r="H1094" s="96" t="s">
        <v>4578</v>
      </c>
      <c r="I1094" s="96" t="s">
        <v>225</v>
      </c>
      <c r="J1094" s="96" t="s">
        <v>165</v>
      </c>
      <c r="K1094" s="96" t="s">
        <v>195</v>
      </c>
      <c r="L1094">
        <v>-1</v>
      </c>
      <c r="M1094" t="s">
        <v>11</v>
      </c>
      <c r="N1094" t="s">
        <v>183</v>
      </c>
      <c r="O1094" t="s">
        <v>150</v>
      </c>
      <c r="P1094">
        <v>2026</v>
      </c>
    </row>
    <row r="1095" spans="1:16" hidden="1" x14ac:dyDescent="0.25">
      <c r="A1095" s="96" t="s">
        <v>2</v>
      </c>
      <c r="B1095" s="96" t="s">
        <v>247</v>
      </c>
      <c r="C1095" s="96" t="s">
        <v>1177</v>
      </c>
      <c r="D1095" s="96" t="s">
        <v>14</v>
      </c>
      <c r="E1095" s="43">
        <v>45674</v>
      </c>
      <c r="F1095" s="43">
        <v>45787</v>
      </c>
      <c r="G1095" s="96" t="s">
        <v>92</v>
      </c>
      <c r="H1095" s="96" t="s">
        <v>4579</v>
      </c>
      <c r="I1095" s="96" t="s">
        <v>228</v>
      </c>
      <c r="J1095" s="96" t="s">
        <v>96</v>
      </c>
      <c r="K1095" s="96" t="s">
        <v>233</v>
      </c>
      <c r="L1095">
        <v>113</v>
      </c>
      <c r="M1095" t="s">
        <v>28</v>
      </c>
      <c r="N1095" t="s">
        <v>181</v>
      </c>
      <c r="O1095" t="s">
        <v>150</v>
      </c>
      <c r="P1095">
        <v>2025</v>
      </c>
    </row>
    <row r="1096" spans="1:16" x14ac:dyDescent="0.25">
      <c r="A1096" s="96" t="s">
        <v>171</v>
      </c>
      <c r="B1096" s="96" t="s">
        <v>288</v>
      </c>
      <c r="C1096" s="96" t="s">
        <v>1178</v>
      </c>
      <c r="D1096" s="96" t="s">
        <v>192</v>
      </c>
      <c r="E1096" s="43">
        <v>46109</v>
      </c>
      <c r="F1096" s="43">
        <v>46147</v>
      </c>
      <c r="G1096" s="96" t="s">
        <v>92</v>
      </c>
      <c r="H1096" s="96" t="s">
        <v>4580</v>
      </c>
      <c r="I1096" s="96" t="s">
        <v>204</v>
      </c>
      <c r="J1096" s="96" t="s">
        <v>173</v>
      </c>
      <c r="K1096" s="96" t="s">
        <v>195</v>
      </c>
      <c r="L1096">
        <v>38</v>
      </c>
      <c r="M1096" t="s">
        <v>24</v>
      </c>
      <c r="N1096" t="s">
        <v>35</v>
      </c>
      <c r="O1096" t="s">
        <v>170</v>
      </c>
      <c r="P1096">
        <v>2026</v>
      </c>
    </row>
    <row r="1097" spans="1:16" hidden="1" x14ac:dyDescent="0.25">
      <c r="A1097" s="96" t="s">
        <v>171</v>
      </c>
      <c r="B1097" s="96" t="s">
        <v>251</v>
      </c>
      <c r="C1097" s="96" t="s">
        <v>4581</v>
      </c>
      <c r="D1097" s="96" t="s">
        <v>10</v>
      </c>
      <c r="E1097" s="43">
        <v>45694</v>
      </c>
      <c r="F1097" s="43">
        <v>45699</v>
      </c>
      <c r="G1097" s="96" t="s">
        <v>92</v>
      </c>
      <c r="H1097" s="96" t="s">
        <v>4582</v>
      </c>
      <c r="I1097" s="96" t="s">
        <v>194</v>
      </c>
      <c r="J1097" s="96" t="s">
        <v>283</v>
      </c>
      <c r="K1097" s="96" t="s">
        <v>157</v>
      </c>
      <c r="L1097">
        <v>5</v>
      </c>
      <c r="M1097" t="s">
        <v>11</v>
      </c>
      <c r="N1097" t="s">
        <v>188</v>
      </c>
      <c r="O1097" t="s">
        <v>170</v>
      </c>
      <c r="P1097">
        <v>2025</v>
      </c>
    </row>
    <row r="1098" spans="1:16" hidden="1" x14ac:dyDescent="0.25">
      <c r="A1098" s="96" t="s">
        <v>2</v>
      </c>
      <c r="B1098" s="96" t="s">
        <v>264</v>
      </c>
      <c r="C1098" s="96" t="s">
        <v>1179</v>
      </c>
      <c r="D1098" s="96" t="s">
        <v>10</v>
      </c>
      <c r="E1098" s="43">
        <v>45949</v>
      </c>
      <c r="F1098" s="43">
        <v>46058</v>
      </c>
      <c r="G1098" s="96" t="s">
        <v>95</v>
      </c>
      <c r="H1098" s="96" t="s">
        <v>4583</v>
      </c>
      <c r="I1098" s="96" t="s">
        <v>9</v>
      </c>
      <c r="J1098" s="96" t="s">
        <v>176</v>
      </c>
      <c r="K1098" s="96" t="s">
        <v>246</v>
      </c>
      <c r="L1098">
        <v>109</v>
      </c>
      <c r="M1098" t="s">
        <v>28</v>
      </c>
      <c r="N1098" t="s">
        <v>16</v>
      </c>
      <c r="O1098" t="s">
        <v>152</v>
      </c>
      <c r="P1098">
        <v>2025</v>
      </c>
    </row>
    <row r="1099" spans="1:16" hidden="1" x14ac:dyDescent="0.25">
      <c r="A1099" s="96" t="s">
        <v>2</v>
      </c>
      <c r="B1099" s="96" t="s">
        <v>206</v>
      </c>
      <c r="C1099" s="96" t="s">
        <v>1180</v>
      </c>
      <c r="D1099" s="96" t="s">
        <v>208</v>
      </c>
      <c r="E1099" s="43">
        <v>45738</v>
      </c>
      <c r="F1099" s="43">
        <v>45781</v>
      </c>
      <c r="G1099" s="96" t="s">
        <v>90</v>
      </c>
      <c r="H1099" s="96" t="s">
        <v>4584</v>
      </c>
      <c r="I1099" s="96" t="s">
        <v>225</v>
      </c>
      <c r="J1099" s="96" t="s">
        <v>176</v>
      </c>
      <c r="K1099" s="96" t="s">
        <v>200</v>
      </c>
      <c r="L1099">
        <v>43</v>
      </c>
      <c r="M1099" t="s">
        <v>24</v>
      </c>
      <c r="N1099" t="s">
        <v>186</v>
      </c>
      <c r="O1099" t="s">
        <v>152</v>
      </c>
      <c r="P1099">
        <v>2025</v>
      </c>
    </row>
    <row r="1100" spans="1:16" x14ac:dyDescent="0.25">
      <c r="A1100" s="96" t="s">
        <v>2</v>
      </c>
      <c r="B1100" s="96" t="s">
        <v>219</v>
      </c>
      <c r="C1100" s="96" t="s">
        <v>1181</v>
      </c>
      <c r="D1100" s="96" t="s">
        <v>237</v>
      </c>
      <c r="E1100" s="43">
        <v>46101</v>
      </c>
      <c r="F1100" s="43">
        <v>46144</v>
      </c>
      <c r="G1100" s="96" t="s">
        <v>90</v>
      </c>
      <c r="H1100" s="96" t="s">
        <v>4585</v>
      </c>
      <c r="I1100" s="96" t="s">
        <v>157</v>
      </c>
      <c r="J1100" s="96" t="s">
        <v>177</v>
      </c>
      <c r="K1100" s="96" t="s">
        <v>200</v>
      </c>
      <c r="L1100">
        <v>43</v>
      </c>
      <c r="M1100" t="s">
        <v>24</v>
      </c>
      <c r="N1100" t="s">
        <v>35</v>
      </c>
      <c r="O1100" t="s">
        <v>149</v>
      </c>
      <c r="P1100">
        <v>2026</v>
      </c>
    </row>
    <row r="1101" spans="1:16" hidden="1" x14ac:dyDescent="0.25">
      <c r="A1101" s="96" t="s">
        <v>2</v>
      </c>
      <c r="B1101" s="96" t="s">
        <v>322</v>
      </c>
      <c r="C1101" s="96" t="s">
        <v>1182</v>
      </c>
      <c r="D1101" s="96" t="s">
        <v>34</v>
      </c>
      <c r="E1101" s="43">
        <v>45947</v>
      </c>
      <c r="F1101" s="43">
        <v>46058</v>
      </c>
      <c r="G1101" s="96" t="s">
        <v>90</v>
      </c>
      <c r="H1101" s="96" t="s">
        <v>1147</v>
      </c>
      <c r="I1101" s="96" t="s">
        <v>194</v>
      </c>
      <c r="J1101" s="96" t="s">
        <v>177</v>
      </c>
      <c r="K1101" s="96" t="s">
        <v>205</v>
      </c>
      <c r="L1101">
        <v>111</v>
      </c>
      <c r="M1101" t="s">
        <v>28</v>
      </c>
      <c r="N1101" t="s">
        <v>16</v>
      </c>
      <c r="O1101" t="s">
        <v>150</v>
      </c>
      <c r="P1101">
        <v>2025</v>
      </c>
    </row>
    <row r="1102" spans="1:16" x14ac:dyDescent="0.25">
      <c r="A1102" s="96" t="s">
        <v>21</v>
      </c>
      <c r="B1102" s="96" t="s">
        <v>374</v>
      </c>
      <c r="C1102" s="96" t="s">
        <v>1183</v>
      </c>
      <c r="D1102" s="96" t="s">
        <v>203</v>
      </c>
      <c r="E1102" s="43">
        <v>46084</v>
      </c>
      <c r="F1102" s="43">
        <v>46138</v>
      </c>
      <c r="G1102" s="96" t="s">
        <v>92</v>
      </c>
      <c r="H1102" s="96" t="s">
        <v>1148</v>
      </c>
      <c r="I1102" s="96" t="s">
        <v>225</v>
      </c>
      <c r="J1102" s="96" t="s">
        <v>165</v>
      </c>
      <c r="K1102" s="96" t="s">
        <v>230</v>
      </c>
      <c r="L1102">
        <v>54</v>
      </c>
      <c r="M1102" t="s">
        <v>24</v>
      </c>
      <c r="N1102" t="s">
        <v>35</v>
      </c>
      <c r="O1102" t="s">
        <v>150</v>
      </c>
      <c r="P1102">
        <v>2026</v>
      </c>
    </row>
    <row r="1103" spans="1:16" hidden="1" x14ac:dyDescent="0.25">
      <c r="A1103" s="96" t="s">
        <v>2</v>
      </c>
      <c r="B1103" s="96" t="s">
        <v>211</v>
      </c>
      <c r="C1103" s="96" t="s">
        <v>1184</v>
      </c>
      <c r="D1103" s="96" t="s">
        <v>34</v>
      </c>
      <c r="E1103" s="43">
        <v>45895</v>
      </c>
      <c r="F1103" s="43">
        <v>46009</v>
      </c>
      <c r="G1103" s="96" t="s">
        <v>92</v>
      </c>
      <c r="H1103" s="96" t="s">
        <v>1150</v>
      </c>
      <c r="I1103" s="96" t="s">
        <v>225</v>
      </c>
      <c r="J1103" s="96" t="s">
        <v>98</v>
      </c>
      <c r="K1103" s="96" t="s">
        <v>195</v>
      </c>
      <c r="L1103">
        <v>114</v>
      </c>
      <c r="M1103" t="s">
        <v>28</v>
      </c>
      <c r="N1103" t="s">
        <v>8</v>
      </c>
      <c r="O1103" t="s">
        <v>170</v>
      </c>
      <c r="P1103">
        <v>2025</v>
      </c>
    </row>
    <row r="1104" spans="1:16" hidden="1" x14ac:dyDescent="0.25">
      <c r="A1104" s="96" t="s">
        <v>2</v>
      </c>
      <c r="B1104" s="96" t="s">
        <v>213</v>
      </c>
      <c r="C1104" s="96" t="s">
        <v>1185</v>
      </c>
      <c r="D1104" s="96" t="s">
        <v>237</v>
      </c>
      <c r="E1104" s="43">
        <v>45908</v>
      </c>
      <c r="F1104" s="43">
        <v>46001</v>
      </c>
      <c r="G1104" s="96" t="s">
        <v>92</v>
      </c>
      <c r="H1104" s="96" t="s">
        <v>4586</v>
      </c>
      <c r="I1104" s="96" t="s">
        <v>225</v>
      </c>
      <c r="J1104" s="96" t="s">
        <v>98</v>
      </c>
      <c r="K1104" s="96" t="s">
        <v>200</v>
      </c>
      <c r="L1104">
        <v>93</v>
      </c>
      <c r="M1104" t="s">
        <v>28</v>
      </c>
      <c r="N1104" t="s">
        <v>12</v>
      </c>
      <c r="O1104" t="s">
        <v>149</v>
      </c>
      <c r="P1104">
        <v>2025</v>
      </c>
    </row>
    <row r="1105" spans="1:16" hidden="1" x14ac:dyDescent="0.25">
      <c r="A1105" s="96" t="s">
        <v>2</v>
      </c>
      <c r="B1105" s="96" t="s">
        <v>238</v>
      </c>
      <c r="C1105" s="96" t="s">
        <v>4587</v>
      </c>
      <c r="D1105" s="96" t="s">
        <v>14</v>
      </c>
      <c r="E1105" s="43">
        <v>45939</v>
      </c>
      <c r="F1105" s="43">
        <v>45950</v>
      </c>
      <c r="G1105" s="96" t="s">
        <v>92</v>
      </c>
      <c r="H1105" s="96" t="s">
        <v>4588</v>
      </c>
      <c r="I1105" s="96" t="s">
        <v>194</v>
      </c>
      <c r="J1105" s="96" t="s">
        <v>98</v>
      </c>
      <c r="K1105" s="96" t="s">
        <v>157</v>
      </c>
      <c r="L1105">
        <v>11</v>
      </c>
      <c r="M1105" t="s">
        <v>15</v>
      </c>
      <c r="N1105" t="s">
        <v>16</v>
      </c>
      <c r="O1105" t="s">
        <v>170</v>
      </c>
      <c r="P1105">
        <v>2025</v>
      </c>
    </row>
    <row r="1106" spans="1:16" hidden="1" x14ac:dyDescent="0.25">
      <c r="A1106" s="96" t="s">
        <v>2</v>
      </c>
      <c r="B1106" s="96" t="s">
        <v>255</v>
      </c>
      <c r="C1106" s="96" t="s">
        <v>4589</v>
      </c>
      <c r="D1106" s="96" t="s">
        <v>203</v>
      </c>
      <c r="E1106" s="43">
        <v>45955</v>
      </c>
      <c r="F1106" s="43">
        <v>46017</v>
      </c>
      <c r="G1106" s="96" t="s">
        <v>90</v>
      </c>
      <c r="H1106" s="96" t="s">
        <v>4590</v>
      </c>
      <c r="I1106" s="96" t="s">
        <v>225</v>
      </c>
      <c r="J1106" s="96" t="s">
        <v>229</v>
      </c>
      <c r="K1106" s="96" t="s">
        <v>246</v>
      </c>
      <c r="L1106">
        <v>62</v>
      </c>
      <c r="M1106" t="s">
        <v>28</v>
      </c>
      <c r="N1106" t="s">
        <v>16</v>
      </c>
      <c r="O1106" t="s">
        <v>150</v>
      </c>
      <c r="P1106">
        <v>2025</v>
      </c>
    </row>
    <row r="1107" spans="1:16" hidden="1" x14ac:dyDescent="0.25">
      <c r="A1107" s="96" t="s">
        <v>2</v>
      </c>
      <c r="B1107" s="96" t="s">
        <v>211</v>
      </c>
      <c r="C1107" s="96" t="s">
        <v>1186</v>
      </c>
      <c r="D1107" s="96" t="s">
        <v>215</v>
      </c>
      <c r="E1107" s="43">
        <v>46021</v>
      </c>
      <c r="F1107" s="43">
        <v>46047</v>
      </c>
      <c r="G1107" s="96" t="s">
        <v>90</v>
      </c>
      <c r="H1107" s="96" t="s">
        <v>4591</v>
      </c>
      <c r="I1107" s="96" t="s">
        <v>9</v>
      </c>
      <c r="J1107" s="96" t="s">
        <v>168</v>
      </c>
      <c r="K1107" s="96" t="s">
        <v>210</v>
      </c>
      <c r="L1107">
        <v>26</v>
      </c>
      <c r="M1107" t="s">
        <v>19</v>
      </c>
      <c r="N1107" t="s">
        <v>25</v>
      </c>
      <c r="O1107" t="s">
        <v>170</v>
      </c>
      <c r="P1107">
        <v>2025</v>
      </c>
    </row>
    <row r="1108" spans="1:16" x14ac:dyDescent="0.25">
      <c r="A1108" s="96" t="s">
        <v>2</v>
      </c>
      <c r="B1108" s="96" t="s">
        <v>201</v>
      </c>
      <c r="C1108" s="96" t="s">
        <v>1187</v>
      </c>
      <c r="D1108" s="96" t="s">
        <v>215</v>
      </c>
      <c r="E1108" s="43">
        <v>46056</v>
      </c>
      <c r="F1108" s="43">
        <v>46121</v>
      </c>
      <c r="G1108" s="96" t="s">
        <v>92</v>
      </c>
      <c r="H1108" s="96" t="s">
        <v>4592</v>
      </c>
      <c r="I1108" s="96" t="s">
        <v>9</v>
      </c>
      <c r="J1108" s="96" t="s">
        <v>177</v>
      </c>
      <c r="K1108" s="96" t="s">
        <v>200</v>
      </c>
      <c r="L1108">
        <v>65</v>
      </c>
      <c r="M1108" t="s">
        <v>28</v>
      </c>
      <c r="N1108" t="s">
        <v>32</v>
      </c>
      <c r="O1108" t="s">
        <v>170</v>
      </c>
      <c r="P1108">
        <v>2026</v>
      </c>
    </row>
    <row r="1109" spans="1:16" hidden="1" x14ac:dyDescent="0.25">
      <c r="A1109" s="96" t="s">
        <v>2</v>
      </c>
      <c r="B1109" s="96" t="s">
        <v>272</v>
      </c>
      <c r="C1109" s="96" t="s">
        <v>4593</v>
      </c>
      <c r="D1109" s="96" t="s">
        <v>192</v>
      </c>
      <c r="E1109" s="43">
        <v>45962</v>
      </c>
      <c r="F1109" s="43">
        <v>45992</v>
      </c>
      <c r="G1109" s="96" t="s">
        <v>92</v>
      </c>
      <c r="H1109" s="96" t="s">
        <v>4594</v>
      </c>
      <c r="I1109" s="96" t="s">
        <v>228</v>
      </c>
      <c r="J1109" s="96" t="s">
        <v>94</v>
      </c>
      <c r="K1109" s="96" t="s">
        <v>210</v>
      </c>
      <c r="L1109">
        <v>30</v>
      </c>
      <c r="M1109" t="s">
        <v>19</v>
      </c>
      <c r="N1109" t="s">
        <v>20</v>
      </c>
      <c r="O1109" t="s">
        <v>151</v>
      </c>
      <c r="P1109">
        <v>2025</v>
      </c>
    </row>
    <row r="1110" spans="1:16" x14ac:dyDescent="0.25">
      <c r="A1110" s="96" t="s">
        <v>2</v>
      </c>
      <c r="B1110" s="96" t="s">
        <v>374</v>
      </c>
      <c r="C1110" s="96" t="s">
        <v>1188</v>
      </c>
      <c r="D1110" s="96" t="s">
        <v>208</v>
      </c>
      <c r="E1110" s="43">
        <v>46028</v>
      </c>
      <c r="F1110" s="43">
        <v>46112</v>
      </c>
      <c r="G1110" s="96" t="s">
        <v>90</v>
      </c>
      <c r="H1110" s="96" t="s">
        <v>4595</v>
      </c>
      <c r="I1110" s="96" t="s">
        <v>204</v>
      </c>
      <c r="J1110" s="96" t="s">
        <v>176</v>
      </c>
      <c r="K1110" s="96" t="s">
        <v>195</v>
      </c>
      <c r="L1110">
        <v>84</v>
      </c>
      <c r="M1110" t="s">
        <v>28</v>
      </c>
      <c r="N1110" t="s">
        <v>29</v>
      </c>
      <c r="O1110" t="s">
        <v>150</v>
      </c>
      <c r="P1110">
        <v>2026</v>
      </c>
    </row>
    <row r="1111" spans="1:16" x14ac:dyDescent="0.25">
      <c r="A1111" s="96" t="s">
        <v>2</v>
      </c>
      <c r="B1111" s="96" t="s">
        <v>288</v>
      </c>
      <c r="C1111" s="96" t="s">
        <v>1189</v>
      </c>
      <c r="D1111" s="96" t="s">
        <v>203</v>
      </c>
      <c r="E1111" s="43">
        <v>46063</v>
      </c>
      <c r="F1111" s="43">
        <v>46138</v>
      </c>
      <c r="G1111" s="96" t="s">
        <v>90</v>
      </c>
      <c r="H1111" s="96" t="s">
        <v>1157</v>
      </c>
      <c r="I1111" s="96" t="s">
        <v>157</v>
      </c>
      <c r="J1111" s="96" t="s">
        <v>168</v>
      </c>
      <c r="K1111" s="96" t="s">
        <v>233</v>
      </c>
      <c r="L1111">
        <v>75</v>
      </c>
      <c r="M1111" t="s">
        <v>28</v>
      </c>
      <c r="N1111" t="s">
        <v>32</v>
      </c>
      <c r="O1111" t="s">
        <v>170</v>
      </c>
      <c r="P1111">
        <v>2026</v>
      </c>
    </row>
    <row r="1112" spans="1:16" hidden="1" x14ac:dyDescent="0.25">
      <c r="A1112" s="96" t="s">
        <v>175</v>
      </c>
      <c r="B1112" s="96" t="s">
        <v>322</v>
      </c>
      <c r="C1112" s="96" t="s">
        <v>1190</v>
      </c>
      <c r="D1112" s="96" t="s">
        <v>208</v>
      </c>
      <c r="E1112" s="43">
        <v>45858</v>
      </c>
      <c r="F1112" s="43">
        <v>45879</v>
      </c>
      <c r="G1112" s="96" t="s">
        <v>92</v>
      </c>
      <c r="H1112" s="96" t="s">
        <v>1159</v>
      </c>
      <c r="I1112" s="96" t="s">
        <v>9</v>
      </c>
      <c r="J1112" s="96" t="s">
        <v>169</v>
      </c>
      <c r="K1112" s="96" t="s">
        <v>195</v>
      </c>
      <c r="L1112">
        <v>21</v>
      </c>
      <c r="M1112" t="s">
        <v>19</v>
      </c>
      <c r="N1112" t="s">
        <v>187</v>
      </c>
      <c r="O1112" t="s">
        <v>150</v>
      </c>
      <c r="P1112">
        <v>2025</v>
      </c>
    </row>
    <row r="1113" spans="1:16" hidden="1" x14ac:dyDescent="0.25">
      <c r="A1113" s="96" t="s">
        <v>175</v>
      </c>
      <c r="B1113" s="96" t="s">
        <v>264</v>
      </c>
      <c r="C1113" s="96" t="s">
        <v>1191</v>
      </c>
      <c r="D1113" s="96" t="s">
        <v>237</v>
      </c>
      <c r="E1113" s="43">
        <v>45943</v>
      </c>
      <c r="F1113" s="43">
        <v>46057</v>
      </c>
      <c r="G1113" s="96" t="s">
        <v>90</v>
      </c>
      <c r="H1113" s="96" t="s">
        <v>4596</v>
      </c>
      <c r="I1113" s="96" t="s">
        <v>225</v>
      </c>
      <c r="J1113" s="96" t="s">
        <v>176</v>
      </c>
      <c r="K1113" s="96" t="s">
        <v>210</v>
      </c>
      <c r="L1113">
        <v>114</v>
      </c>
      <c r="M1113" t="s">
        <v>28</v>
      </c>
      <c r="N1113" t="s">
        <v>16</v>
      </c>
      <c r="O1113" t="s">
        <v>152</v>
      </c>
      <c r="P1113">
        <v>2025</v>
      </c>
    </row>
    <row r="1114" spans="1:16" x14ac:dyDescent="0.25">
      <c r="A1114" s="96" t="s">
        <v>2</v>
      </c>
      <c r="B1114" s="96" t="s">
        <v>269</v>
      </c>
      <c r="C1114" s="96" t="s">
        <v>1192</v>
      </c>
      <c r="D1114" s="96" t="s">
        <v>223</v>
      </c>
      <c r="E1114" s="43">
        <v>46123</v>
      </c>
      <c r="F1114" s="43">
        <v>46149</v>
      </c>
      <c r="G1114" s="96" t="s">
        <v>90</v>
      </c>
      <c r="H1114" s="96" t="s">
        <v>4597</v>
      </c>
      <c r="I1114" s="96" t="s">
        <v>9</v>
      </c>
      <c r="J1114" s="96" t="s">
        <v>96</v>
      </c>
      <c r="K1114" s="96" t="s">
        <v>217</v>
      </c>
      <c r="L1114">
        <v>26</v>
      </c>
      <c r="M1114" t="s">
        <v>19</v>
      </c>
      <c r="N1114" t="s">
        <v>37</v>
      </c>
      <c r="O1114" t="s">
        <v>152</v>
      </c>
      <c r="P1114">
        <v>2026</v>
      </c>
    </row>
    <row r="1115" spans="1:16" x14ac:dyDescent="0.25">
      <c r="A1115" s="96" t="s">
        <v>2</v>
      </c>
      <c r="B1115" s="96" t="s">
        <v>269</v>
      </c>
      <c r="C1115" s="96" t="s">
        <v>4598</v>
      </c>
      <c r="D1115" s="96" t="s">
        <v>14</v>
      </c>
      <c r="E1115" s="43">
        <v>46058</v>
      </c>
      <c r="F1115" s="43">
        <v>46146</v>
      </c>
      <c r="G1115" s="96" t="s">
        <v>92</v>
      </c>
      <c r="H1115" s="96" t="s">
        <v>4599</v>
      </c>
      <c r="I1115" s="96" t="s">
        <v>209</v>
      </c>
      <c r="J1115" s="96" t="s">
        <v>169</v>
      </c>
      <c r="K1115" s="96" t="s">
        <v>157</v>
      </c>
      <c r="L1115">
        <v>88</v>
      </c>
      <c r="M1115" t="s">
        <v>28</v>
      </c>
      <c r="N1115" t="s">
        <v>32</v>
      </c>
      <c r="O1115" t="s">
        <v>152</v>
      </c>
      <c r="P1115">
        <v>2026</v>
      </c>
    </row>
    <row r="1116" spans="1:16" hidden="1" x14ac:dyDescent="0.25">
      <c r="A1116" s="96" t="s">
        <v>2</v>
      </c>
      <c r="B1116" s="96" t="s">
        <v>257</v>
      </c>
      <c r="C1116" s="96" t="s">
        <v>1193</v>
      </c>
      <c r="D1116" s="96" t="s">
        <v>40</v>
      </c>
      <c r="E1116" s="43">
        <v>45678</v>
      </c>
      <c r="F1116" s="43">
        <v>45747</v>
      </c>
      <c r="G1116" s="96" t="s">
        <v>95</v>
      </c>
      <c r="H1116" s="96" t="s">
        <v>4600</v>
      </c>
      <c r="I1116" s="96" t="s">
        <v>157</v>
      </c>
      <c r="J1116" s="96" t="s">
        <v>165</v>
      </c>
      <c r="K1116" s="96" t="s">
        <v>217</v>
      </c>
      <c r="L1116">
        <v>69</v>
      </c>
      <c r="M1116" t="s">
        <v>28</v>
      </c>
      <c r="N1116" t="s">
        <v>181</v>
      </c>
      <c r="O1116" t="s">
        <v>151</v>
      </c>
      <c r="P1116">
        <v>2025</v>
      </c>
    </row>
    <row r="1117" spans="1:16" hidden="1" x14ac:dyDescent="0.25">
      <c r="A1117" s="96" t="s">
        <v>189</v>
      </c>
      <c r="B1117" s="96" t="s">
        <v>206</v>
      </c>
      <c r="C1117" s="96" t="s">
        <v>4601</v>
      </c>
      <c r="D1117" s="96" t="s">
        <v>14</v>
      </c>
      <c r="E1117" s="43">
        <v>45773</v>
      </c>
      <c r="F1117" s="43">
        <v>45805</v>
      </c>
      <c r="G1117" s="96" t="s">
        <v>92</v>
      </c>
      <c r="H1117" s="96" t="s">
        <v>4602</v>
      </c>
      <c r="I1117" s="96" t="s">
        <v>9</v>
      </c>
      <c r="J1117" s="96" t="s">
        <v>97</v>
      </c>
      <c r="K1117" s="96" t="s">
        <v>157</v>
      </c>
      <c r="L1117">
        <v>32</v>
      </c>
      <c r="M1117" t="s">
        <v>24</v>
      </c>
      <c r="N1117" t="s">
        <v>185</v>
      </c>
      <c r="O1117" t="s">
        <v>152</v>
      </c>
      <c r="P1117">
        <v>2025</v>
      </c>
    </row>
    <row r="1118" spans="1:16" hidden="1" x14ac:dyDescent="0.25">
      <c r="A1118" s="96" t="s">
        <v>21</v>
      </c>
      <c r="B1118" s="96" t="s">
        <v>264</v>
      </c>
      <c r="C1118" s="96" t="s">
        <v>1194</v>
      </c>
      <c r="D1118" s="96" t="s">
        <v>208</v>
      </c>
      <c r="E1118" s="43">
        <v>45672</v>
      </c>
      <c r="F1118" s="43">
        <v>45720</v>
      </c>
      <c r="G1118" s="96" t="s">
        <v>90</v>
      </c>
      <c r="H1118" s="96" t="s">
        <v>4603</v>
      </c>
      <c r="I1118" s="96" t="s">
        <v>204</v>
      </c>
      <c r="J1118" s="96" t="s">
        <v>93</v>
      </c>
      <c r="K1118" s="96" t="s">
        <v>217</v>
      </c>
      <c r="L1118">
        <v>48</v>
      </c>
      <c r="M1118" t="s">
        <v>24</v>
      </c>
      <c r="N1118" t="s">
        <v>181</v>
      </c>
      <c r="O1118" t="s">
        <v>152</v>
      </c>
      <c r="P1118">
        <v>2025</v>
      </c>
    </row>
    <row r="1119" spans="1:16" hidden="1" x14ac:dyDescent="0.25">
      <c r="A1119" s="96" t="s">
        <v>2</v>
      </c>
      <c r="B1119" s="96" t="s">
        <v>206</v>
      </c>
      <c r="C1119" s="96" t="s">
        <v>1195</v>
      </c>
      <c r="D1119" s="96" t="s">
        <v>40</v>
      </c>
      <c r="E1119" s="43">
        <v>45795</v>
      </c>
      <c r="F1119" s="43">
        <v>45888</v>
      </c>
      <c r="G1119" s="96" t="s">
        <v>92</v>
      </c>
      <c r="H1119" s="96" t="s">
        <v>4604</v>
      </c>
      <c r="I1119" s="96" t="s">
        <v>194</v>
      </c>
      <c r="J1119" s="96" t="s">
        <v>176</v>
      </c>
      <c r="K1119" s="96" t="s">
        <v>157</v>
      </c>
      <c r="L1119">
        <v>93</v>
      </c>
      <c r="M1119" t="s">
        <v>28</v>
      </c>
      <c r="N1119" t="s">
        <v>182</v>
      </c>
      <c r="O1119" t="s">
        <v>152</v>
      </c>
      <c r="P1119">
        <v>2025</v>
      </c>
    </row>
    <row r="1120" spans="1:16" hidden="1" x14ac:dyDescent="0.25">
      <c r="A1120" s="96" t="s">
        <v>2</v>
      </c>
      <c r="B1120" s="96" t="s">
        <v>255</v>
      </c>
      <c r="C1120" s="96" t="s">
        <v>1196</v>
      </c>
      <c r="D1120" s="96" t="s">
        <v>10</v>
      </c>
      <c r="E1120" s="43">
        <v>45690</v>
      </c>
      <c r="F1120" s="43">
        <v>45746</v>
      </c>
      <c r="G1120" s="96" t="s">
        <v>92</v>
      </c>
      <c r="H1120" s="96" t="s">
        <v>4605</v>
      </c>
      <c r="I1120" s="96" t="s">
        <v>228</v>
      </c>
      <c r="J1120" s="96" t="s">
        <v>172</v>
      </c>
      <c r="K1120" s="96" t="s">
        <v>200</v>
      </c>
      <c r="L1120">
        <v>56</v>
      </c>
      <c r="M1120" t="s">
        <v>24</v>
      </c>
      <c r="N1120" t="s">
        <v>188</v>
      </c>
      <c r="O1120" t="s">
        <v>150</v>
      </c>
      <c r="P1120">
        <v>2025</v>
      </c>
    </row>
    <row r="1121" spans="1:16" x14ac:dyDescent="0.25">
      <c r="A1121" s="96" t="s">
        <v>2</v>
      </c>
      <c r="B1121" s="96" t="s">
        <v>218</v>
      </c>
      <c r="C1121" s="96" t="s">
        <v>4606</v>
      </c>
      <c r="D1121" s="96" t="s">
        <v>192</v>
      </c>
      <c r="E1121" s="43">
        <v>46101</v>
      </c>
      <c r="F1121" s="43">
        <v>46151</v>
      </c>
      <c r="G1121" s="96" t="s">
        <v>92</v>
      </c>
      <c r="H1121" s="96" t="s">
        <v>4607</v>
      </c>
      <c r="I1121" s="96" t="s">
        <v>194</v>
      </c>
      <c r="J1121" s="96" t="s">
        <v>176</v>
      </c>
      <c r="K1121" s="96" t="s">
        <v>230</v>
      </c>
      <c r="L1121">
        <v>50</v>
      </c>
      <c r="M1121" t="s">
        <v>24</v>
      </c>
      <c r="N1121" t="s">
        <v>35</v>
      </c>
      <c r="O1121" t="s">
        <v>152</v>
      </c>
      <c r="P1121">
        <v>2026</v>
      </c>
    </row>
    <row r="1122" spans="1:16" x14ac:dyDescent="0.25">
      <c r="A1122" s="96" t="s">
        <v>2</v>
      </c>
      <c r="B1122" s="96" t="s">
        <v>374</v>
      </c>
      <c r="C1122" s="96" t="s">
        <v>4608</v>
      </c>
      <c r="D1122" s="96" t="s">
        <v>223</v>
      </c>
      <c r="E1122" s="43">
        <v>46069</v>
      </c>
      <c r="F1122" s="43">
        <v>46084</v>
      </c>
      <c r="G1122" s="96" t="s">
        <v>95</v>
      </c>
      <c r="H1122" s="96" t="s">
        <v>4609</v>
      </c>
      <c r="I1122" s="96" t="s">
        <v>157</v>
      </c>
      <c r="J1122" s="96" t="s">
        <v>199</v>
      </c>
      <c r="K1122" s="96" t="s">
        <v>230</v>
      </c>
      <c r="L1122">
        <v>15</v>
      </c>
      <c r="M1122" t="s">
        <v>19</v>
      </c>
      <c r="N1122" t="s">
        <v>32</v>
      </c>
      <c r="O1122" t="s">
        <v>150</v>
      </c>
      <c r="P1122">
        <v>2026</v>
      </c>
    </row>
    <row r="1123" spans="1:16" x14ac:dyDescent="0.25">
      <c r="A1123" s="96" t="s">
        <v>2</v>
      </c>
      <c r="B1123" s="96" t="s">
        <v>218</v>
      </c>
      <c r="C1123" s="96" t="s">
        <v>1197</v>
      </c>
      <c r="D1123" s="96" t="s">
        <v>215</v>
      </c>
      <c r="E1123" s="43">
        <v>46100</v>
      </c>
      <c r="F1123" s="43">
        <v>46149</v>
      </c>
      <c r="G1123" s="96" t="s">
        <v>92</v>
      </c>
      <c r="H1123" s="96" t="s">
        <v>4610</v>
      </c>
      <c r="I1123" s="96" t="s">
        <v>209</v>
      </c>
      <c r="J1123" s="96" t="s">
        <v>93</v>
      </c>
      <c r="K1123" s="96" t="s">
        <v>205</v>
      </c>
      <c r="L1123">
        <v>49</v>
      </c>
      <c r="M1123" t="s">
        <v>24</v>
      </c>
      <c r="N1123" t="s">
        <v>35</v>
      </c>
      <c r="O1123" t="s">
        <v>152</v>
      </c>
      <c r="P1123">
        <v>2026</v>
      </c>
    </row>
    <row r="1124" spans="1:16" x14ac:dyDescent="0.25">
      <c r="A1124" s="96" t="s">
        <v>2</v>
      </c>
      <c r="B1124" s="96" t="s">
        <v>261</v>
      </c>
      <c r="C1124" s="96" t="s">
        <v>1198</v>
      </c>
      <c r="D1124" s="96" t="s">
        <v>10</v>
      </c>
      <c r="E1124" s="43">
        <v>46094</v>
      </c>
      <c r="F1124" s="43">
        <v>46150</v>
      </c>
      <c r="G1124" s="96" t="s">
        <v>90</v>
      </c>
      <c r="H1124" s="96" t="s">
        <v>4611</v>
      </c>
      <c r="I1124" s="96" t="s">
        <v>9</v>
      </c>
      <c r="J1124" s="96" t="s">
        <v>216</v>
      </c>
      <c r="K1124" s="96" t="s">
        <v>205</v>
      </c>
      <c r="L1124">
        <v>56</v>
      </c>
      <c r="M1124" t="s">
        <v>24</v>
      </c>
      <c r="N1124" t="s">
        <v>35</v>
      </c>
      <c r="O1124" t="s">
        <v>151</v>
      </c>
      <c r="P1124">
        <v>2026</v>
      </c>
    </row>
    <row r="1125" spans="1:16" hidden="1" x14ac:dyDescent="0.25">
      <c r="A1125" s="96" t="s">
        <v>175</v>
      </c>
      <c r="B1125" s="96" t="s">
        <v>251</v>
      </c>
      <c r="C1125" s="96" t="s">
        <v>1199</v>
      </c>
      <c r="D1125" s="96" t="s">
        <v>208</v>
      </c>
      <c r="E1125" s="43">
        <v>45741</v>
      </c>
      <c r="F1125" s="43">
        <v>45853</v>
      </c>
      <c r="G1125" s="96" t="s">
        <v>90</v>
      </c>
      <c r="H1125" s="96" t="s">
        <v>4612</v>
      </c>
      <c r="I1125" s="96" t="s">
        <v>194</v>
      </c>
      <c r="J1125" s="96" t="s">
        <v>93</v>
      </c>
      <c r="K1125" s="96" t="s">
        <v>210</v>
      </c>
      <c r="L1125">
        <v>112</v>
      </c>
      <c r="M1125" t="s">
        <v>28</v>
      </c>
      <c r="N1125" t="s">
        <v>186</v>
      </c>
      <c r="O1125" t="s">
        <v>170</v>
      </c>
      <c r="P1125">
        <v>2025</v>
      </c>
    </row>
    <row r="1126" spans="1:16" hidden="1" x14ac:dyDescent="0.25">
      <c r="A1126" s="96" t="s">
        <v>2</v>
      </c>
      <c r="B1126" s="96" t="s">
        <v>264</v>
      </c>
      <c r="C1126" s="96" t="s">
        <v>4613</v>
      </c>
      <c r="D1126" s="96" t="s">
        <v>10</v>
      </c>
      <c r="E1126" s="43">
        <v>45862</v>
      </c>
      <c r="F1126" s="43">
        <v>45950</v>
      </c>
      <c r="G1126" s="96" t="s">
        <v>92</v>
      </c>
      <c r="H1126" s="96" t="s">
        <v>4614</v>
      </c>
      <c r="I1126" s="96" t="s">
        <v>209</v>
      </c>
      <c r="J1126" s="96" t="s">
        <v>177</v>
      </c>
      <c r="K1126" s="96" t="s">
        <v>200</v>
      </c>
      <c r="L1126">
        <v>88</v>
      </c>
      <c r="M1126" t="s">
        <v>28</v>
      </c>
      <c r="N1126" t="s">
        <v>187</v>
      </c>
      <c r="O1126" t="s">
        <v>152</v>
      </c>
      <c r="P1126">
        <v>2025</v>
      </c>
    </row>
    <row r="1127" spans="1:16" x14ac:dyDescent="0.25">
      <c r="A1127" s="96" t="s">
        <v>189</v>
      </c>
      <c r="B1127" s="96" t="s">
        <v>219</v>
      </c>
      <c r="C1127" s="96" t="s">
        <v>1200</v>
      </c>
      <c r="D1127" s="96" t="s">
        <v>10</v>
      </c>
      <c r="E1127" s="43">
        <v>46135</v>
      </c>
      <c r="F1127" s="43">
        <v>46147</v>
      </c>
      <c r="G1127" s="96" t="s">
        <v>92</v>
      </c>
      <c r="H1127" s="96" t="s">
        <v>4615</v>
      </c>
      <c r="I1127" s="96" t="s">
        <v>9</v>
      </c>
      <c r="J1127" s="96" t="s">
        <v>172</v>
      </c>
      <c r="K1127" s="96" t="s">
        <v>210</v>
      </c>
      <c r="L1127">
        <v>12</v>
      </c>
      <c r="M1127" t="s">
        <v>15</v>
      </c>
      <c r="N1127" t="s">
        <v>37</v>
      </c>
      <c r="O1127" t="s">
        <v>149</v>
      </c>
      <c r="P1127">
        <v>2026</v>
      </c>
    </row>
    <row r="1128" spans="1:16" hidden="1" x14ac:dyDescent="0.25">
      <c r="A1128" s="96" t="s">
        <v>2</v>
      </c>
      <c r="B1128" s="96" t="s">
        <v>322</v>
      </c>
      <c r="C1128" s="96" t="s">
        <v>1201</v>
      </c>
      <c r="D1128" s="96" t="s">
        <v>14</v>
      </c>
      <c r="E1128" s="43">
        <v>46007</v>
      </c>
      <c r="F1128" s="43">
        <v>46030</v>
      </c>
      <c r="G1128" s="96" t="s">
        <v>92</v>
      </c>
      <c r="H1128" s="96" t="s">
        <v>4616</v>
      </c>
      <c r="I1128" s="96" t="s">
        <v>194</v>
      </c>
      <c r="J1128" s="96" t="s">
        <v>172</v>
      </c>
      <c r="K1128" s="96" t="s">
        <v>230</v>
      </c>
      <c r="L1128">
        <v>23</v>
      </c>
      <c r="M1128" t="s">
        <v>19</v>
      </c>
      <c r="N1128" t="s">
        <v>25</v>
      </c>
      <c r="O1128" t="s">
        <v>150</v>
      </c>
      <c r="P1128">
        <v>2025</v>
      </c>
    </row>
    <row r="1129" spans="1:16" x14ac:dyDescent="0.25">
      <c r="A1129" s="96" t="s">
        <v>2</v>
      </c>
      <c r="B1129" s="96" t="s">
        <v>269</v>
      </c>
      <c r="C1129" s="96" t="s">
        <v>1202</v>
      </c>
      <c r="D1129" s="96" t="s">
        <v>215</v>
      </c>
      <c r="E1129" s="43">
        <v>46111</v>
      </c>
      <c r="F1129" s="43">
        <v>46128</v>
      </c>
      <c r="G1129" s="96" t="s">
        <v>90</v>
      </c>
      <c r="H1129" s="96" t="s">
        <v>4617</v>
      </c>
      <c r="I1129" s="96" t="s">
        <v>225</v>
      </c>
      <c r="J1129" s="96" t="s">
        <v>229</v>
      </c>
      <c r="K1129" s="96" t="s">
        <v>210</v>
      </c>
      <c r="L1129">
        <v>17</v>
      </c>
      <c r="M1129" t="s">
        <v>19</v>
      </c>
      <c r="N1129" t="s">
        <v>35</v>
      </c>
      <c r="O1129" t="s">
        <v>152</v>
      </c>
      <c r="P1129">
        <v>2026</v>
      </c>
    </row>
    <row r="1130" spans="1:16" hidden="1" x14ac:dyDescent="0.25">
      <c r="A1130" s="96" t="s">
        <v>21</v>
      </c>
      <c r="B1130" s="96" t="s">
        <v>231</v>
      </c>
      <c r="C1130" s="96" t="s">
        <v>4618</v>
      </c>
      <c r="D1130" s="96" t="s">
        <v>40</v>
      </c>
      <c r="E1130" s="43">
        <v>45884</v>
      </c>
      <c r="F1130" s="43">
        <v>45914</v>
      </c>
      <c r="G1130" s="96" t="s">
        <v>92</v>
      </c>
      <c r="H1130" s="96" t="s">
        <v>4619</v>
      </c>
      <c r="I1130" s="96" t="s">
        <v>204</v>
      </c>
      <c r="J1130" s="96" t="s">
        <v>216</v>
      </c>
      <c r="K1130" s="96" t="s">
        <v>205</v>
      </c>
      <c r="L1130">
        <v>30</v>
      </c>
      <c r="M1130" t="s">
        <v>19</v>
      </c>
      <c r="N1130" t="s">
        <v>8</v>
      </c>
      <c r="O1130" t="s">
        <v>170</v>
      </c>
      <c r="P1130">
        <v>2025</v>
      </c>
    </row>
    <row r="1131" spans="1:16" x14ac:dyDescent="0.25">
      <c r="A1131" s="96" t="s">
        <v>2</v>
      </c>
      <c r="B1131" s="96" t="s">
        <v>302</v>
      </c>
      <c r="C1131" s="96" t="s">
        <v>1203</v>
      </c>
      <c r="D1131" s="96" t="s">
        <v>237</v>
      </c>
      <c r="E1131" s="43">
        <v>46080</v>
      </c>
      <c r="F1131" s="43">
        <v>46097</v>
      </c>
      <c r="G1131" s="96" t="s">
        <v>92</v>
      </c>
      <c r="H1131" s="96" t="s">
        <v>4620</v>
      </c>
      <c r="I1131" s="96" t="s">
        <v>9</v>
      </c>
      <c r="J1131" s="96" t="s">
        <v>177</v>
      </c>
      <c r="K1131" s="96" t="s">
        <v>157</v>
      </c>
      <c r="L1131">
        <v>17</v>
      </c>
      <c r="M1131" t="s">
        <v>19</v>
      </c>
      <c r="N1131" t="s">
        <v>32</v>
      </c>
      <c r="O1131" t="s">
        <v>150</v>
      </c>
      <c r="P1131">
        <v>2026</v>
      </c>
    </row>
    <row r="1132" spans="1:16" x14ac:dyDescent="0.25">
      <c r="A1132" s="96" t="s">
        <v>2</v>
      </c>
      <c r="B1132" s="96" t="s">
        <v>302</v>
      </c>
      <c r="C1132" s="96" t="s">
        <v>4621</v>
      </c>
      <c r="D1132" s="96" t="s">
        <v>34</v>
      </c>
      <c r="E1132" s="43">
        <v>46034</v>
      </c>
      <c r="F1132" s="43">
        <v>46100</v>
      </c>
      <c r="G1132" s="96" t="s">
        <v>90</v>
      </c>
      <c r="H1132" s="96" t="s">
        <v>4622</v>
      </c>
      <c r="I1132" s="96" t="s">
        <v>157</v>
      </c>
      <c r="J1132" s="96" t="s">
        <v>91</v>
      </c>
      <c r="K1132" s="96" t="s">
        <v>217</v>
      </c>
      <c r="L1132">
        <v>66</v>
      </c>
      <c r="M1132" t="s">
        <v>28</v>
      </c>
      <c r="N1132" t="s">
        <v>29</v>
      </c>
      <c r="O1132" t="s">
        <v>150</v>
      </c>
      <c r="P1132">
        <v>2026</v>
      </c>
    </row>
    <row r="1133" spans="1:16" hidden="1" x14ac:dyDescent="0.25">
      <c r="A1133" s="96" t="s">
        <v>2</v>
      </c>
      <c r="B1133" s="96" t="s">
        <v>272</v>
      </c>
      <c r="C1133" s="96" t="s">
        <v>1204</v>
      </c>
      <c r="D1133" s="96" t="s">
        <v>215</v>
      </c>
      <c r="E1133" s="43">
        <v>45910</v>
      </c>
      <c r="F1133" s="43">
        <v>45996</v>
      </c>
      <c r="G1133" s="96" t="s">
        <v>92</v>
      </c>
      <c r="H1133" s="96" t="s">
        <v>4623</v>
      </c>
      <c r="I1133" s="96" t="s">
        <v>204</v>
      </c>
      <c r="J1133" s="96" t="s">
        <v>93</v>
      </c>
      <c r="K1133" s="96" t="s">
        <v>230</v>
      </c>
      <c r="L1133">
        <v>86</v>
      </c>
      <c r="M1133" t="s">
        <v>28</v>
      </c>
      <c r="N1133" t="s">
        <v>12</v>
      </c>
      <c r="O1133" t="s">
        <v>151</v>
      </c>
      <c r="P1133">
        <v>2025</v>
      </c>
    </row>
    <row r="1134" spans="1:16" x14ac:dyDescent="0.25">
      <c r="A1134" s="96" t="s">
        <v>2</v>
      </c>
      <c r="B1134" s="96" t="s">
        <v>288</v>
      </c>
      <c r="C1134" s="96" t="s">
        <v>1205</v>
      </c>
      <c r="D1134" s="96" t="s">
        <v>34</v>
      </c>
      <c r="E1134" s="43">
        <v>46111</v>
      </c>
      <c r="F1134" s="43">
        <v>46146</v>
      </c>
      <c r="G1134" s="96" t="s">
        <v>90</v>
      </c>
      <c r="H1134" s="96" t="s">
        <v>4624</v>
      </c>
      <c r="I1134" s="96" t="s">
        <v>209</v>
      </c>
      <c r="J1134" s="96" t="s">
        <v>97</v>
      </c>
      <c r="K1134" s="96" t="s">
        <v>217</v>
      </c>
      <c r="L1134">
        <v>35</v>
      </c>
      <c r="M1134" t="s">
        <v>24</v>
      </c>
      <c r="N1134" t="s">
        <v>35</v>
      </c>
      <c r="O1134" t="s">
        <v>170</v>
      </c>
      <c r="P1134">
        <v>2026</v>
      </c>
    </row>
    <row r="1135" spans="1:16" x14ac:dyDescent="0.25">
      <c r="A1135" s="96" t="s">
        <v>2</v>
      </c>
      <c r="B1135" s="96" t="s">
        <v>290</v>
      </c>
      <c r="C1135" s="96" t="s">
        <v>4625</v>
      </c>
      <c r="D1135" s="96" t="s">
        <v>215</v>
      </c>
      <c r="E1135" s="43">
        <v>46052</v>
      </c>
      <c r="F1135" s="43">
        <v>46121</v>
      </c>
      <c r="G1135" s="96" t="s">
        <v>90</v>
      </c>
      <c r="H1135" s="96" t="s">
        <v>4626</v>
      </c>
      <c r="I1135" s="96" t="s">
        <v>9</v>
      </c>
      <c r="J1135" s="96" t="s">
        <v>216</v>
      </c>
      <c r="K1135" s="96" t="s">
        <v>200</v>
      </c>
      <c r="L1135">
        <v>69</v>
      </c>
      <c r="M1135" t="s">
        <v>28</v>
      </c>
      <c r="N1135" t="s">
        <v>29</v>
      </c>
      <c r="O1135" t="s">
        <v>149</v>
      </c>
      <c r="P1135">
        <v>2026</v>
      </c>
    </row>
    <row r="1136" spans="1:16" hidden="1" x14ac:dyDescent="0.25">
      <c r="A1136" s="96" t="s">
        <v>2</v>
      </c>
      <c r="B1136" s="96" t="s">
        <v>257</v>
      </c>
      <c r="C1136" s="96" t="s">
        <v>1206</v>
      </c>
      <c r="D1136" s="96" t="s">
        <v>237</v>
      </c>
      <c r="E1136" s="43">
        <v>45804</v>
      </c>
      <c r="F1136" s="43">
        <v>45889</v>
      </c>
      <c r="G1136" s="96" t="s">
        <v>90</v>
      </c>
      <c r="H1136" s="96" t="s">
        <v>4627</v>
      </c>
      <c r="I1136" s="96" t="s">
        <v>9</v>
      </c>
      <c r="J1136" s="96" t="s">
        <v>174</v>
      </c>
      <c r="K1136" s="96" t="s">
        <v>230</v>
      </c>
      <c r="L1136">
        <v>85</v>
      </c>
      <c r="M1136" t="s">
        <v>28</v>
      </c>
      <c r="N1136" t="s">
        <v>182</v>
      </c>
      <c r="O1136" t="s">
        <v>151</v>
      </c>
      <c r="P1136">
        <v>2025</v>
      </c>
    </row>
    <row r="1137" spans="1:16" x14ac:dyDescent="0.25">
      <c r="A1137" s="96" t="s">
        <v>2</v>
      </c>
      <c r="B1137" s="96" t="s">
        <v>196</v>
      </c>
      <c r="C1137" s="96" t="s">
        <v>1207</v>
      </c>
      <c r="D1137" s="96" t="s">
        <v>223</v>
      </c>
      <c r="E1137" s="43">
        <v>46034</v>
      </c>
      <c r="F1137" s="43">
        <v>46081</v>
      </c>
      <c r="G1137" s="96" t="s">
        <v>90</v>
      </c>
      <c r="H1137" s="96" t="s">
        <v>4628</v>
      </c>
      <c r="I1137" s="96" t="s">
        <v>9</v>
      </c>
      <c r="J1137" s="96" t="s">
        <v>283</v>
      </c>
      <c r="K1137" s="96" t="s">
        <v>230</v>
      </c>
      <c r="L1137">
        <v>47</v>
      </c>
      <c r="M1137" t="s">
        <v>24</v>
      </c>
      <c r="N1137" t="s">
        <v>29</v>
      </c>
      <c r="O1137" t="s">
        <v>152</v>
      </c>
      <c r="P1137">
        <v>2026</v>
      </c>
    </row>
    <row r="1138" spans="1:16" hidden="1" x14ac:dyDescent="0.25">
      <c r="A1138" s="96" t="s">
        <v>175</v>
      </c>
      <c r="B1138" s="96" t="s">
        <v>272</v>
      </c>
      <c r="C1138" s="96" t="s">
        <v>1208</v>
      </c>
      <c r="D1138" s="96" t="s">
        <v>10</v>
      </c>
      <c r="E1138" s="43">
        <v>45888</v>
      </c>
      <c r="F1138" s="43">
        <v>45959</v>
      </c>
      <c r="G1138" s="96" t="s">
        <v>92</v>
      </c>
      <c r="H1138" s="96" t="s">
        <v>4629</v>
      </c>
      <c r="I1138" s="96" t="s">
        <v>204</v>
      </c>
      <c r="J1138" s="96" t="s">
        <v>229</v>
      </c>
      <c r="K1138" s="96" t="s">
        <v>217</v>
      </c>
      <c r="L1138">
        <v>71</v>
      </c>
      <c r="M1138" t="s">
        <v>28</v>
      </c>
      <c r="N1138" t="s">
        <v>8</v>
      </c>
      <c r="O1138" t="s">
        <v>151</v>
      </c>
      <c r="P1138">
        <v>2025</v>
      </c>
    </row>
    <row r="1139" spans="1:16" x14ac:dyDescent="0.25">
      <c r="A1139" s="96" t="s">
        <v>2</v>
      </c>
      <c r="B1139" s="96" t="s">
        <v>274</v>
      </c>
      <c r="C1139" s="96" t="s">
        <v>1209</v>
      </c>
      <c r="D1139" s="96" t="s">
        <v>40</v>
      </c>
      <c r="E1139" s="43">
        <v>46026</v>
      </c>
      <c r="F1139" s="43">
        <v>46036</v>
      </c>
      <c r="G1139" s="96" t="s">
        <v>90</v>
      </c>
      <c r="H1139" s="96" t="s">
        <v>4630</v>
      </c>
      <c r="I1139" s="96" t="s">
        <v>9</v>
      </c>
      <c r="J1139" s="96" t="s">
        <v>91</v>
      </c>
      <c r="K1139" s="96" t="s">
        <v>205</v>
      </c>
      <c r="L1139">
        <v>10</v>
      </c>
      <c r="M1139" t="s">
        <v>15</v>
      </c>
      <c r="N1139" t="s">
        <v>29</v>
      </c>
      <c r="O1139" t="s">
        <v>170</v>
      </c>
      <c r="P1139">
        <v>2026</v>
      </c>
    </row>
    <row r="1140" spans="1:16" x14ac:dyDescent="0.25">
      <c r="A1140" s="96" t="s">
        <v>2</v>
      </c>
      <c r="B1140" s="96" t="s">
        <v>261</v>
      </c>
      <c r="C1140" s="96" t="s">
        <v>4631</v>
      </c>
      <c r="D1140" s="96" t="s">
        <v>192</v>
      </c>
      <c r="E1140" s="43">
        <v>46133</v>
      </c>
      <c r="F1140" s="43">
        <v>46147</v>
      </c>
      <c r="G1140" s="96" t="s">
        <v>90</v>
      </c>
      <c r="H1140" s="96" t="s">
        <v>4632</v>
      </c>
      <c r="I1140" s="96" t="s">
        <v>228</v>
      </c>
      <c r="J1140" s="96" t="s">
        <v>216</v>
      </c>
      <c r="K1140" s="96" t="s">
        <v>205</v>
      </c>
      <c r="L1140">
        <v>14</v>
      </c>
      <c r="M1140" t="s">
        <v>15</v>
      </c>
      <c r="N1140" t="s">
        <v>37</v>
      </c>
      <c r="O1140" t="s">
        <v>151</v>
      </c>
      <c r="P1140">
        <v>2026</v>
      </c>
    </row>
    <row r="1141" spans="1:16" hidden="1" x14ac:dyDescent="0.25">
      <c r="A1141" s="96" t="s">
        <v>2</v>
      </c>
      <c r="B1141" s="96" t="s">
        <v>280</v>
      </c>
      <c r="C1141" s="96" t="s">
        <v>1210</v>
      </c>
      <c r="D1141" s="96" t="s">
        <v>192</v>
      </c>
      <c r="E1141" s="43">
        <v>45831</v>
      </c>
      <c r="F1141" s="43">
        <v>45921</v>
      </c>
      <c r="G1141" s="96" t="s">
        <v>92</v>
      </c>
      <c r="H1141" s="96" t="s">
        <v>4633</v>
      </c>
      <c r="I1141" s="96" t="s">
        <v>209</v>
      </c>
      <c r="J1141" s="96" t="s">
        <v>96</v>
      </c>
      <c r="K1141" s="96" t="s">
        <v>205</v>
      </c>
      <c r="L1141">
        <v>90</v>
      </c>
      <c r="M1141" t="s">
        <v>28</v>
      </c>
      <c r="N1141" t="s">
        <v>184</v>
      </c>
      <c r="O1141" t="s">
        <v>170</v>
      </c>
      <c r="P1141">
        <v>2025</v>
      </c>
    </row>
    <row r="1142" spans="1:16" hidden="1" x14ac:dyDescent="0.25">
      <c r="A1142" s="96" t="s">
        <v>2</v>
      </c>
      <c r="B1142" s="96" t="s">
        <v>211</v>
      </c>
      <c r="C1142" s="96" t="s">
        <v>4634</v>
      </c>
      <c r="D1142" s="96" t="s">
        <v>40</v>
      </c>
      <c r="E1142" s="43">
        <v>46022</v>
      </c>
      <c r="F1142" s="43">
        <v>46029</v>
      </c>
      <c r="G1142" s="96" t="s">
        <v>92</v>
      </c>
      <c r="H1142" s="96" t="s">
        <v>4635</v>
      </c>
      <c r="I1142" s="96" t="s">
        <v>228</v>
      </c>
      <c r="J1142" s="96" t="s">
        <v>283</v>
      </c>
      <c r="K1142" s="96" t="s">
        <v>246</v>
      </c>
      <c r="L1142">
        <v>7</v>
      </c>
      <c r="M1142" t="s">
        <v>11</v>
      </c>
      <c r="N1142" t="s">
        <v>25</v>
      </c>
      <c r="O1142" t="s">
        <v>170</v>
      </c>
      <c r="P1142">
        <v>2025</v>
      </c>
    </row>
    <row r="1143" spans="1:16" hidden="1" x14ac:dyDescent="0.25">
      <c r="A1143" s="96" t="s">
        <v>189</v>
      </c>
      <c r="B1143" s="96" t="s">
        <v>280</v>
      </c>
      <c r="C1143" s="96" t="s">
        <v>1211</v>
      </c>
      <c r="D1143" s="96" t="s">
        <v>215</v>
      </c>
      <c r="E1143" s="43">
        <v>45951</v>
      </c>
      <c r="F1143" s="43">
        <v>46009</v>
      </c>
      <c r="G1143" s="96" t="s">
        <v>90</v>
      </c>
      <c r="H1143" s="96" t="s">
        <v>4636</v>
      </c>
      <c r="I1143" s="96" t="s">
        <v>194</v>
      </c>
      <c r="J1143" s="96" t="s">
        <v>97</v>
      </c>
      <c r="K1143" s="96" t="s">
        <v>217</v>
      </c>
      <c r="L1143">
        <v>58</v>
      </c>
      <c r="M1143" t="s">
        <v>24</v>
      </c>
      <c r="N1143" t="s">
        <v>16</v>
      </c>
      <c r="O1143" t="s">
        <v>170</v>
      </c>
      <c r="P1143">
        <v>2025</v>
      </c>
    </row>
    <row r="1144" spans="1:16" hidden="1" x14ac:dyDescent="0.25">
      <c r="A1144" s="96" t="s">
        <v>2</v>
      </c>
      <c r="B1144" s="96" t="s">
        <v>206</v>
      </c>
      <c r="C1144" s="96" t="s">
        <v>1213</v>
      </c>
      <c r="D1144" s="96" t="s">
        <v>208</v>
      </c>
      <c r="E1144" s="43">
        <v>45675</v>
      </c>
      <c r="F1144" s="43">
        <v>45708</v>
      </c>
      <c r="G1144" s="96" t="s">
        <v>92</v>
      </c>
      <c r="H1144" s="96" t="s">
        <v>4637</v>
      </c>
      <c r="I1144" s="96" t="s">
        <v>225</v>
      </c>
      <c r="J1144" s="96" t="s">
        <v>177</v>
      </c>
      <c r="K1144" s="96" t="s">
        <v>217</v>
      </c>
      <c r="L1144">
        <v>33</v>
      </c>
      <c r="M1144" t="s">
        <v>24</v>
      </c>
      <c r="N1144" t="s">
        <v>181</v>
      </c>
      <c r="O1144" t="s">
        <v>152</v>
      </c>
      <c r="P1144">
        <v>2025</v>
      </c>
    </row>
    <row r="1145" spans="1:16" x14ac:dyDescent="0.25">
      <c r="A1145" s="96" t="s">
        <v>2</v>
      </c>
      <c r="B1145" s="96" t="s">
        <v>261</v>
      </c>
      <c r="C1145" s="96" t="s">
        <v>4638</v>
      </c>
      <c r="D1145" s="96" t="s">
        <v>34</v>
      </c>
      <c r="E1145" s="43">
        <v>46132</v>
      </c>
      <c r="F1145" s="43">
        <v>46150</v>
      </c>
      <c r="G1145" s="96" t="s">
        <v>90</v>
      </c>
      <c r="H1145" s="96" t="s">
        <v>4639</v>
      </c>
      <c r="I1145" s="96" t="s">
        <v>228</v>
      </c>
      <c r="J1145" s="96" t="s">
        <v>176</v>
      </c>
      <c r="K1145" s="96" t="s">
        <v>205</v>
      </c>
      <c r="L1145">
        <v>18</v>
      </c>
      <c r="M1145" t="s">
        <v>19</v>
      </c>
      <c r="N1145" t="s">
        <v>37</v>
      </c>
      <c r="O1145" t="s">
        <v>151</v>
      </c>
      <c r="P1145">
        <v>2026</v>
      </c>
    </row>
    <row r="1146" spans="1:16" hidden="1" x14ac:dyDescent="0.25">
      <c r="A1146" s="96" t="s">
        <v>2</v>
      </c>
      <c r="B1146" s="96" t="s">
        <v>253</v>
      </c>
      <c r="C1146" s="96" t="s">
        <v>1215</v>
      </c>
      <c r="D1146" s="96" t="s">
        <v>14</v>
      </c>
      <c r="E1146" s="43">
        <v>45683</v>
      </c>
      <c r="F1146" s="43">
        <v>45772</v>
      </c>
      <c r="G1146" s="96" t="s">
        <v>92</v>
      </c>
      <c r="H1146" s="96" t="s">
        <v>4640</v>
      </c>
      <c r="I1146" s="96" t="s">
        <v>225</v>
      </c>
      <c r="J1146" s="96" t="s">
        <v>169</v>
      </c>
      <c r="K1146" s="96" t="s">
        <v>210</v>
      </c>
      <c r="L1146">
        <v>89</v>
      </c>
      <c r="M1146" t="s">
        <v>28</v>
      </c>
      <c r="N1146" t="s">
        <v>181</v>
      </c>
      <c r="O1146" t="s">
        <v>152</v>
      </c>
      <c r="P1146">
        <v>2025</v>
      </c>
    </row>
    <row r="1147" spans="1:16" hidden="1" x14ac:dyDescent="0.25">
      <c r="A1147" s="96" t="s">
        <v>2</v>
      </c>
      <c r="B1147" s="96" t="s">
        <v>272</v>
      </c>
      <c r="C1147" s="96" t="s">
        <v>1216</v>
      </c>
      <c r="D1147" s="96" t="s">
        <v>203</v>
      </c>
      <c r="E1147" s="43">
        <v>46003</v>
      </c>
      <c r="F1147" s="43">
        <v>46030</v>
      </c>
      <c r="G1147" s="96" t="s">
        <v>92</v>
      </c>
      <c r="H1147" s="96" t="s">
        <v>4641</v>
      </c>
      <c r="I1147" s="96" t="s">
        <v>228</v>
      </c>
      <c r="J1147" s="96" t="s">
        <v>98</v>
      </c>
      <c r="K1147" s="96" t="s">
        <v>200</v>
      </c>
      <c r="L1147">
        <v>27</v>
      </c>
      <c r="M1147" t="s">
        <v>19</v>
      </c>
      <c r="N1147" t="s">
        <v>25</v>
      </c>
      <c r="O1147" t="s">
        <v>151</v>
      </c>
      <c r="P1147">
        <v>2025</v>
      </c>
    </row>
    <row r="1148" spans="1:16" hidden="1" x14ac:dyDescent="0.25">
      <c r="A1148" s="96" t="s">
        <v>2</v>
      </c>
      <c r="B1148" s="96" t="s">
        <v>264</v>
      </c>
      <c r="C1148" s="96" t="s">
        <v>1217</v>
      </c>
      <c r="D1148" s="96" t="s">
        <v>40</v>
      </c>
      <c r="E1148" s="43">
        <v>45836</v>
      </c>
      <c r="F1148" s="43">
        <v>45955</v>
      </c>
      <c r="G1148" s="96" t="s">
        <v>92</v>
      </c>
      <c r="H1148" s="96" t="s">
        <v>4642</v>
      </c>
      <c r="I1148" s="96" t="s">
        <v>209</v>
      </c>
      <c r="J1148" s="96" t="s">
        <v>94</v>
      </c>
      <c r="K1148" s="96" t="s">
        <v>230</v>
      </c>
      <c r="L1148">
        <v>119</v>
      </c>
      <c r="M1148" t="s">
        <v>28</v>
      </c>
      <c r="N1148" t="s">
        <v>184</v>
      </c>
      <c r="O1148" t="s">
        <v>152</v>
      </c>
      <c r="P1148">
        <v>2025</v>
      </c>
    </row>
    <row r="1149" spans="1:16" hidden="1" x14ac:dyDescent="0.25">
      <c r="A1149" s="96" t="s">
        <v>2</v>
      </c>
      <c r="B1149" s="96" t="s">
        <v>253</v>
      </c>
      <c r="C1149" s="96" t="s">
        <v>4643</v>
      </c>
      <c r="D1149" s="96" t="s">
        <v>192</v>
      </c>
      <c r="E1149" s="43">
        <v>45695</v>
      </c>
      <c r="F1149" s="43">
        <v>45797</v>
      </c>
      <c r="G1149" s="96" t="s">
        <v>92</v>
      </c>
      <c r="H1149" s="96" t="s">
        <v>4644</v>
      </c>
      <c r="I1149" s="96" t="s">
        <v>225</v>
      </c>
      <c r="J1149" s="96" t="s">
        <v>168</v>
      </c>
      <c r="K1149" s="96" t="s">
        <v>230</v>
      </c>
      <c r="L1149">
        <v>102</v>
      </c>
      <c r="M1149" t="s">
        <v>28</v>
      </c>
      <c r="N1149" t="s">
        <v>188</v>
      </c>
      <c r="O1149" t="s">
        <v>152</v>
      </c>
      <c r="P1149">
        <v>2025</v>
      </c>
    </row>
    <row r="1150" spans="1:16" hidden="1" x14ac:dyDescent="0.25">
      <c r="A1150" s="96" t="s">
        <v>21</v>
      </c>
      <c r="B1150" s="96" t="s">
        <v>238</v>
      </c>
      <c r="C1150" s="96" t="s">
        <v>4645</v>
      </c>
      <c r="D1150" s="96" t="s">
        <v>34</v>
      </c>
      <c r="E1150" s="43">
        <v>45803</v>
      </c>
      <c r="F1150" s="43">
        <v>45832</v>
      </c>
      <c r="G1150" s="96" t="s">
        <v>92</v>
      </c>
      <c r="H1150" s="96" t="s">
        <v>4646</v>
      </c>
      <c r="I1150" s="96" t="s">
        <v>225</v>
      </c>
      <c r="J1150" s="96" t="s">
        <v>177</v>
      </c>
      <c r="K1150" s="96" t="s">
        <v>200</v>
      </c>
      <c r="L1150">
        <v>29</v>
      </c>
      <c r="M1150" t="s">
        <v>19</v>
      </c>
      <c r="N1150" t="s">
        <v>182</v>
      </c>
      <c r="O1150" t="s">
        <v>170</v>
      </c>
      <c r="P1150">
        <v>2025</v>
      </c>
    </row>
    <row r="1151" spans="1:16" hidden="1" x14ac:dyDescent="0.25">
      <c r="A1151" s="96" t="s">
        <v>171</v>
      </c>
      <c r="B1151" s="96" t="s">
        <v>257</v>
      </c>
      <c r="C1151" s="96" t="s">
        <v>4647</v>
      </c>
      <c r="D1151" s="96" t="s">
        <v>192</v>
      </c>
      <c r="E1151" s="43">
        <v>45723</v>
      </c>
      <c r="F1151" s="43">
        <v>45801</v>
      </c>
      <c r="G1151" s="96" t="s">
        <v>90</v>
      </c>
      <c r="H1151" s="96" t="s">
        <v>4648</v>
      </c>
      <c r="I1151" s="96" t="s">
        <v>157</v>
      </c>
      <c r="J1151" s="96" t="s">
        <v>168</v>
      </c>
      <c r="K1151" s="96" t="s">
        <v>233</v>
      </c>
      <c r="L1151">
        <v>78</v>
      </c>
      <c r="M1151" t="s">
        <v>28</v>
      </c>
      <c r="N1151" t="s">
        <v>186</v>
      </c>
      <c r="O1151" t="s">
        <v>151</v>
      </c>
      <c r="P1151">
        <v>2025</v>
      </c>
    </row>
    <row r="1152" spans="1:16" x14ac:dyDescent="0.25">
      <c r="A1152" s="96" t="s">
        <v>2</v>
      </c>
      <c r="B1152" s="96" t="s">
        <v>269</v>
      </c>
      <c r="C1152" s="96" t="s">
        <v>1218</v>
      </c>
      <c r="D1152" s="96" t="s">
        <v>192</v>
      </c>
      <c r="E1152" s="43">
        <v>46112</v>
      </c>
      <c r="F1152" s="43">
        <v>46137</v>
      </c>
      <c r="G1152" s="96" t="s">
        <v>92</v>
      </c>
      <c r="H1152" s="96" t="s">
        <v>4649</v>
      </c>
      <c r="I1152" s="96" t="s">
        <v>225</v>
      </c>
      <c r="J1152" s="96" t="s">
        <v>173</v>
      </c>
      <c r="K1152" s="96" t="s">
        <v>195</v>
      </c>
      <c r="L1152">
        <v>25</v>
      </c>
      <c r="M1152" t="s">
        <v>19</v>
      </c>
      <c r="N1152" t="s">
        <v>35</v>
      </c>
      <c r="O1152" t="s">
        <v>152</v>
      </c>
      <c r="P1152">
        <v>2026</v>
      </c>
    </row>
    <row r="1153" spans="1:16" hidden="1" x14ac:dyDescent="0.25">
      <c r="A1153" s="96" t="s">
        <v>2</v>
      </c>
      <c r="B1153" s="96" t="s">
        <v>257</v>
      </c>
      <c r="C1153" s="96" t="s">
        <v>1219</v>
      </c>
      <c r="D1153" s="96" t="s">
        <v>14</v>
      </c>
      <c r="E1153" s="43">
        <v>45830</v>
      </c>
      <c r="F1153" s="43">
        <v>45911</v>
      </c>
      <c r="G1153" s="96" t="s">
        <v>92</v>
      </c>
      <c r="H1153" s="96" t="s">
        <v>4650</v>
      </c>
      <c r="I1153" s="96" t="s">
        <v>204</v>
      </c>
      <c r="J1153" s="96" t="s">
        <v>97</v>
      </c>
      <c r="K1153" s="96" t="s">
        <v>157</v>
      </c>
      <c r="L1153">
        <v>81</v>
      </c>
      <c r="M1153" t="s">
        <v>28</v>
      </c>
      <c r="N1153" t="s">
        <v>184</v>
      </c>
      <c r="O1153" t="s">
        <v>151</v>
      </c>
      <c r="P1153">
        <v>2025</v>
      </c>
    </row>
    <row r="1154" spans="1:16" hidden="1" x14ac:dyDescent="0.25">
      <c r="A1154" s="96" t="s">
        <v>2</v>
      </c>
      <c r="B1154" s="96" t="s">
        <v>247</v>
      </c>
      <c r="C1154" s="96" t="s">
        <v>1220</v>
      </c>
      <c r="D1154" s="96" t="s">
        <v>203</v>
      </c>
      <c r="E1154" s="43">
        <v>45667</v>
      </c>
      <c r="F1154" s="43">
        <v>45706</v>
      </c>
      <c r="G1154" s="96" t="s">
        <v>92</v>
      </c>
      <c r="H1154" s="96" t="s">
        <v>4651</v>
      </c>
      <c r="I1154" s="96" t="s">
        <v>157</v>
      </c>
      <c r="J1154" s="96" t="s">
        <v>172</v>
      </c>
      <c r="K1154" s="96" t="s">
        <v>195</v>
      </c>
      <c r="L1154">
        <v>39</v>
      </c>
      <c r="M1154" t="s">
        <v>24</v>
      </c>
      <c r="N1154" t="s">
        <v>181</v>
      </c>
      <c r="O1154" t="s">
        <v>150</v>
      </c>
      <c r="P1154">
        <v>2025</v>
      </c>
    </row>
    <row r="1155" spans="1:16" hidden="1" x14ac:dyDescent="0.25">
      <c r="A1155" s="96" t="s">
        <v>2</v>
      </c>
      <c r="B1155" s="96" t="s">
        <v>255</v>
      </c>
      <c r="C1155" s="96" t="s">
        <v>4652</v>
      </c>
      <c r="D1155" s="96" t="s">
        <v>14</v>
      </c>
      <c r="E1155" s="43">
        <v>45991</v>
      </c>
      <c r="F1155" s="43">
        <v>46032</v>
      </c>
      <c r="G1155" s="96" t="s">
        <v>92</v>
      </c>
      <c r="H1155" s="96" t="s">
        <v>4653</v>
      </c>
      <c r="I1155" s="96" t="s">
        <v>209</v>
      </c>
      <c r="J1155" s="96" t="s">
        <v>216</v>
      </c>
      <c r="K1155" s="96" t="s">
        <v>246</v>
      </c>
      <c r="L1155">
        <v>41</v>
      </c>
      <c r="M1155" t="s">
        <v>24</v>
      </c>
      <c r="N1155" t="s">
        <v>20</v>
      </c>
      <c r="O1155" t="s">
        <v>150</v>
      </c>
      <c r="P1155">
        <v>2025</v>
      </c>
    </row>
    <row r="1156" spans="1:16" x14ac:dyDescent="0.25">
      <c r="A1156" s="96" t="s">
        <v>171</v>
      </c>
      <c r="B1156" s="96" t="s">
        <v>218</v>
      </c>
      <c r="C1156" s="96" t="s">
        <v>1221</v>
      </c>
      <c r="D1156" s="96" t="s">
        <v>34</v>
      </c>
      <c r="E1156" s="43">
        <v>46039</v>
      </c>
      <c r="F1156" s="43">
        <v>46099</v>
      </c>
      <c r="G1156" s="96" t="s">
        <v>92</v>
      </c>
      <c r="H1156" s="96" t="s">
        <v>4654</v>
      </c>
      <c r="I1156" s="96" t="s">
        <v>225</v>
      </c>
      <c r="J1156" s="96" t="s">
        <v>98</v>
      </c>
      <c r="K1156" s="96" t="s">
        <v>200</v>
      </c>
      <c r="L1156">
        <v>60</v>
      </c>
      <c r="M1156" t="s">
        <v>24</v>
      </c>
      <c r="N1156" t="s">
        <v>29</v>
      </c>
      <c r="O1156" t="s">
        <v>152</v>
      </c>
      <c r="P1156">
        <v>2026</v>
      </c>
    </row>
    <row r="1157" spans="1:16" x14ac:dyDescent="0.25">
      <c r="A1157" s="96" t="s">
        <v>2</v>
      </c>
      <c r="B1157" s="96" t="s">
        <v>249</v>
      </c>
      <c r="C1157" s="96" t="s">
        <v>1222</v>
      </c>
      <c r="D1157" s="96" t="s">
        <v>34</v>
      </c>
      <c r="E1157" s="43">
        <v>46064</v>
      </c>
      <c r="F1157" s="43">
        <v>46085</v>
      </c>
      <c r="G1157" s="96" t="s">
        <v>92</v>
      </c>
      <c r="H1157" s="96" t="s">
        <v>4655</v>
      </c>
      <c r="I1157" s="96" t="s">
        <v>225</v>
      </c>
      <c r="J1157" s="96" t="s">
        <v>91</v>
      </c>
      <c r="K1157" s="96" t="s">
        <v>210</v>
      </c>
      <c r="L1157">
        <v>21</v>
      </c>
      <c r="M1157" t="s">
        <v>19</v>
      </c>
      <c r="N1157" t="s">
        <v>32</v>
      </c>
      <c r="O1157" t="s">
        <v>170</v>
      </c>
      <c r="P1157">
        <v>2026</v>
      </c>
    </row>
    <row r="1158" spans="1:16" hidden="1" x14ac:dyDescent="0.25">
      <c r="A1158" s="96" t="s">
        <v>2</v>
      </c>
      <c r="B1158" s="96" t="s">
        <v>322</v>
      </c>
      <c r="C1158" s="96" t="s">
        <v>4656</v>
      </c>
      <c r="D1158" s="96" t="s">
        <v>215</v>
      </c>
      <c r="E1158" s="43">
        <v>45736</v>
      </c>
      <c r="F1158" s="43">
        <v>45816</v>
      </c>
      <c r="G1158" s="96" t="s">
        <v>92</v>
      </c>
      <c r="H1158" s="96" t="s">
        <v>4657</v>
      </c>
      <c r="I1158" s="96" t="s">
        <v>225</v>
      </c>
      <c r="J1158" s="96" t="s">
        <v>172</v>
      </c>
      <c r="K1158" s="96" t="s">
        <v>205</v>
      </c>
      <c r="L1158">
        <v>80</v>
      </c>
      <c r="M1158" t="s">
        <v>28</v>
      </c>
      <c r="N1158" t="s">
        <v>186</v>
      </c>
      <c r="O1158" t="s">
        <v>150</v>
      </c>
      <c r="P1158">
        <v>2025</v>
      </c>
    </row>
    <row r="1159" spans="1:16" x14ac:dyDescent="0.25">
      <c r="A1159" s="96" t="s">
        <v>2</v>
      </c>
      <c r="B1159" s="96" t="s">
        <v>249</v>
      </c>
      <c r="C1159" s="96" t="s">
        <v>1223</v>
      </c>
      <c r="D1159" s="96" t="s">
        <v>34</v>
      </c>
      <c r="E1159" s="43">
        <v>46059</v>
      </c>
      <c r="F1159" s="43">
        <v>46148</v>
      </c>
      <c r="G1159" s="96" t="s">
        <v>92</v>
      </c>
      <c r="H1159" s="96" t="s">
        <v>4658</v>
      </c>
      <c r="I1159" s="96" t="s">
        <v>204</v>
      </c>
      <c r="J1159" s="96" t="s">
        <v>97</v>
      </c>
      <c r="K1159" s="96" t="s">
        <v>205</v>
      </c>
      <c r="L1159">
        <v>89</v>
      </c>
      <c r="M1159" t="s">
        <v>28</v>
      </c>
      <c r="N1159" t="s">
        <v>32</v>
      </c>
      <c r="O1159" t="s">
        <v>170</v>
      </c>
      <c r="P1159">
        <v>2026</v>
      </c>
    </row>
    <row r="1160" spans="1:16" hidden="1" x14ac:dyDescent="0.25">
      <c r="A1160" s="96" t="s">
        <v>21</v>
      </c>
      <c r="B1160" s="96" t="s">
        <v>253</v>
      </c>
      <c r="C1160" s="96" t="s">
        <v>1224</v>
      </c>
      <c r="D1160" s="96" t="s">
        <v>208</v>
      </c>
      <c r="E1160" s="43">
        <v>45869</v>
      </c>
      <c r="F1160" s="43">
        <v>45987</v>
      </c>
      <c r="G1160" s="96" t="s">
        <v>92</v>
      </c>
      <c r="H1160" s="96" t="s">
        <v>4659</v>
      </c>
      <c r="I1160" s="96" t="s">
        <v>204</v>
      </c>
      <c r="J1160" s="96" t="s">
        <v>168</v>
      </c>
      <c r="K1160" s="96" t="s">
        <v>217</v>
      </c>
      <c r="L1160">
        <v>118</v>
      </c>
      <c r="M1160" t="s">
        <v>28</v>
      </c>
      <c r="N1160" t="s">
        <v>187</v>
      </c>
      <c r="O1160" t="s">
        <v>152</v>
      </c>
      <c r="P1160">
        <v>2025</v>
      </c>
    </row>
    <row r="1161" spans="1:16" x14ac:dyDescent="0.25">
      <c r="A1161" s="96" t="s">
        <v>21</v>
      </c>
      <c r="B1161" s="96" t="s">
        <v>269</v>
      </c>
      <c r="C1161" s="96" t="s">
        <v>1225</v>
      </c>
      <c r="D1161" s="96" t="s">
        <v>192</v>
      </c>
      <c r="E1161" s="43">
        <v>46143</v>
      </c>
      <c r="F1161" s="43">
        <v>46150</v>
      </c>
      <c r="G1161" s="96" t="s">
        <v>92</v>
      </c>
      <c r="H1161" s="96" t="s">
        <v>4660</v>
      </c>
      <c r="I1161" s="96" t="s">
        <v>9</v>
      </c>
      <c r="J1161" s="96" t="s">
        <v>174</v>
      </c>
      <c r="K1161" s="96" t="s">
        <v>217</v>
      </c>
      <c r="L1161">
        <v>7</v>
      </c>
      <c r="M1161" t="s">
        <v>11</v>
      </c>
      <c r="N1161" t="s">
        <v>183</v>
      </c>
      <c r="O1161" t="s">
        <v>152</v>
      </c>
      <c r="P1161">
        <v>2026</v>
      </c>
    </row>
    <row r="1162" spans="1:16" hidden="1" x14ac:dyDescent="0.25">
      <c r="A1162" s="96" t="s">
        <v>2</v>
      </c>
      <c r="B1162" s="96" t="s">
        <v>253</v>
      </c>
      <c r="C1162" s="96" t="s">
        <v>4661</v>
      </c>
      <c r="D1162" s="96" t="s">
        <v>215</v>
      </c>
      <c r="E1162" s="43">
        <v>45931</v>
      </c>
      <c r="F1162" s="43">
        <v>45968</v>
      </c>
      <c r="G1162" s="96" t="s">
        <v>92</v>
      </c>
      <c r="H1162" s="96" t="s">
        <v>4662</v>
      </c>
      <c r="I1162" s="96" t="s">
        <v>209</v>
      </c>
      <c r="J1162" s="96" t="s">
        <v>91</v>
      </c>
      <c r="K1162" s="96" t="s">
        <v>246</v>
      </c>
      <c r="L1162">
        <v>37</v>
      </c>
      <c r="M1162" t="s">
        <v>24</v>
      </c>
      <c r="N1162" t="s">
        <v>16</v>
      </c>
      <c r="O1162" t="s">
        <v>152</v>
      </c>
      <c r="P1162">
        <v>2025</v>
      </c>
    </row>
    <row r="1163" spans="1:16" hidden="1" x14ac:dyDescent="0.25">
      <c r="A1163" s="96" t="s">
        <v>2</v>
      </c>
      <c r="B1163" s="96" t="s">
        <v>322</v>
      </c>
      <c r="C1163" s="96" t="s">
        <v>1226</v>
      </c>
      <c r="D1163" s="96" t="s">
        <v>203</v>
      </c>
      <c r="E1163" s="43">
        <v>45697</v>
      </c>
      <c r="F1163" s="43">
        <v>45799</v>
      </c>
      <c r="G1163" s="96" t="s">
        <v>92</v>
      </c>
      <c r="H1163" s="96" t="s">
        <v>4663</v>
      </c>
      <c r="I1163" s="96" t="s">
        <v>194</v>
      </c>
      <c r="J1163" s="96" t="s">
        <v>169</v>
      </c>
      <c r="K1163" s="96" t="s">
        <v>195</v>
      </c>
      <c r="L1163">
        <v>102</v>
      </c>
      <c r="M1163" t="s">
        <v>28</v>
      </c>
      <c r="N1163" t="s">
        <v>188</v>
      </c>
      <c r="O1163" t="s">
        <v>150</v>
      </c>
      <c r="P1163">
        <v>2025</v>
      </c>
    </row>
    <row r="1164" spans="1:16" hidden="1" x14ac:dyDescent="0.25">
      <c r="A1164" s="96" t="s">
        <v>189</v>
      </c>
      <c r="B1164" s="96" t="s">
        <v>247</v>
      </c>
      <c r="C1164" s="96" t="s">
        <v>4664</v>
      </c>
      <c r="D1164" s="96" t="s">
        <v>203</v>
      </c>
      <c r="E1164" s="43">
        <v>45746</v>
      </c>
      <c r="F1164" s="43">
        <v>45769</v>
      </c>
      <c r="G1164" s="96" t="s">
        <v>90</v>
      </c>
      <c r="H1164" s="96" t="s">
        <v>4665</v>
      </c>
      <c r="I1164" s="96" t="s">
        <v>194</v>
      </c>
      <c r="J1164" s="96" t="s">
        <v>229</v>
      </c>
      <c r="K1164" s="96" t="s">
        <v>210</v>
      </c>
      <c r="L1164">
        <v>23</v>
      </c>
      <c r="M1164" t="s">
        <v>19</v>
      </c>
      <c r="N1164" t="s">
        <v>186</v>
      </c>
      <c r="O1164" t="s">
        <v>150</v>
      </c>
      <c r="P1164">
        <v>2025</v>
      </c>
    </row>
    <row r="1165" spans="1:16" x14ac:dyDescent="0.25">
      <c r="A1165" s="96" t="s">
        <v>2</v>
      </c>
      <c r="B1165" s="96" t="s">
        <v>288</v>
      </c>
      <c r="C1165" s="96" t="s">
        <v>1228</v>
      </c>
      <c r="D1165" s="96" t="s">
        <v>10</v>
      </c>
      <c r="E1165" s="43">
        <v>46023</v>
      </c>
      <c r="F1165" s="43">
        <v>46112</v>
      </c>
      <c r="G1165" s="96" t="s">
        <v>92</v>
      </c>
      <c r="H1165" s="96" t="s">
        <v>4666</v>
      </c>
      <c r="I1165" s="96" t="s">
        <v>204</v>
      </c>
      <c r="J1165" s="96" t="s">
        <v>169</v>
      </c>
      <c r="K1165" s="96" t="s">
        <v>157</v>
      </c>
      <c r="L1165">
        <v>89</v>
      </c>
      <c r="M1165" t="s">
        <v>28</v>
      </c>
      <c r="N1165" t="s">
        <v>29</v>
      </c>
      <c r="O1165" t="s">
        <v>170</v>
      </c>
      <c r="P1165">
        <v>2026</v>
      </c>
    </row>
    <row r="1166" spans="1:16" hidden="1" x14ac:dyDescent="0.25">
      <c r="A1166" s="96" t="s">
        <v>2</v>
      </c>
      <c r="B1166" s="96" t="s">
        <v>206</v>
      </c>
      <c r="C1166" s="96" t="s">
        <v>4667</v>
      </c>
      <c r="D1166" s="96" t="s">
        <v>223</v>
      </c>
      <c r="E1166" s="43">
        <v>45964</v>
      </c>
      <c r="F1166" s="43">
        <v>46039</v>
      </c>
      <c r="G1166" s="96" t="s">
        <v>92</v>
      </c>
      <c r="H1166" s="96" t="s">
        <v>4668</v>
      </c>
      <c r="I1166" s="96" t="s">
        <v>228</v>
      </c>
      <c r="J1166" s="96" t="s">
        <v>176</v>
      </c>
      <c r="K1166" s="96" t="s">
        <v>157</v>
      </c>
      <c r="L1166">
        <v>75</v>
      </c>
      <c r="M1166" t="s">
        <v>28</v>
      </c>
      <c r="N1166" t="s">
        <v>20</v>
      </c>
      <c r="O1166" t="s">
        <v>152</v>
      </c>
      <c r="P1166">
        <v>2025</v>
      </c>
    </row>
    <row r="1167" spans="1:16" hidden="1" x14ac:dyDescent="0.25">
      <c r="A1167" s="96" t="s">
        <v>175</v>
      </c>
      <c r="B1167" s="96" t="s">
        <v>206</v>
      </c>
      <c r="C1167" s="96" t="s">
        <v>4669</v>
      </c>
      <c r="D1167" s="96" t="s">
        <v>237</v>
      </c>
      <c r="E1167" s="43">
        <v>45694</v>
      </c>
      <c r="F1167" s="43">
        <v>45773</v>
      </c>
      <c r="G1167" s="96" t="s">
        <v>92</v>
      </c>
      <c r="H1167" s="96" t="s">
        <v>4670</v>
      </c>
      <c r="I1167" s="96" t="s">
        <v>194</v>
      </c>
      <c r="J1167" s="96" t="s">
        <v>91</v>
      </c>
      <c r="K1167" s="96" t="s">
        <v>210</v>
      </c>
      <c r="L1167">
        <v>79</v>
      </c>
      <c r="M1167" t="s">
        <v>28</v>
      </c>
      <c r="N1167" t="s">
        <v>188</v>
      </c>
      <c r="O1167" t="s">
        <v>152</v>
      </c>
      <c r="P1167">
        <v>2025</v>
      </c>
    </row>
    <row r="1168" spans="1:16" x14ac:dyDescent="0.25">
      <c r="A1168" s="96" t="s">
        <v>2</v>
      </c>
      <c r="B1168" s="96" t="s">
        <v>218</v>
      </c>
      <c r="C1168" s="96" t="s">
        <v>1229</v>
      </c>
      <c r="D1168" s="96" t="s">
        <v>34</v>
      </c>
      <c r="E1168" s="43">
        <v>46104</v>
      </c>
      <c r="F1168" s="43">
        <v>46150</v>
      </c>
      <c r="G1168" s="96" t="s">
        <v>92</v>
      </c>
      <c r="H1168" s="96" t="s">
        <v>4671</v>
      </c>
      <c r="I1168" s="96" t="s">
        <v>204</v>
      </c>
      <c r="J1168" s="96" t="s">
        <v>173</v>
      </c>
      <c r="K1168" s="96" t="s">
        <v>195</v>
      </c>
      <c r="L1168">
        <v>46</v>
      </c>
      <c r="M1168" t="s">
        <v>24</v>
      </c>
      <c r="N1168" t="s">
        <v>35</v>
      </c>
      <c r="O1168" t="s">
        <v>152</v>
      </c>
      <c r="P1168">
        <v>2026</v>
      </c>
    </row>
    <row r="1169" spans="1:16" hidden="1" x14ac:dyDescent="0.25">
      <c r="A1169" s="96" t="s">
        <v>2</v>
      </c>
      <c r="B1169" s="96" t="s">
        <v>221</v>
      </c>
      <c r="C1169" s="96" t="s">
        <v>1230</v>
      </c>
      <c r="D1169" s="96" t="s">
        <v>192</v>
      </c>
      <c r="E1169" s="43">
        <v>45862</v>
      </c>
      <c r="F1169" s="43">
        <v>45907</v>
      </c>
      <c r="G1169" s="96" t="s">
        <v>92</v>
      </c>
      <c r="H1169" s="96" t="s">
        <v>4672</v>
      </c>
      <c r="I1169" s="96" t="s">
        <v>209</v>
      </c>
      <c r="J1169" s="96" t="s">
        <v>229</v>
      </c>
      <c r="K1169" s="96" t="s">
        <v>210</v>
      </c>
      <c r="L1169">
        <v>45</v>
      </c>
      <c r="M1169" t="s">
        <v>24</v>
      </c>
      <c r="N1169" t="s">
        <v>187</v>
      </c>
      <c r="O1169" t="s">
        <v>170</v>
      </c>
      <c r="P1169">
        <v>2025</v>
      </c>
    </row>
    <row r="1170" spans="1:16" hidden="1" x14ac:dyDescent="0.25">
      <c r="A1170" s="96" t="s">
        <v>2</v>
      </c>
      <c r="B1170" s="96" t="s">
        <v>264</v>
      </c>
      <c r="C1170" s="96" t="s">
        <v>1231</v>
      </c>
      <c r="D1170" s="96" t="s">
        <v>192</v>
      </c>
      <c r="E1170" s="43">
        <v>45717</v>
      </c>
      <c r="F1170" s="43">
        <v>45727</v>
      </c>
      <c r="G1170" s="96" t="s">
        <v>92</v>
      </c>
      <c r="H1170" s="96" t="s">
        <v>4673</v>
      </c>
      <c r="I1170" s="96" t="s">
        <v>194</v>
      </c>
      <c r="J1170" s="96" t="s">
        <v>94</v>
      </c>
      <c r="K1170" s="96" t="s">
        <v>217</v>
      </c>
      <c r="L1170">
        <v>10</v>
      </c>
      <c r="M1170" t="s">
        <v>15</v>
      </c>
      <c r="N1170" t="s">
        <v>186</v>
      </c>
      <c r="O1170" t="s">
        <v>152</v>
      </c>
      <c r="P1170">
        <v>2025</v>
      </c>
    </row>
    <row r="1171" spans="1:16" hidden="1" x14ac:dyDescent="0.25">
      <c r="A1171" s="96" t="s">
        <v>2</v>
      </c>
      <c r="B1171" s="96" t="s">
        <v>221</v>
      </c>
      <c r="C1171" s="96" t="s">
        <v>1234</v>
      </c>
      <c r="D1171" s="96" t="s">
        <v>215</v>
      </c>
      <c r="E1171" s="43">
        <v>45790</v>
      </c>
      <c r="F1171" s="43">
        <v>45870</v>
      </c>
      <c r="G1171" s="96" t="s">
        <v>92</v>
      </c>
      <c r="H1171" s="96" t="s">
        <v>4674</v>
      </c>
      <c r="I1171" s="96" t="s">
        <v>209</v>
      </c>
      <c r="J1171" s="96" t="s">
        <v>199</v>
      </c>
      <c r="K1171" s="96" t="s">
        <v>205</v>
      </c>
      <c r="L1171">
        <v>80</v>
      </c>
      <c r="M1171" t="s">
        <v>28</v>
      </c>
      <c r="N1171" t="s">
        <v>182</v>
      </c>
      <c r="O1171" t="s">
        <v>170</v>
      </c>
      <c r="P1171">
        <v>2025</v>
      </c>
    </row>
    <row r="1172" spans="1:16" hidden="1" x14ac:dyDescent="0.25">
      <c r="A1172" s="96" t="s">
        <v>2</v>
      </c>
      <c r="B1172" s="96" t="s">
        <v>253</v>
      </c>
      <c r="C1172" s="96" t="s">
        <v>4675</v>
      </c>
      <c r="D1172" s="96" t="s">
        <v>14</v>
      </c>
      <c r="E1172" s="43">
        <v>45678</v>
      </c>
      <c r="F1172" s="43">
        <v>45684</v>
      </c>
      <c r="G1172" s="96" t="s">
        <v>90</v>
      </c>
      <c r="H1172" s="96" t="s">
        <v>4676</v>
      </c>
      <c r="I1172" s="96" t="s">
        <v>157</v>
      </c>
      <c r="J1172" s="96" t="s">
        <v>165</v>
      </c>
      <c r="K1172" s="96" t="s">
        <v>210</v>
      </c>
      <c r="L1172">
        <v>6</v>
      </c>
      <c r="M1172" t="s">
        <v>11</v>
      </c>
      <c r="N1172" t="s">
        <v>181</v>
      </c>
      <c r="O1172" t="s">
        <v>152</v>
      </c>
      <c r="P1172">
        <v>2025</v>
      </c>
    </row>
    <row r="1173" spans="1:16" x14ac:dyDescent="0.25">
      <c r="A1173" s="96" t="s">
        <v>2</v>
      </c>
      <c r="B1173" s="96" t="s">
        <v>290</v>
      </c>
      <c r="C1173" s="96" t="s">
        <v>1236</v>
      </c>
      <c r="D1173" s="96" t="s">
        <v>203</v>
      </c>
      <c r="E1173" s="43">
        <v>46047</v>
      </c>
      <c r="F1173" s="43">
        <v>46150</v>
      </c>
      <c r="G1173" s="96" t="s">
        <v>92</v>
      </c>
      <c r="H1173" s="96" t="s">
        <v>4677</v>
      </c>
      <c r="I1173" s="96" t="s">
        <v>225</v>
      </c>
      <c r="J1173" s="96" t="s">
        <v>283</v>
      </c>
      <c r="K1173" s="96" t="s">
        <v>157</v>
      </c>
      <c r="L1173">
        <v>103</v>
      </c>
      <c r="M1173" t="s">
        <v>28</v>
      </c>
      <c r="N1173" t="s">
        <v>29</v>
      </c>
      <c r="O1173" t="s">
        <v>149</v>
      </c>
      <c r="P1173">
        <v>2026</v>
      </c>
    </row>
    <row r="1174" spans="1:16" hidden="1" x14ac:dyDescent="0.25">
      <c r="A1174" s="96" t="s">
        <v>2</v>
      </c>
      <c r="B1174" s="96" t="s">
        <v>206</v>
      </c>
      <c r="C1174" s="96" t="s">
        <v>4678</v>
      </c>
      <c r="D1174" s="96" t="s">
        <v>40</v>
      </c>
      <c r="E1174" s="43">
        <v>45913</v>
      </c>
      <c r="F1174" s="43">
        <v>45965</v>
      </c>
      <c r="G1174" s="96" t="s">
        <v>92</v>
      </c>
      <c r="H1174" s="96" t="s">
        <v>4679</v>
      </c>
      <c r="I1174" s="96" t="s">
        <v>228</v>
      </c>
      <c r="J1174" s="96" t="s">
        <v>98</v>
      </c>
      <c r="K1174" s="96" t="s">
        <v>195</v>
      </c>
      <c r="L1174">
        <v>52</v>
      </c>
      <c r="M1174" t="s">
        <v>24</v>
      </c>
      <c r="N1174" t="s">
        <v>12</v>
      </c>
      <c r="O1174" t="s">
        <v>152</v>
      </c>
      <c r="P1174">
        <v>2025</v>
      </c>
    </row>
    <row r="1175" spans="1:16" hidden="1" x14ac:dyDescent="0.25">
      <c r="A1175" s="96" t="s">
        <v>2</v>
      </c>
      <c r="B1175" s="96" t="s">
        <v>322</v>
      </c>
      <c r="C1175" s="96" t="s">
        <v>1237</v>
      </c>
      <c r="D1175" s="96" t="s">
        <v>208</v>
      </c>
      <c r="E1175" s="43">
        <v>45814</v>
      </c>
      <c r="F1175" s="43">
        <v>45911</v>
      </c>
      <c r="G1175" s="96" t="s">
        <v>92</v>
      </c>
      <c r="H1175" s="96" t="s">
        <v>4680</v>
      </c>
      <c r="I1175" s="96" t="s">
        <v>194</v>
      </c>
      <c r="J1175" s="96" t="s">
        <v>169</v>
      </c>
      <c r="K1175" s="96" t="s">
        <v>246</v>
      </c>
      <c r="L1175">
        <v>97</v>
      </c>
      <c r="M1175" t="s">
        <v>28</v>
      </c>
      <c r="N1175" t="s">
        <v>184</v>
      </c>
      <c r="O1175" t="s">
        <v>150</v>
      </c>
      <c r="P1175">
        <v>2025</v>
      </c>
    </row>
    <row r="1176" spans="1:16" hidden="1" x14ac:dyDescent="0.25">
      <c r="A1176" s="96" t="s">
        <v>2</v>
      </c>
      <c r="B1176" s="96" t="s">
        <v>322</v>
      </c>
      <c r="C1176" s="96" t="s">
        <v>1238</v>
      </c>
      <c r="D1176" s="96" t="s">
        <v>34</v>
      </c>
      <c r="E1176" s="43">
        <v>45769</v>
      </c>
      <c r="F1176" s="43">
        <v>45807</v>
      </c>
      <c r="G1176" s="96" t="s">
        <v>90</v>
      </c>
      <c r="H1176" s="96" t="s">
        <v>4681</v>
      </c>
      <c r="I1176" s="96" t="s">
        <v>9</v>
      </c>
      <c r="J1176" s="96" t="s">
        <v>91</v>
      </c>
      <c r="K1176" s="96" t="s">
        <v>210</v>
      </c>
      <c r="L1176">
        <v>38</v>
      </c>
      <c r="M1176" t="s">
        <v>24</v>
      </c>
      <c r="N1176" t="s">
        <v>185</v>
      </c>
      <c r="O1176" t="s">
        <v>150</v>
      </c>
      <c r="P1176">
        <v>2025</v>
      </c>
    </row>
    <row r="1177" spans="1:16" x14ac:dyDescent="0.25">
      <c r="A1177" s="96" t="s">
        <v>2</v>
      </c>
      <c r="B1177" s="96" t="s">
        <v>261</v>
      </c>
      <c r="C1177" s="96" t="s">
        <v>1239</v>
      </c>
      <c r="D1177" s="96" t="s">
        <v>192</v>
      </c>
      <c r="E1177" s="43">
        <v>46051</v>
      </c>
      <c r="F1177" s="43">
        <v>46063</v>
      </c>
      <c r="G1177" s="96" t="s">
        <v>90</v>
      </c>
      <c r="H1177" s="96" t="s">
        <v>4682</v>
      </c>
      <c r="I1177" s="96" t="s">
        <v>209</v>
      </c>
      <c r="J1177" s="96" t="s">
        <v>169</v>
      </c>
      <c r="K1177" s="96" t="s">
        <v>233</v>
      </c>
      <c r="L1177">
        <v>12</v>
      </c>
      <c r="M1177" t="s">
        <v>15</v>
      </c>
      <c r="N1177" t="s">
        <v>29</v>
      </c>
      <c r="O1177" t="s">
        <v>151</v>
      </c>
      <c r="P1177">
        <v>2026</v>
      </c>
    </row>
    <row r="1178" spans="1:16" hidden="1" x14ac:dyDescent="0.25">
      <c r="A1178" s="96" t="s">
        <v>2</v>
      </c>
      <c r="B1178" s="96" t="s">
        <v>322</v>
      </c>
      <c r="C1178" s="96" t="s">
        <v>1240</v>
      </c>
      <c r="D1178" s="96" t="s">
        <v>237</v>
      </c>
      <c r="E1178" s="43">
        <v>45921</v>
      </c>
      <c r="F1178" s="43">
        <v>46011</v>
      </c>
      <c r="G1178" s="96" t="s">
        <v>92</v>
      </c>
      <c r="H1178" s="96" t="s">
        <v>4683</v>
      </c>
      <c r="I1178" s="96" t="s">
        <v>194</v>
      </c>
      <c r="J1178" s="96" t="s">
        <v>172</v>
      </c>
      <c r="K1178" s="96" t="s">
        <v>210</v>
      </c>
      <c r="L1178">
        <v>90</v>
      </c>
      <c r="M1178" t="s">
        <v>28</v>
      </c>
      <c r="N1178" t="s">
        <v>12</v>
      </c>
      <c r="O1178" t="s">
        <v>150</v>
      </c>
      <c r="P1178">
        <v>2025</v>
      </c>
    </row>
    <row r="1179" spans="1:16" hidden="1" x14ac:dyDescent="0.25">
      <c r="A1179" s="96" t="s">
        <v>2</v>
      </c>
      <c r="B1179" s="96" t="s">
        <v>206</v>
      </c>
      <c r="C1179" s="96" t="s">
        <v>4684</v>
      </c>
      <c r="D1179" s="96" t="s">
        <v>215</v>
      </c>
      <c r="E1179" s="43">
        <v>45689</v>
      </c>
      <c r="F1179" s="43">
        <v>45690</v>
      </c>
      <c r="G1179" s="96" t="s">
        <v>92</v>
      </c>
      <c r="H1179" s="96" t="s">
        <v>4685</v>
      </c>
      <c r="I1179" s="96" t="s">
        <v>157</v>
      </c>
      <c r="J1179" s="96" t="s">
        <v>199</v>
      </c>
      <c r="K1179" s="96" t="s">
        <v>195</v>
      </c>
      <c r="L1179">
        <v>1</v>
      </c>
      <c r="M1179" t="s">
        <v>11</v>
      </c>
      <c r="N1179" t="s">
        <v>188</v>
      </c>
      <c r="O1179" t="s">
        <v>152</v>
      </c>
      <c r="P1179">
        <v>2025</v>
      </c>
    </row>
    <row r="1180" spans="1:16" hidden="1" x14ac:dyDescent="0.25">
      <c r="A1180" s="96" t="s">
        <v>2</v>
      </c>
      <c r="B1180" s="96" t="s">
        <v>255</v>
      </c>
      <c r="C1180" s="96" t="s">
        <v>4686</v>
      </c>
      <c r="D1180" s="96" t="s">
        <v>223</v>
      </c>
      <c r="E1180" s="43">
        <v>45681</v>
      </c>
      <c r="F1180" s="43">
        <v>45723</v>
      </c>
      <c r="G1180" s="96" t="s">
        <v>92</v>
      </c>
      <c r="H1180" s="96" t="s">
        <v>4687</v>
      </c>
      <c r="I1180" s="96" t="s">
        <v>228</v>
      </c>
      <c r="J1180" s="96" t="s">
        <v>229</v>
      </c>
      <c r="K1180" s="96" t="s">
        <v>217</v>
      </c>
      <c r="L1180">
        <v>42</v>
      </c>
      <c r="M1180" t="s">
        <v>24</v>
      </c>
      <c r="N1180" t="s">
        <v>181</v>
      </c>
      <c r="O1180" t="s">
        <v>150</v>
      </c>
      <c r="P1180">
        <v>2025</v>
      </c>
    </row>
    <row r="1181" spans="1:16" x14ac:dyDescent="0.25">
      <c r="A1181" s="96" t="s">
        <v>2</v>
      </c>
      <c r="B1181" s="96" t="s">
        <v>317</v>
      </c>
      <c r="C1181" s="96" t="s">
        <v>1241</v>
      </c>
      <c r="D1181" s="96" t="s">
        <v>34</v>
      </c>
      <c r="E1181" s="43">
        <v>46066</v>
      </c>
      <c r="F1181" s="43">
        <v>46151</v>
      </c>
      <c r="G1181" s="96" t="s">
        <v>92</v>
      </c>
      <c r="H1181" s="96" t="s">
        <v>4688</v>
      </c>
      <c r="I1181" s="96" t="s">
        <v>157</v>
      </c>
      <c r="J1181" s="96" t="s">
        <v>93</v>
      </c>
      <c r="K1181" s="96" t="s">
        <v>217</v>
      </c>
      <c r="L1181">
        <v>85</v>
      </c>
      <c r="M1181" t="s">
        <v>28</v>
      </c>
      <c r="N1181" t="s">
        <v>32</v>
      </c>
      <c r="O1181" t="s">
        <v>170</v>
      </c>
      <c r="P1181">
        <v>2026</v>
      </c>
    </row>
    <row r="1182" spans="1:16" x14ac:dyDescent="0.25">
      <c r="A1182" s="96" t="s">
        <v>21</v>
      </c>
      <c r="B1182" s="96" t="s">
        <v>288</v>
      </c>
      <c r="C1182" s="96" t="s">
        <v>1242</v>
      </c>
      <c r="D1182" s="96" t="s">
        <v>215</v>
      </c>
      <c r="E1182" s="43">
        <v>46081</v>
      </c>
      <c r="F1182" s="43">
        <v>46104</v>
      </c>
      <c r="G1182" s="96" t="s">
        <v>92</v>
      </c>
      <c r="H1182" s="96" t="s">
        <v>4689</v>
      </c>
      <c r="I1182" s="96" t="s">
        <v>157</v>
      </c>
      <c r="J1182" s="96" t="s">
        <v>216</v>
      </c>
      <c r="K1182" s="96" t="s">
        <v>217</v>
      </c>
      <c r="L1182">
        <v>23</v>
      </c>
      <c r="M1182" t="s">
        <v>19</v>
      </c>
      <c r="N1182" t="s">
        <v>32</v>
      </c>
      <c r="O1182" t="s">
        <v>170</v>
      </c>
      <c r="P1182">
        <v>2026</v>
      </c>
    </row>
    <row r="1183" spans="1:16" x14ac:dyDescent="0.25">
      <c r="A1183" s="96" t="s">
        <v>2</v>
      </c>
      <c r="B1183" s="96" t="s">
        <v>269</v>
      </c>
      <c r="C1183" s="96" t="s">
        <v>1243</v>
      </c>
      <c r="D1183" s="96" t="s">
        <v>34</v>
      </c>
      <c r="E1183" s="43">
        <v>46044</v>
      </c>
      <c r="F1183" s="43">
        <v>46109</v>
      </c>
      <c r="G1183" s="96" t="s">
        <v>90</v>
      </c>
      <c r="H1183" s="96" t="s">
        <v>4690</v>
      </c>
      <c r="I1183" s="96" t="s">
        <v>194</v>
      </c>
      <c r="J1183" s="96" t="s">
        <v>93</v>
      </c>
      <c r="K1183" s="96" t="s">
        <v>233</v>
      </c>
      <c r="L1183">
        <v>65</v>
      </c>
      <c r="M1183" t="s">
        <v>28</v>
      </c>
      <c r="N1183" t="s">
        <v>29</v>
      </c>
      <c r="O1183" t="s">
        <v>152</v>
      </c>
      <c r="P1183">
        <v>2026</v>
      </c>
    </row>
    <row r="1184" spans="1:16" hidden="1" x14ac:dyDescent="0.25">
      <c r="A1184" s="96" t="s">
        <v>2</v>
      </c>
      <c r="B1184" s="96" t="s">
        <v>257</v>
      </c>
      <c r="C1184" s="96" t="s">
        <v>4691</v>
      </c>
      <c r="D1184" s="96" t="s">
        <v>192</v>
      </c>
      <c r="E1184" s="43">
        <v>45904</v>
      </c>
      <c r="F1184" s="43">
        <v>45968</v>
      </c>
      <c r="G1184" s="96" t="s">
        <v>92</v>
      </c>
      <c r="H1184" s="96" t="s">
        <v>4692</v>
      </c>
      <c r="I1184" s="96" t="s">
        <v>225</v>
      </c>
      <c r="J1184" s="96" t="s">
        <v>172</v>
      </c>
      <c r="K1184" s="96" t="s">
        <v>157</v>
      </c>
      <c r="L1184">
        <v>64</v>
      </c>
      <c r="M1184" t="s">
        <v>28</v>
      </c>
      <c r="N1184" t="s">
        <v>12</v>
      </c>
      <c r="O1184" t="s">
        <v>151</v>
      </c>
      <c r="P1184">
        <v>2025</v>
      </c>
    </row>
    <row r="1185" spans="1:16" hidden="1" x14ac:dyDescent="0.25">
      <c r="A1185" s="96" t="s">
        <v>2</v>
      </c>
      <c r="B1185" s="96" t="s">
        <v>206</v>
      </c>
      <c r="C1185" s="96" t="s">
        <v>1244</v>
      </c>
      <c r="D1185" s="96" t="s">
        <v>237</v>
      </c>
      <c r="E1185" s="43">
        <v>45992</v>
      </c>
      <c r="F1185" s="43">
        <v>46097</v>
      </c>
      <c r="G1185" s="96" t="s">
        <v>90</v>
      </c>
      <c r="H1185" s="96" t="s">
        <v>4693</v>
      </c>
      <c r="I1185" s="96" t="s">
        <v>9</v>
      </c>
      <c r="J1185" s="96" t="s">
        <v>93</v>
      </c>
      <c r="K1185" s="96" t="s">
        <v>157</v>
      </c>
      <c r="L1185">
        <v>105</v>
      </c>
      <c r="M1185" t="s">
        <v>28</v>
      </c>
      <c r="N1185" t="s">
        <v>25</v>
      </c>
      <c r="O1185" t="s">
        <v>152</v>
      </c>
      <c r="P1185">
        <v>2025</v>
      </c>
    </row>
    <row r="1186" spans="1:16" hidden="1" x14ac:dyDescent="0.25">
      <c r="A1186" s="96" t="s">
        <v>2</v>
      </c>
      <c r="B1186" s="96" t="s">
        <v>257</v>
      </c>
      <c r="C1186" s="96" t="s">
        <v>1245</v>
      </c>
      <c r="D1186" s="96" t="s">
        <v>34</v>
      </c>
      <c r="E1186" s="43">
        <v>45838</v>
      </c>
      <c r="F1186" s="43">
        <v>45914</v>
      </c>
      <c r="G1186" s="96" t="s">
        <v>92</v>
      </c>
      <c r="H1186" s="96" t="s">
        <v>1212</v>
      </c>
      <c r="I1186" s="96" t="s">
        <v>209</v>
      </c>
      <c r="J1186" s="96" t="s">
        <v>172</v>
      </c>
      <c r="K1186" s="96" t="s">
        <v>210</v>
      </c>
      <c r="L1186">
        <v>76</v>
      </c>
      <c r="M1186" t="s">
        <v>28</v>
      </c>
      <c r="N1186" t="s">
        <v>184</v>
      </c>
      <c r="O1186" t="s">
        <v>151</v>
      </c>
      <c r="P1186">
        <v>2025</v>
      </c>
    </row>
    <row r="1187" spans="1:16" hidden="1" x14ac:dyDescent="0.25">
      <c r="A1187" s="96" t="s">
        <v>2</v>
      </c>
      <c r="B1187" s="96" t="s">
        <v>272</v>
      </c>
      <c r="C1187" s="96" t="s">
        <v>4694</v>
      </c>
      <c r="D1187" s="96" t="s">
        <v>34</v>
      </c>
      <c r="E1187" s="43">
        <v>45850</v>
      </c>
      <c r="F1187" s="43">
        <v>45898</v>
      </c>
      <c r="G1187" s="96" t="s">
        <v>92</v>
      </c>
      <c r="H1187" s="96" t="s">
        <v>1214</v>
      </c>
      <c r="I1187" s="96" t="s">
        <v>204</v>
      </c>
      <c r="J1187" s="96" t="s">
        <v>93</v>
      </c>
      <c r="K1187" s="96" t="s">
        <v>205</v>
      </c>
      <c r="L1187">
        <v>48</v>
      </c>
      <c r="M1187" t="s">
        <v>24</v>
      </c>
      <c r="N1187" t="s">
        <v>187</v>
      </c>
      <c r="O1187" t="s">
        <v>151</v>
      </c>
      <c r="P1187">
        <v>2025</v>
      </c>
    </row>
    <row r="1188" spans="1:16" hidden="1" x14ac:dyDescent="0.25">
      <c r="A1188" s="96" t="s">
        <v>2</v>
      </c>
      <c r="B1188" s="96" t="s">
        <v>231</v>
      </c>
      <c r="C1188" s="96" t="s">
        <v>1246</v>
      </c>
      <c r="D1188" s="96" t="s">
        <v>10</v>
      </c>
      <c r="E1188" s="43">
        <v>45917</v>
      </c>
      <c r="F1188" s="43">
        <v>45993</v>
      </c>
      <c r="G1188" s="96" t="s">
        <v>92</v>
      </c>
      <c r="H1188" s="96" t="s">
        <v>4695</v>
      </c>
      <c r="I1188" s="96" t="s">
        <v>157</v>
      </c>
      <c r="J1188" s="96" t="s">
        <v>93</v>
      </c>
      <c r="K1188" s="96" t="s">
        <v>230</v>
      </c>
      <c r="L1188">
        <v>76</v>
      </c>
      <c r="M1188" t="s">
        <v>28</v>
      </c>
      <c r="N1188" t="s">
        <v>12</v>
      </c>
      <c r="O1188" t="s">
        <v>170</v>
      </c>
      <c r="P1188">
        <v>2025</v>
      </c>
    </row>
    <row r="1189" spans="1:16" x14ac:dyDescent="0.25">
      <c r="A1189" s="96" t="s">
        <v>2</v>
      </c>
      <c r="B1189" s="96" t="s">
        <v>269</v>
      </c>
      <c r="C1189" s="96" t="s">
        <v>4696</v>
      </c>
      <c r="D1189" s="96" t="s">
        <v>192</v>
      </c>
      <c r="E1189" s="43">
        <v>46028</v>
      </c>
      <c r="F1189" s="43">
        <v>46085</v>
      </c>
      <c r="G1189" s="96" t="s">
        <v>90</v>
      </c>
      <c r="H1189" s="96" t="s">
        <v>4697</v>
      </c>
      <c r="I1189" s="96" t="s">
        <v>204</v>
      </c>
      <c r="J1189" s="96" t="s">
        <v>165</v>
      </c>
      <c r="K1189" s="96" t="s">
        <v>246</v>
      </c>
      <c r="L1189">
        <v>57</v>
      </c>
      <c r="M1189" t="s">
        <v>24</v>
      </c>
      <c r="N1189" t="s">
        <v>29</v>
      </c>
      <c r="O1189" t="s">
        <v>152</v>
      </c>
      <c r="P1189">
        <v>2026</v>
      </c>
    </row>
    <row r="1190" spans="1:16" hidden="1" x14ac:dyDescent="0.25">
      <c r="A1190" s="96" t="s">
        <v>2</v>
      </c>
      <c r="B1190" s="96" t="s">
        <v>240</v>
      </c>
      <c r="C1190" s="96" t="s">
        <v>1248</v>
      </c>
      <c r="D1190" s="96" t="s">
        <v>40</v>
      </c>
      <c r="E1190" s="43">
        <v>45860</v>
      </c>
      <c r="F1190" s="43">
        <v>45923</v>
      </c>
      <c r="G1190" s="96" t="s">
        <v>92</v>
      </c>
      <c r="H1190" s="96" t="s">
        <v>4698</v>
      </c>
      <c r="I1190" s="96" t="s">
        <v>228</v>
      </c>
      <c r="J1190" s="96" t="s">
        <v>97</v>
      </c>
      <c r="K1190" s="96" t="s">
        <v>230</v>
      </c>
      <c r="L1190">
        <v>63</v>
      </c>
      <c r="M1190" t="s">
        <v>28</v>
      </c>
      <c r="N1190" t="s">
        <v>187</v>
      </c>
      <c r="O1190" t="s">
        <v>149</v>
      </c>
      <c r="P1190">
        <v>2025</v>
      </c>
    </row>
    <row r="1191" spans="1:16" hidden="1" x14ac:dyDescent="0.25">
      <c r="A1191" s="96" t="s">
        <v>2</v>
      </c>
      <c r="B1191" s="96" t="s">
        <v>255</v>
      </c>
      <c r="C1191" s="96" t="s">
        <v>4699</v>
      </c>
      <c r="D1191" s="96" t="s">
        <v>203</v>
      </c>
      <c r="E1191" s="43">
        <v>45696</v>
      </c>
      <c r="F1191" s="43">
        <v>45762</v>
      </c>
      <c r="G1191" s="96" t="s">
        <v>92</v>
      </c>
      <c r="H1191" s="96" t="s">
        <v>4700</v>
      </c>
      <c r="I1191" s="96" t="s">
        <v>209</v>
      </c>
      <c r="J1191" s="96" t="s">
        <v>174</v>
      </c>
      <c r="K1191" s="96" t="s">
        <v>205</v>
      </c>
      <c r="L1191">
        <v>66</v>
      </c>
      <c r="M1191" t="s">
        <v>28</v>
      </c>
      <c r="N1191" t="s">
        <v>188</v>
      </c>
      <c r="O1191" t="s">
        <v>150</v>
      </c>
      <c r="P1191">
        <v>2025</v>
      </c>
    </row>
    <row r="1192" spans="1:16" hidden="1" x14ac:dyDescent="0.25">
      <c r="A1192" s="96" t="s">
        <v>171</v>
      </c>
      <c r="B1192" s="96" t="s">
        <v>221</v>
      </c>
      <c r="C1192" s="96" t="s">
        <v>1249</v>
      </c>
      <c r="D1192" s="96" t="s">
        <v>10</v>
      </c>
      <c r="E1192" s="43">
        <v>45955</v>
      </c>
      <c r="F1192" s="43">
        <v>46024</v>
      </c>
      <c r="G1192" s="96" t="s">
        <v>92</v>
      </c>
      <c r="H1192" s="96" t="s">
        <v>4701</v>
      </c>
      <c r="I1192" s="96" t="s">
        <v>204</v>
      </c>
      <c r="J1192" s="96" t="s">
        <v>96</v>
      </c>
      <c r="K1192" s="96" t="s">
        <v>200</v>
      </c>
      <c r="L1192">
        <v>69</v>
      </c>
      <c r="M1192" t="s">
        <v>28</v>
      </c>
      <c r="N1192" t="s">
        <v>16</v>
      </c>
      <c r="O1192" t="s">
        <v>170</v>
      </c>
      <c r="P1192">
        <v>2025</v>
      </c>
    </row>
    <row r="1193" spans="1:16" x14ac:dyDescent="0.25">
      <c r="A1193" s="96" t="s">
        <v>2</v>
      </c>
      <c r="B1193" s="96" t="s">
        <v>261</v>
      </c>
      <c r="C1193" s="96" t="s">
        <v>1252</v>
      </c>
      <c r="D1193" s="96" t="s">
        <v>40</v>
      </c>
      <c r="E1193" s="43">
        <v>46033</v>
      </c>
      <c r="F1193" s="43">
        <v>46084</v>
      </c>
      <c r="G1193" s="96" t="s">
        <v>90</v>
      </c>
      <c r="H1193" s="96" t="s">
        <v>4702</v>
      </c>
      <c r="I1193" s="96" t="s">
        <v>228</v>
      </c>
      <c r="J1193" s="96" t="s">
        <v>168</v>
      </c>
      <c r="K1193" s="96" t="s">
        <v>200</v>
      </c>
      <c r="L1193">
        <v>51</v>
      </c>
      <c r="M1193" t="s">
        <v>24</v>
      </c>
      <c r="N1193" t="s">
        <v>29</v>
      </c>
      <c r="O1193" t="s">
        <v>151</v>
      </c>
      <c r="P1193">
        <v>2026</v>
      </c>
    </row>
    <row r="1194" spans="1:16" hidden="1" x14ac:dyDescent="0.25">
      <c r="A1194" s="96" t="s">
        <v>21</v>
      </c>
      <c r="B1194" s="96" t="s">
        <v>231</v>
      </c>
      <c r="C1194" s="96" t="s">
        <v>1254</v>
      </c>
      <c r="D1194" s="96" t="s">
        <v>40</v>
      </c>
      <c r="E1194" s="43">
        <v>45771</v>
      </c>
      <c r="F1194" s="43">
        <v>45772</v>
      </c>
      <c r="G1194" s="96" t="s">
        <v>90</v>
      </c>
      <c r="H1194" s="96" t="s">
        <v>4703</v>
      </c>
      <c r="I1194" s="96" t="s">
        <v>209</v>
      </c>
      <c r="J1194" s="96" t="s">
        <v>98</v>
      </c>
      <c r="K1194" s="96" t="s">
        <v>157</v>
      </c>
      <c r="L1194">
        <v>1</v>
      </c>
      <c r="M1194" t="s">
        <v>11</v>
      </c>
      <c r="N1194" t="s">
        <v>185</v>
      </c>
      <c r="O1194" t="s">
        <v>170</v>
      </c>
      <c r="P1194">
        <v>2025</v>
      </c>
    </row>
    <row r="1195" spans="1:16" hidden="1" x14ac:dyDescent="0.25">
      <c r="A1195" s="96" t="s">
        <v>21</v>
      </c>
      <c r="B1195" s="96" t="s">
        <v>322</v>
      </c>
      <c r="C1195" s="96" t="s">
        <v>1255</v>
      </c>
      <c r="D1195" s="96" t="s">
        <v>14</v>
      </c>
      <c r="E1195" s="43">
        <v>45963</v>
      </c>
      <c r="F1195" s="43">
        <v>46009</v>
      </c>
      <c r="G1195" s="96" t="s">
        <v>95</v>
      </c>
      <c r="H1195" s="96" t="s">
        <v>4704</v>
      </c>
      <c r="I1195" s="96" t="s">
        <v>228</v>
      </c>
      <c r="J1195" s="96" t="s">
        <v>168</v>
      </c>
      <c r="K1195" s="96" t="s">
        <v>205</v>
      </c>
      <c r="L1195">
        <v>46</v>
      </c>
      <c r="M1195" t="s">
        <v>24</v>
      </c>
      <c r="N1195" t="s">
        <v>20</v>
      </c>
      <c r="O1195" t="s">
        <v>150</v>
      </c>
      <c r="P1195">
        <v>2025</v>
      </c>
    </row>
    <row r="1196" spans="1:16" x14ac:dyDescent="0.25">
      <c r="A1196" s="96" t="s">
        <v>2</v>
      </c>
      <c r="B1196" s="96" t="s">
        <v>317</v>
      </c>
      <c r="C1196" s="96" t="s">
        <v>1256</v>
      </c>
      <c r="D1196" s="96" t="s">
        <v>14</v>
      </c>
      <c r="E1196" s="43">
        <v>46098</v>
      </c>
      <c r="F1196" s="43">
        <v>46148</v>
      </c>
      <c r="G1196" s="96" t="s">
        <v>92</v>
      </c>
      <c r="H1196" s="96" t="s">
        <v>4705</v>
      </c>
      <c r="I1196" s="96" t="s">
        <v>228</v>
      </c>
      <c r="J1196" s="96" t="s">
        <v>216</v>
      </c>
      <c r="K1196" s="96" t="s">
        <v>210</v>
      </c>
      <c r="L1196">
        <v>50</v>
      </c>
      <c r="M1196" t="s">
        <v>24</v>
      </c>
      <c r="N1196" t="s">
        <v>35</v>
      </c>
      <c r="O1196" t="s">
        <v>170</v>
      </c>
      <c r="P1196">
        <v>2026</v>
      </c>
    </row>
    <row r="1197" spans="1:16" hidden="1" x14ac:dyDescent="0.25">
      <c r="A1197" s="96" t="s">
        <v>2</v>
      </c>
      <c r="B1197" s="96" t="s">
        <v>240</v>
      </c>
      <c r="C1197" s="96" t="s">
        <v>1258</v>
      </c>
      <c r="D1197" s="96" t="s">
        <v>14</v>
      </c>
      <c r="E1197" s="43">
        <v>45987</v>
      </c>
      <c r="F1197" s="43">
        <v>46090</v>
      </c>
      <c r="G1197" s="96" t="s">
        <v>90</v>
      </c>
      <c r="H1197" s="96" t="s">
        <v>4706</v>
      </c>
      <c r="I1197" s="96" t="s">
        <v>9</v>
      </c>
      <c r="J1197" s="96" t="s">
        <v>94</v>
      </c>
      <c r="K1197" s="96" t="s">
        <v>230</v>
      </c>
      <c r="L1197">
        <v>103</v>
      </c>
      <c r="M1197" t="s">
        <v>28</v>
      </c>
      <c r="N1197" t="s">
        <v>20</v>
      </c>
      <c r="O1197" t="s">
        <v>149</v>
      </c>
      <c r="P1197">
        <v>2025</v>
      </c>
    </row>
    <row r="1198" spans="1:16" x14ac:dyDescent="0.25">
      <c r="A1198" s="96" t="s">
        <v>2</v>
      </c>
      <c r="B1198" s="96" t="s">
        <v>374</v>
      </c>
      <c r="C1198" s="96" t="s">
        <v>4707</v>
      </c>
      <c r="D1198" s="96" t="s">
        <v>203</v>
      </c>
      <c r="E1198" s="43">
        <v>46100</v>
      </c>
      <c r="F1198" s="43">
        <v>46133</v>
      </c>
      <c r="G1198" s="96" t="s">
        <v>92</v>
      </c>
      <c r="H1198" s="96" t="s">
        <v>4708</v>
      </c>
      <c r="I1198" s="96" t="s">
        <v>194</v>
      </c>
      <c r="J1198" s="96" t="s">
        <v>97</v>
      </c>
      <c r="K1198" s="96" t="s">
        <v>210</v>
      </c>
      <c r="L1198">
        <v>33</v>
      </c>
      <c r="M1198" t="s">
        <v>24</v>
      </c>
      <c r="N1198" t="s">
        <v>35</v>
      </c>
      <c r="O1198" t="s">
        <v>150</v>
      </c>
      <c r="P1198">
        <v>2026</v>
      </c>
    </row>
    <row r="1199" spans="1:16" hidden="1" x14ac:dyDescent="0.25">
      <c r="A1199" s="96" t="s">
        <v>2</v>
      </c>
      <c r="B1199" s="96" t="s">
        <v>190</v>
      </c>
      <c r="C1199" s="96" t="s">
        <v>1259</v>
      </c>
      <c r="D1199" s="96" t="s">
        <v>208</v>
      </c>
      <c r="E1199" s="43">
        <v>45677</v>
      </c>
      <c r="F1199" s="43">
        <v>45726</v>
      </c>
      <c r="G1199" s="96" t="s">
        <v>90</v>
      </c>
      <c r="H1199" s="96" t="s">
        <v>4709</v>
      </c>
      <c r="I1199" s="96" t="s">
        <v>225</v>
      </c>
      <c r="J1199" s="96" t="s">
        <v>174</v>
      </c>
      <c r="K1199" s="96" t="s">
        <v>217</v>
      </c>
      <c r="L1199">
        <v>49</v>
      </c>
      <c r="M1199" t="s">
        <v>24</v>
      </c>
      <c r="N1199" t="s">
        <v>181</v>
      </c>
      <c r="O1199" t="s">
        <v>150</v>
      </c>
      <c r="P1199">
        <v>2025</v>
      </c>
    </row>
    <row r="1200" spans="1:16" x14ac:dyDescent="0.25">
      <c r="A1200" s="96" t="s">
        <v>2</v>
      </c>
      <c r="B1200" s="96" t="s">
        <v>219</v>
      </c>
      <c r="C1200" s="96" t="s">
        <v>1260</v>
      </c>
      <c r="D1200" s="96" t="s">
        <v>208</v>
      </c>
      <c r="E1200" s="43">
        <v>46070</v>
      </c>
      <c r="F1200" s="43">
        <v>46150</v>
      </c>
      <c r="G1200" s="96" t="s">
        <v>92</v>
      </c>
      <c r="H1200" s="96" t="s">
        <v>4710</v>
      </c>
      <c r="I1200" s="96" t="s">
        <v>157</v>
      </c>
      <c r="J1200" s="96" t="s">
        <v>172</v>
      </c>
      <c r="K1200" s="96" t="s">
        <v>230</v>
      </c>
      <c r="L1200">
        <v>80</v>
      </c>
      <c r="M1200" t="s">
        <v>28</v>
      </c>
      <c r="N1200" t="s">
        <v>32</v>
      </c>
      <c r="O1200" t="s">
        <v>149</v>
      </c>
      <c r="P1200">
        <v>2026</v>
      </c>
    </row>
    <row r="1201" spans="1:16" hidden="1" x14ac:dyDescent="0.25">
      <c r="A1201" s="96" t="s">
        <v>2</v>
      </c>
      <c r="B1201" s="96" t="s">
        <v>272</v>
      </c>
      <c r="C1201" s="96" t="s">
        <v>1261</v>
      </c>
      <c r="D1201" s="96" t="s">
        <v>192</v>
      </c>
      <c r="E1201" s="43">
        <v>45903</v>
      </c>
      <c r="F1201" s="43">
        <v>46019</v>
      </c>
      <c r="G1201" s="96" t="s">
        <v>90</v>
      </c>
      <c r="H1201" s="96" t="s">
        <v>4711</v>
      </c>
      <c r="I1201" s="96" t="s">
        <v>225</v>
      </c>
      <c r="J1201" s="96" t="s">
        <v>283</v>
      </c>
      <c r="K1201" s="96" t="s">
        <v>200</v>
      </c>
      <c r="L1201">
        <v>116</v>
      </c>
      <c r="M1201" t="s">
        <v>28</v>
      </c>
      <c r="N1201" t="s">
        <v>12</v>
      </c>
      <c r="O1201" t="s">
        <v>151</v>
      </c>
      <c r="P1201">
        <v>2025</v>
      </c>
    </row>
    <row r="1202" spans="1:16" hidden="1" x14ac:dyDescent="0.25">
      <c r="A1202" s="96" t="s">
        <v>2</v>
      </c>
      <c r="B1202" s="96" t="s">
        <v>206</v>
      </c>
      <c r="C1202" s="96" t="s">
        <v>1262</v>
      </c>
      <c r="D1202" s="96" t="s">
        <v>34</v>
      </c>
      <c r="E1202" s="43">
        <v>45822</v>
      </c>
      <c r="F1202" s="43">
        <v>45893</v>
      </c>
      <c r="G1202" s="96" t="s">
        <v>90</v>
      </c>
      <c r="H1202" s="96" t="s">
        <v>4712</v>
      </c>
      <c r="I1202" s="96" t="s">
        <v>209</v>
      </c>
      <c r="J1202" s="96" t="s">
        <v>174</v>
      </c>
      <c r="K1202" s="96" t="s">
        <v>233</v>
      </c>
      <c r="L1202">
        <v>71</v>
      </c>
      <c r="M1202" t="s">
        <v>28</v>
      </c>
      <c r="N1202" t="s">
        <v>184</v>
      </c>
      <c r="O1202" t="s">
        <v>152</v>
      </c>
      <c r="P1202">
        <v>2025</v>
      </c>
    </row>
    <row r="1203" spans="1:16" hidden="1" x14ac:dyDescent="0.25">
      <c r="A1203" s="96" t="s">
        <v>2</v>
      </c>
      <c r="B1203" s="96" t="s">
        <v>272</v>
      </c>
      <c r="C1203" s="96" t="s">
        <v>1264</v>
      </c>
      <c r="D1203" s="96" t="s">
        <v>10</v>
      </c>
      <c r="E1203" s="43">
        <v>45915</v>
      </c>
      <c r="F1203" s="43">
        <v>45957</v>
      </c>
      <c r="G1203" s="96" t="s">
        <v>92</v>
      </c>
      <c r="H1203" s="96" t="s">
        <v>4713</v>
      </c>
      <c r="I1203" s="96" t="s">
        <v>228</v>
      </c>
      <c r="J1203" s="96" t="s">
        <v>177</v>
      </c>
      <c r="K1203" s="96" t="s">
        <v>200</v>
      </c>
      <c r="L1203">
        <v>42</v>
      </c>
      <c r="M1203" t="s">
        <v>24</v>
      </c>
      <c r="N1203" t="s">
        <v>12</v>
      </c>
      <c r="O1203" t="s">
        <v>151</v>
      </c>
      <c r="P1203">
        <v>2025</v>
      </c>
    </row>
    <row r="1204" spans="1:16" hidden="1" x14ac:dyDescent="0.25">
      <c r="A1204" s="96" t="s">
        <v>2</v>
      </c>
      <c r="B1204" s="96" t="s">
        <v>272</v>
      </c>
      <c r="C1204" s="96" t="s">
        <v>1266</v>
      </c>
      <c r="D1204" s="96" t="s">
        <v>223</v>
      </c>
      <c r="E1204" s="43">
        <v>45705</v>
      </c>
      <c r="F1204" s="43">
        <v>45739</v>
      </c>
      <c r="G1204" s="96" t="s">
        <v>92</v>
      </c>
      <c r="H1204" s="96" t="s">
        <v>4714</v>
      </c>
      <c r="I1204" s="96" t="s">
        <v>157</v>
      </c>
      <c r="J1204" s="96" t="s">
        <v>173</v>
      </c>
      <c r="K1204" s="96" t="s">
        <v>230</v>
      </c>
      <c r="L1204">
        <v>34</v>
      </c>
      <c r="M1204" t="s">
        <v>24</v>
      </c>
      <c r="N1204" t="s">
        <v>188</v>
      </c>
      <c r="O1204" t="s">
        <v>151</v>
      </c>
      <c r="P1204">
        <v>2025</v>
      </c>
    </row>
    <row r="1205" spans="1:16" hidden="1" x14ac:dyDescent="0.25">
      <c r="A1205" s="96" t="s">
        <v>175</v>
      </c>
      <c r="B1205" s="96" t="s">
        <v>206</v>
      </c>
      <c r="C1205" s="96" t="s">
        <v>1267</v>
      </c>
      <c r="D1205" s="96" t="s">
        <v>192</v>
      </c>
      <c r="E1205" s="43">
        <v>45928</v>
      </c>
      <c r="F1205" s="43">
        <v>46022</v>
      </c>
      <c r="G1205" s="96" t="s">
        <v>90</v>
      </c>
      <c r="H1205" s="96" t="s">
        <v>4715</v>
      </c>
      <c r="I1205" s="96" t="s">
        <v>204</v>
      </c>
      <c r="J1205" s="96" t="s">
        <v>93</v>
      </c>
      <c r="K1205" s="96" t="s">
        <v>205</v>
      </c>
      <c r="L1205">
        <v>94</v>
      </c>
      <c r="M1205" t="s">
        <v>28</v>
      </c>
      <c r="N1205" t="s">
        <v>12</v>
      </c>
      <c r="O1205" t="s">
        <v>152</v>
      </c>
      <c r="P1205">
        <v>2025</v>
      </c>
    </row>
    <row r="1206" spans="1:16" hidden="1" x14ac:dyDescent="0.25">
      <c r="A1206" s="96" t="s">
        <v>175</v>
      </c>
      <c r="B1206" s="96" t="s">
        <v>190</v>
      </c>
      <c r="C1206" s="96" t="s">
        <v>1268</v>
      </c>
      <c r="D1206" s="96" t="s">
        <v>237</v>
      </c>
      <c r="E1206" s="43">
        <v>45693</v>
      </c>
      <c r="F1206" s="43">
        <v>45782</v>
      </c>
      <c r="G1206" s="96" t="s">
        <v>92</v>
      </c>
      <c r="H1206" s="96" t="s">
        <v>4716</v>
      </c>
      <c r="I1206" s="96" t="s">
        <v>9</v>
      </c>
      <c r="J1206" s="96" t="s">
        <v>169</v>
      </c>
      <c r="K1206" s="96" t="s">
        <v>246</v>
      </c>
      <c r="L1206">
        <v>89</v>
      </c>
      <c r="M1206" t="s">
        <v>28</v>
      </c>
      <c r="N1206" t="s">
        <v>188</v>
      </c>
      <c r="O1206" t="s">
        <v>150</v>
      </c>
      <c r="P1206">
        <v>2025</v>
      </c>
    </row>
    <row r="1207" spans="1:16" hidden="1" x14ac:dyDescent="0.25">
      <c r="A1207" s="96" t="s">
        <v>2</v>
      </c>
      <c r="B1207" s="96" t="s">
        <v>221</v>
      </c>
      <c r="C1207" s="96" t="s">
        <v>4717</v>
      </c>
      <c r="D1207" s="96" t="s">
        <v>215</v>
      </c>
      <c r="E1207" s="43">
        <v>45747</v>
      </c>
      <c r="F1207" s="43">
        <v>45851</v>
      </c>
      <c r="G1207" s="96" t="s">
        <v>92</v>
      </c>
      <c r="H1207" s="96" t="s">
        <v>4718</v>
      </c>
      <c r="I1207" s="96" t="s">
        <v>9</v>
      </c>
      <c r="J1207" s="96" t="s">
        <v>96</v>
      </c>
      <c r="K1207" s="96" t="s">
        <v>157</v>
      </c>
      <c r="L1207">
        <v>104</v>
      </c>
      <c r="M1207" t="s">
        <v>28</v>
      </c>
      <c r="N1207" t="s">
        <v>186</v>
      </c>
      <c r="O1207" t="s">
        <v>170</v>
      </c>
      <c r="P1207">
        <v>2025</v>
      </c>
    </row>
    <row r="1208" spans="1:16" hidden="1" x14ac:dyDescent="0.25">
      <c r="A1208" s="96" t="s">
        <v>2</v>
      </c>
      <c r="B1208" s="96" t="s">
        <v>213</v>
      </c>
      <c r="C1208" s="96" t="s">
        <v>1269</v>
      </c>
      <c r="D1208" s="96" t="s">
        <v>223</v>
      </c>
      <c r="E1208" s="43">
        <v>45819</v>
      </c>
      <c r="F1208" s="43">
        <v>45907</v>
      </c>
      <c r="G1208" s="96" t="s">
        <v>92</v>
      </c>
      <c r="H1208" s="96" t="s">
        <v>4719</v>
      </c>
      <c r="I1208" s="96" t="s">
        <v>157</v>
      </c>
      <c r="J1208" s="96" t="s">
        <v>91</v>
      </c>
      <c r="K1208" s="96" t="s">
        <v>200</v>
      </c>
      <c r="L1208">
        <v>88</v>
      </c>
      <c r="M1208" t="s">
        <v>28</v>
      </c>
      <c r="N1208" t="s">
        <v>184</v>
      </c>
      <c r="O1208" t="s">
        <v>149</v>
      </c>
      <c r="P1208">
        <v>2025</v>
      </c>
    </row>
    <row r="1209" spans="1:16" hidden="1" x14ac:dyDescent="0.25">
      <c r="A1209" s="96" t="s">
        <v>2</v>
      </c>
      <c r="B1209" s="96" t="s">
        <v>221</v>
      </c>
      <c r="C1209" s="96" t="s">
        <v>1270</v>
      </c>
      <c r="D1209" s="96" t="s">
        <v>237</v>
      </c>
      <c r="E1209" s="43">
        <v>45905</v>
      </c>
      <c r="F1209" s="43">
        <v>46009</v>
      </c>
      <c r="G1209" s="96" t="s">
        <v>92</v>
      </c>
      <c r="H1209" s="96" t="s">
        <v>1227</v>
      </c>
      <c r="I1209" s="96" t="s">
        <v>209</v>
      </c>
      <c r="J1209" s="96" t="s">
        <v>216</v>
      </c>
      <c r="K1209" s="96" t="s">
        <v>205</v>
      </c>
      <c r="L1209">
        <v>104</v>
      </c>
      <c r="M1209" t="s">
        <v>28</v>
      </c>
      <c r="N1209" t="s">
        <v>12</v>
      </c>
      <c r="O1209" t="s">
        <v>170</v>
      </c>
      <c r="P1209">
        <v>2025</v>
      </c>
    </row>
    <row r="1210" spans="1:16" hidden="1" x14ac:dyDescent="0.25">
      <c r="A1210" s="96" t="s">
        <v>21</v>
      </c>
      <c r="B1210" s="96" t="s">
        <v>238</v>
      </c>
      <c r="C1210" s="96" t="s">
        <v>1272</v>
      </c>
      <c r="D1210" s="96" t="s">
        <v>40</v>
      </c>
      <c r="E1210" s="43">
        <v>45867</v>
      </c>
      <c r="F1210" s="43">
        <v>45952</v>
      </c>
      <c r="G1210" s="96" t="s">
        <v>92</v>
      </c>
      <c r="H1210" s="96" t="s">
        <v>4720</v>
      </c>
      <c r="I1210" s="96" t="s">
        <v>209</v>
      </c>
      <c r="J1210" s="96" t="s">
        <v>169</v>
      </c>
      <c r="K1210" s="96" t="s">
        <v>157</v>
      </c>
      <c r="L1210">
        <v>85</v>
      </c>
      <c r="M1210" t="s">
        <v>28</v>
      </c>
      <c r="N1210" t="s">
        <v>187</v>
      </c>
      <c r="O1210" t="s">
        <v>170</v>
      </c>
      <c r="P1210">
        <v>2025</v>
      </c>
    </row>
    <row r="1211" spans="1:16" x14ac:dyDescent="0.25">
      <c r="A1211" s="96" t="s">
        <v>2</v>
      </c>
      <c r="B1211" s="96" t="s">
        <v>226</v>
      </c>
      <c r="C1211" s="96" t="s">
        <v>1275</v>
      </c>
      <c r="D1211" s="96" t="s">
        <v>14</v>
      </c>
      <c r="E1211" s="43">
        <v>46075</v>
      </c>
      <c r="F1211" s="43">
        <v>46130</v>
      </c>
      <c r="G1211" s="96" t="s">
        <v>92</v>
      </c>
      <c r="H1211" s="96" t="s">
        <v>4721</v>
      </c>
      <c r="I1211" s="96" t="s">
        <v>225</v>
      </c>
      <c r="J1211" s="96" t="s">
        <v>91</v>
      </c>
      <c r="K1211" s="96" t="s">
        <v>195</v>
      </c>
      <c r="L1211">
        <v>55</v>
      </c>
      <c r="M1211" t="s">
        <v>24</v>
      </c>
      <c r="N1211" t="s">
        <v>32</v>
      </c>
      <c r="O1211" t="s">
        <v>151</v>
      </c>
      <c r="P1211">
        <v>2026</v>
      </c>
    </row>
    <row r="1212" spans="1:16" hidden="1" x14ac:dyDescent="0.25">
      <c r="A1212" s="96" t="s">
        <v>175</v>
      </c>
      <c r="B1212" s="96" t="s">
        <v>231</v>
      </c>
      <c r="C1212" s="96" t="s">
        <v>1276</v>
      </c>
      <c r="D1212" s="96" t="s">
        <v>223</v>
      </c>
      <c r="E1212" s="43">
        <v>45669</v>
      </c>
      <c r="F1212" s="43">
        <v>45764</v>
      </c>
      <c r="G1212" s="96" t="s">
        <v>92</v>
      </c>
      <c r="H1212" s="96" t="s">
        <v>1232</v>
      </c>
      <c r="I1212" s="96" t="s">
        <v>204</v>
      </c>
      <c r="J1212" s="96" t="s">
        <v>173</v>
      </c>
      <c r="K1212" s="96" t="s">
        <v>157</v>
      </c>
      <c r="L1212">
        <v>95</v>
      </c>
      <c r="M1212" t="s">
        <v>28</v>
      </c>
      <c r="N1212" t="s">
        <v>181</v>
      </c>
      <c r="O1212" t="s">
        <v>170</v>
      </c>
      <c r="P1212">
        <v>2025</v>
      </c>
    </row>
    <row r="1213" spans="1:16" x14ac:dyDescent="0.25">
      <c r="A1213" s="96" t="s">
        <v>2</v>
      </c>
      <c r="B1213" s="96" t="s">
        <v>244</v>
      </c>
      <c r="C1213" s="96" t="s">
        <v>1277</v>
      </c>
      <c r="D1213" s="96" t="s">
        <v>203</v>
      </c>
      <c r="E1213" s="43">
        <v>46131</v>
      </c>
      <c r="F1213" s="43">
        <v>46150</v>
      </c>
      <c r="G1213" s="96" t="s">
        <v>90</v>
      </c>
      <c r="H1213" s="96" t="s">
        <v>1233</v>
      </c>
      <c r="I1213" s="96" t="s">
        <v>157</v>
      </c>
      <c r="J1213" s="96" t="s">
        <v>172</v>
      </c>
      <c r="K1213" s="96" t="s">
        <v>246</v>
      </c>
      <c r="L1213">
        <v>19</v>
      </c>
      <c r="M1213" t="s">
        <v>19</v>
      </c>
      <c r="N1213" t="s">
        <v>37</v>
      </c>
      <c r="O1213" t="s">
        <v>150</v>
      </c>
      <c r="P1213">
        <v>2026</v>
      </c>
    </row>
    <row r="1214" spans="1:16" x14ac:dyDescent="0.25">
      <c r="A1214" s="96" t="s">
        <v>2</v>
      </c>
      <c r="B1214" s="96" t="s">
        <v>218</v>
      </c>
      <c r="C1214" s="96" t="s">
        <v>1279</v>
      </c>
      <c r="D1214" s="96" t="s">
        <v>14</v>
      </c>
      <c r="E1214" s="43">
        <v>46026</v>
      </c>
      <c r="F1214" s="43">
        <v>46125</v>
      </c>
      <c r="G1214" s="96" t="s">
        <v>92</v>
      </c>
      <c r="H1214" s="96" t="s">
        <v>1235</v>
      </c>
      <c r="I1214" s="96" t="s">
        <v>228</v>
      </c>
      <c r="J1214" s="96" t="s">
        <v>94</v>
      </c>
      <c r="K1214" s="96" t="s">
        <v>233</v>
      </c>
      <c r="L1214">
        <v>99</v>
      </c>
      <c r="M1214" t="s">
        <v>28</v>
      </c>
      <c r="N1214" t="s">
        <v>29</v>
      </c>
      <c r="O1214" t="s">
        <v>152</v>
      </c>
      <c r="P1214">
        <v>2026</v>
      </c>
    </row>
    <row r="1215" spans="1:16" hidden="1" x14ac:dyDescent="0.25">
      <c r="A1215" s="96" t="s">
        <v>175</v>
      </c>
      <c r="B1215" s="96" t="s">
        <v>253</v>
      </c>
      <c r="C1215" s="96" t="s">
        <v>1282</v>
      </c>
      <c r="D1215" s="96" t="s">
        <v>10</v>
      </c>
      <c r="E1215" s="43">
        <v>46011</v>
      </c>
      <c r="F1215" s="43">
        <v>46079</v>
      </c>
      <c r="G1215" s="96" t="s">
        <v>90</v>
      </c>
      <c r="H1215" s="96" t="s">
        <v>4722</v>
      </c>
      <c r="I1215" s="96" t="s">
        <v>204</v>
      </c>
      <c r="J1215" s="96" t="s">
        <v>174</v>
      </c>
      <c r="K1215" s="96" t="s">
        <v>195</v>
      </c>
      <c r="L1215">
        <v>68</v>
      </c>
      <c r="M1215" t="s">
        <v>28</v>
      </c>
      <c r="N1215" t="s">
        <v>25</v>
      </c>
      <c r="O1215" t="s">
        <v>152</v>
      </c>
      <c r="P1215">
        <v>2025</v>
      </c>
    </row>
    <row r="1216" spans="1:16" x14ac:dyDescent="0.25">
      <c r="A1216" s="96" t="s">
        <v>2</v>
      </c>
      <c r="B1216" s="96" t="s">
        <v>226</v>
      </c>
      <c r="C1216" s="96" t="s">
        <v>4723</v>
      </c>
      <c r="D1216" s="96" t="s">
        <v>208</v>
      </c>
      <c r="E1216" s="43">
        <v>46099</v>
      </c>
      <c r="F1216" s="43">
        <v>46127</v>
      </c>
      <c r="G1216" s="96" t="s">
        <v>90</v>
      </c>
      <c r="H1216" s="96" t="s">
        <v>4724</v>
      </c>
      <c r="I1216" s="96" t="s">
        <v>225</v>
      </c>
      <c r="J1216" s="96" t="s">
        <v>176</v>
      </c>
      <c r="K1216" s="96" t="s">
        <v>217</v>
      </c>
      <c r="L1216">
        <v>28</v>
      </c>
      <c r="M1216" t="s">
        <v>19</v>
      </c>
      <c r="N1216" t="s">
        <v>35</v>
      </c>
      <c r="O1216" t="s">
        <v>151</v>
      </c>
      <c r="P1216">
        <v>2026</v>
      </c>
    </row>
    <row r="1217" spans="1:16" hidden="1" x14ac:dyDescent="0.25">
      <c r="A1217" s="96" t="s">
        <v>171</v>
      </c>
      <c r="B1217" s="96" t="s">
        <v>238</v>
      </c>
      <c r="C1217" s="96" t="s">
        <v>1283</v>
      </c>
      <c r="D1217" s="96" t="s">
        <v>223</v>
      </c>
      <c r="E1217" s="43">
        <v>45978</v>
      </c>
      <c r="F1217" s="43">
        <v>46021</v>
      </c>
      <c r="G1217" s="96" t="s">
        <v>95</v>
      </c>
      <c r="H1217" s="96" t="s">
        <v>4725</v>
      </c>
      <c r="I1217" s="96" t="s">
        <v>209</v>
      </c>
      <c r="J1217" s="96" t="s">
        <v>96</v>
      </c>
      <c r="K1217" s="96" t="s">
        <v>246</v>
      </c>
      <c r="L1217">
        <v>43</v>
      </c>
      <c r="M1217" t="s">
        <v>24</v>
      </c>
      <c r="N1217" t="s">
        <v>20</v>
      </c>
      <c r="O1217" t="s">
        <v>170</v>
      </c>
      <c r="P1217">
        <v>2025</v>
      </c>
    </row>
    <row r="1218" spans="1:16" hidden="1" x14ac:dyDescent="0.25">
      <c r="A1218" s="96" t="s">
        <v>175</v>
      </c>
      <c r="B1218" s="96" t="s">
        <v>264</v>
      </c>
      <c r="C1218" s="96" t="s">
        <v>1285</v>
      </c>
      <c r="D1218" s="96" t="s">
        <v>223</v>
      </c>
      <c r="E1218" s="43">
        <v>45702</v>
      </c>
      <c r="F1218" s="43">
        <v>45786</v>
      </c>
      <c r="G1218" s="96" t="s">
        <v>92</v>
      </c>
      <c r="H1218" s="96" t="s">
        <v>4726</v>
      </c>
      <c r="I1218" s="96" t="s">
        <v>204</v>
      </c>
      <c r="J1218" s="96" t="s">
        <v>199</v>
      </c>
      <c r="K1218" s="96" t="s">
        <v>233</v>
      </c>
      <c r="L1218">
        <v>84</v>
      </c>
      <c r="M1218" t="s">
        <v>28</v>
      </c>
      <c r="N1218" t="s">
        <v>188</v>
      </c>
      <c r="O1218" t="s">
        <v>152</v>
      </c>
      <c r="P1218">
        <v>2025</v>
      </c>
    </row>
    <row r="1219" spans="1:16" hidden="1" x14ac:dyDescent="0.25">
      <c r="A1219" s="96" t="s">
        <v>2</v>
      </c>
      <c r="B1219" s="96" t="s">
        <v>221</v>
      </c>
      <c r="C1219" s="96" t="s">
        <v>1286</v>
      </c>
      <c r="D1219" s="96" t="s">
        <v>208</v>
      </c>
      <c r="E1219" s="43">
        <v>45784</v>
      </c>
      <c r="F1219" s="43">
        <v>45835</v>
      </c>
      <c r="G1219" s="96" t="s">
        <v>90</v>
      </c>
      <c r="H1219" s="96" t="s">
        <v>4727</v>
      </c>
      <c r="I1219" s="96" t="s">
        <v>225</v>
      </c>
      <c r="J1219" s="96" t="s">
        <v>93</v>
      </c>
      <c r="K1219" s="96" t="s">
        <v>195</v>
      </c>
      <c r="L1219">
        <v>51</v>
      </c>
      <c r="M1219" t="s">
        <v>24</v>
      </c>
      <c r="N1219" t="s">
        <v>182</v>
      </c>
      <c r="O1219" t="s">
        <v>170</v>
      </c>
      <c r="P1219">
        <v>2025</v>
      </c>
    </row>
    <row r="1220" spans="1:16" x14ac:dyDescent="0.25">
      <c r="A1220" s="96" t="s">
        <v>2</v>
      </c>
      <c r="B1220" s="96" t="s">
        <v>261</v>
      </c>
      <c r="C1220" s="96" t="s">
        <v>1287</v>
      </c>
      <c r="D1220" s="96" t="s">
        <v>203</v>
      </c>
      <c r="E1220" s="43">
        <v>46130</v>
      </c>
      <c r="F1220" s="43">
        <v>46146</v>
      </c>
      <c r="G1220" s="96" t="s">
        <v>90</v>
      </c>
      <c r="H1220" s="96" t="s">
        <v>4728</v>
      </c>
      <c r="I1220" s="96" t="s">
        <v>9</v>
      </c>
      <c r="J1220" s="96" t="s">
        <v>176</v>
      </c>
      <c r="K1220" s="96" t="s">
        <v>230</v>
      </c>
      <c r="L1220">
        <v>16</v>
      </c>
      <c r="M1220" t="s">
        <v>19</v>
      </c>
      <c r="N1220" t="s">
        <v>37</v>
      </c>
      <c r="O1220" t="s">
        <v>151</v>
      </c>
      <c r="P1220">
        <v>2026</v>
      </c>
    </row>
    <row r="1221" spans="1:16" hidden="1" x14ac:dyDescent="0.25">
      <c r="A1221" s="96" t="s">
        <v>175</v>
      </c>
      <c r="B1221" s="96" t="s">
        <v>264</v>
      </c>
      <c r="C1221" s="96" t="s">
        <v>4729</v>
      </c>
      <c r="D1221" s="96" t="s">
        <v>10</v>
      </c>
      <c r="E1221" s="43">
        <v>45983</v>
      </c>
      <c r="F1221" s="43">
        <v>46101</v>
      </c>
      <c r="G1221" s="96" t="s">
        <v>92</v>
      </c>
      <c r="H1221" s="96" t="s">
        <v>4730</v>
      </c>
      <c r="I1221" s="96" t="s">
        <v>225</v>
      </c>
      <c r="J1221" s="96" t="s">
        <v>98</v>
      </c>
      <c r="K1221" s="96" t="s">
        <v>157</v>
      </c>
      <c r="L1221">
        <v>118</v>
      </c>
      <c r="M1221" t="s">
        <v>28</v>
      </c>
      <c r="N1221" t="s">
        <v>20</v>
      </c>
      <c r="O1221" t="s">
        <v>152</v>
      </c>
      <c r="P1221">
        <v>2025</v>
      </c>
    </row>
    <row r="1222" spans="1:16" hidden="1" x14ac:dyDescent="0.25">
      <c r="A1222" s="96" t="s">
        <v>2</v>
      </c>
      <c r="B1222" s="96" t="s">
        <v>257</v>
      </c>
      <c r="C1222" s="96" t="s">
        <v>1288</v>
      </c>
      <c r="D1222" s="96" t="s">
        <v>215</v>
      </c>
      <c r="E1222" s="43">
        <v>46004</v>
      </c>
      <c r="F1222" s="43">
        <v>46039</v>
      </c>
      <c r="G1222" s="96" t="s">
        <v>92</v>
      </c>
      <c r="H1222" s="96" t="s">
        <v>4731</v>
      </c>
      <c r="I1222" s="96" t="s">
        <v>9</v>
      </c>
      <c r="J1222" s="96" t="s">
        <v>283</v>
      </c>
      <c r="K1222" s="96" t="s">
        <v>195</v>
      </c>
      <c r="L1222">
        <v>35</v>
      </c>
      <c r="M1222" t="s">
        <v>24</v>
      </c>
      <c r="N1222" t="s">
        <v>25</v>
      </c>
      <c r="O1222" t="s">
        <v>151</v>
      </c>
      <c r="P1222">
        <v>2025</v>
      </c>
    </row>
    <row r="1223" spans="1:16" hidden="1" x14ac:dyDescent="0.25">
      <c r="A1223" s="96" t="s">
        <v>2</v>
      </c>
      <c r="B1223" s="96" t="s">
        <v>221</v>
      </c>
      <c r="C1223" s="96" t="s">
        <v>4732</v>
      </c>
      <c r="D1223" s="96" t="s">
        <v>192</v>
      </c>
      <c r="E1223" s="43">
        <v>45863</v>
      </c>
      <c r="F1223" s="43">
        <v>45897</v>
      </c>
      <c r="G1223" s="96" t="s">
        <v>92</v>
      </c>
      <c r="H1223" s="96" t="s">
        <v>4733</v>
      </c>
      <c r="I1223" s="96" t="s">
        <v>228</v>
      </c>
      <c r="J1223" s="96" t="s">
        <v>93</v>
      </c>
      <c r="K1223" s="96" t="s">
        <v>230</v>
      </c>
      <c r="L1223">
        <v>34</v>
      </c>
      <c r="M1223" t="s">
        <v>24</v>
      </c>
      <c r="N1223" t="s">
        <v>187</v>
      </c>
      <c r="O1223" t="s">
        <v>170</v>
      </c>
      <c r="P1223">
        <v>2025</v>
      </c>
    </row>
    <row r="1224" spans="1:16" x14ac:dyDescent="0.25">
      <c r="A1224" s="96" t="s">
        <v>2</v>
      </c>
      <c r="B1224" s="96" t="s">
        <v>244</v>
      </c>
      <c r="C1224" s="96" t="s">
        <v>1289</v>
      </c>
      <c r="D1224" s="96" t="s">
        <v>14</v>
      </c>
      <c r="E1224" s="43">
        <v>46112</v>
      </c>
      <c r="F1224" s="43">
        <v>46127</v>
      </c>
      <c r="G1224" s="96" t="s">
        <v>90</v>
      </c>
      <c r="H1224" s="96" t="s">
        <v>4734</v>
      </c>
      <c r="I1224" s="96" t="s">
        <v>194</v>
      </c>
      <c r="J1224" s="96" t="s">
        <v>168</v>
      </c>
      <c r="K1224" s="96" t="s">
        <v>205</v>
      </c>
      <c r="L1224">
        <v>15</v>
      </c>
      <c r="M1224" t="s">
        <v>19</v>
      </c>
      <c r="N1224" t="s">
        <v>35</v>
      </c>
      <c r="O1224" t="s">
        <v>150</v>
      </c>
      <c r="P1224">
        <v>2026</v>
      </c>
    </row>
    <row r="1225" spans="1:16" x14ac:dyDescent="0.25">
      <c r="A1225" s="96" t="s">
        <v>2</v>
      </c>
      <c r="B1225" s="96" t="s">
        <v>226</v>
      </c>
      <c r="C1225" s="96" t="s">
        <v>4735</v>
      </c>
      <c r="D1225" s="96" t="s">
        <v>203</v>
      </c>
      <c r="E1225" s="43">
        <v>46039</v>
      </c>
      <c r="F1225" s="43">
        <v>46104</v>
      </c>
      <c r="G1225" s="96" t="s">
        <v>92</v>
      </c>
      <c r="H1225" s="96" t="s">
        <v>4736</v>
      </c>
      <c r="I1225" s="96" t="s">
        <v>225</v>
      </c>
      <c r="J1225" s="96" t="s">
        <v>94</v>
      </c>
      <c r="K1225" s="96" t="s">
        <v>205</v>
      </c>
      <c r="L1225">
        <v>65</v>
      </c>
      <c r="M1225" t="s">
        <v>28</v>
      </c>
      <c r="N1225" t="s">
        <v>29</v>
      </c>
      <c r="O1225" t="s">
        <v>151</v>
      </c>
      <c r="P1225">
        <v>2026</v>
      </c>
    </row>
    <row r="1226" spans="1:16" hidden="1" x14ac:dyDescent="0.25">
      <c r="A1226" s="96" t="s">
        <v>2</v>
      </c>
      <c r="B1226" s="96" t="s">
        <v>213</v>
      </c>
      <c r="C1226" s="96" t="s">
        <v>4737</v>
      </c>
      <c r="D1226" s="96" t="s">
        <v>192</v>
      </c>
      <c r="E1226" s="43">
        <v>45901</v>
      </c>
      <c r="F1226" s="43">
        <v>45959</v>
      </c>
      <c r="G1226" s="96" t="s">
        <v>90</v>
      </c>
      <c r="H1226" s="96" t="s">
        <v>4738</v>
      </c>
      <c r="I1226" s="96" t="s">
        <v>9</v>
      </c>
      <c r="J1226" s="96" t="s">
        <v>97</v>
      </c>
      <c r="K1226" s="96" t="s">
        <v>205</v>
      </c>
      <c r="L1226">
        <v>58</v>
      </c>
      <c r="M1226" t="s">
        <v>24</v>
      </c>
      <c r="N1226" t="s">
        <v>12</v>
      </c>
      <c r="O1226" t="s">
        <v>149</v>
      </c>
      <c r="P1226">
        <v>2025</v>
      </c>
    </row>
    <row r="1227" spans="1:16" hidden="1" x14ac:dyDescent="0.25">
      <c r="A1227" s="96" t="s">
        <v>2</v>
      </c>
      <c r="B1227" s="96" t="s">
        <v>257</v>
      </c>
      <c r="C1227" s="96" t="s">
        <v>1291</v>
      </c>
      <c r="D1227" s="96" t="s">
        <v>40</v>
      </c>
      <c r="E1227" s="43">
        <v>45984</v>
      </c>
      <c r="F1227" s="43">
        <v>46096</v>
      </c>
      <c r="G1227" s="96" t="s">
        <v>92</v>
      </c>
      <c r="H1227" s="96" t="s">
        <v>4739</v>
      </c>
      <c r="I1227" s="96" t="s">
        <v>157</v>
      </c>
      <c r="J1227" s="96" t="s">
        <v>229</v>
      </c>
      <c r="K1227" s="96" t="s">
        <v>195</v>
      </c>
      <c r="L1227">
        <v>112</v>
      </c>
      <c r="M1227" t="s">
        <v>28</v>
      </c>
      <c r="N1227" t="s">
        <v>20</v>
      </c>
      <c r="O1227" t="s">
        <v>151</v>
      </c>
      <c r="P1227">
        <v>2025</v>
      </c>
    </row>
    <row r="1228" spans="1:16" x14ac:dyDescent="0.25">
      <c r="A1228" s="96" t="s">
        <v>21</v>
      </c>
      <c r="B1228" s="96" t="s">
        <v>234</v>
      </c>
      <c r="C1228" s="96" t="s">
        <v>1293</v>
      </c>
      <c r="D1228" s="96" t="s">
        <v>208</v>
      </c>
      <c r="E1228" s="43">
        <v>46040</v>
      </c>
      <c r="F1228" s="43">
        <v>46124</v>
      </c>
      <c r="G1228" s="96" t="s">
        <v>92</v>
      </c>
      <c r="H1228" s="96" t="s">
        <v>4740</v>
      </c>
      <c r="I1228" s="96" t="s">
        <v>194</v>
      </c>
      <c r="J1228" s="96" t="s">
        <v>173</v>
      </c>
      <c r="K1228" s="96" t="s">
        <v>195</v>
      </c>
      <c r="L1228">
        <v>84</v>
      </c>
      <c r="M1228" t="s">
        <v>28</v>
      </c>
      <c r="N1228" t="s">
        <v>29</v>
      </c>
      <c r="O1228" t="s">
        <v>150</v>
      </c>
      <c r="P1228">
        <v>2026</v>
      </c>
    </row>
    <row r="1229" spans="1:16" x14ac:dyDescent="0.25">
      <c r="A1229" s="96" t="s">
        <v>2</v>
      </c>
      <c r="B1229" s="96" t="s">
        <v>274</v>
      </c>
      <c r="C1229" s="96" t="s">
        <v>4741</v>
      </c>
      <c r="D1229" s="96" t="s">
        <v>215</v>
      </c>
      <c r="E1229" s="43">
        <v>46142</v>
      </c>
      <c r="F1229" s="43">
        <v>46146</v>
      </c>
      <c r="G1229" s="96" t="s">
        <v>92</v>
      </c>
      <c r="H1229" s="96" t="s">
        <v>1247</v>
      </c>
      <c r="I1229" s="96" t="s">
        <v>225</v>
      </c>
      <c r="J1229" s="96" t="s">
        <v>229</v>
      </c>
      <c r="K1229" s="96" t="s">
        <v>200</v>
      </c>
      <c r="L1229">
        <v>4</v>
      </c>
      <c r="M1229" t="s">
        <v>11</v>
      </c>
      <c r="N1229" t="s">
        <v>37</v>
      </c>
      <c r="O1229" t="s">
        <v>170</v>
      </c>
      <c r="P1229">
        <v>2026</v>
      </c>
    </row>
    <row r="1230" spans="1:16" hidden="1" x14ac:dyDescent="0.25">
      <c r="A1230" s="96" t="s">
        <v>2</v>
      </c>
      <c r="B1230" s="96" t="s">
        <v>211</v>
      </c>
      <c r="C1230" s="96" t="s">
        <v>4742</v>
      </c>
      <c r="D1230" s="96" t="s">
        <v>215</v>
      </c>
      <c r="E1230" s="43">
        <v>45976</v>
      </c>
      <c r="F1230" s="43">
        <v>45983</v>
      </c>
      <c r="G1230" s="96" t="s">
        <v>92</v>
      </c>
      <c r="H1230" s="96" t="s">
        <v>4743</v>
      </c>
      <c r="I1230" s="96" t="s">
        <v>9</v>
      </c>
      <c r="J1230" s="96" t="s">
        <v>216</v>
      </c>
      <c r="K1230" s="96" t="s">
        <v>195</v>
      </c>
      <c r="L1230">
        <v>7</v>
      </c>
      <c r="M1230" t="s">
        <v>11</v>
      </c>
      <c r="N1230" t="s">
        <v>20</v>
      </c>
      <c r="O1230" t="s">
        <v>170</v>
      </c>
      <c r="P1230">
        <v>2025</v>
      </c>
    </row>
    <row r="1231" spans="1:16" x14ac:dyDescent="0.25">
      <c r="A1231" s="96" t="s">
        <v>2</v>
      </c>
      <c r="B1231" s="96" t="s">
        <v>290</v>
      </c>
      <c r="C1231" s="96" t="s">
        <v>1298</v>
      </c>
      <c r="D1231" s="96" t="s">
        <v>10</v>
      </c>
      <c r="E1231" s="43">
        <v>46129</v>
      </c>
      <c r="F1231" s="43">
        <v>46150</v>
      </c>
      <c r="G1231" s="96" t="s">
        <v>95</v>
      </c>
      <c r="H1231" s="96" t="s">
        <v>1250</v>
      </c>
      <c r="I1231" s="96" t="s">
        <v>204</v>
      </c>
      <c r="J1231" s="96" t="s">
        <v>93</v>
      </c>
      <c r="K1231" s="96" t="s">
        <v>246</v>
      </c>
      <c r="L1231">
        <v>21</v>
      </c>
      <c r="M1231" t="s">
        <v>19</v>
      </c>
      <c r="N1231" t="s">
        <v>37</v>
      </c>
      <c r="O1231" t="s">
        <v>149</v>
      </c>
      <c r="P1231">
        <v>2026</v>
      </c>
    </row>
    <row r="1232" spans="1:16" hidden="1" x14ac:dyDescent="0.25">
      <c r="A1232" s="96" t="s">
        <v>2</v>
      </c>
      <c r="B1232" s="96" t="s">
        <v>251</v>
      </c>
      <c r="C1232" s="96" t="s">
        <v>4744</v>
      </c>
      <c r="D1232" s="96" t="s">
        <v>10</v>
      </c>
      <c r="E1232" s="43">
        <v>45673</v>
      </c>
      <c r="F1232" s="43">
        <v>45681</v>
      </c>
      <c r="G1232" s="96" t="s">
        <v>92</v>
      </c>
      <c r="H1232" s="96" t="s">
        <v>1251</v>
      </c>
      <c r="I1232" s="96" t="s">
        <v>157</v>
      </c>
      <c r="J1232" s="96" t="s">
        <v>93</v>
      </c>
      <c r="K1232" s="96" t="s">
        <v>205</v>
      </c>
      <c r="L1232">
        <v>8</v>
      </c>
      <c r="M1232" t="s">
        <v>15</v>
      </c>
      <c r="N1232" t="s">
        <v>181</v>
      </c>
      <c r="O1232" t="s">
        <v>170</v>
      </c>
      <c r="P1232">
        <v>2025</v>
      </c>
    </row>
    <row r="1233" spans="1:16" hidden="1" x14ac:dyDescent="0.25">
      <c r="A1233" s="96" t="s">
        <v>2</v>
      </c>
      <c r="B1233" s="96" t="s">
        <v>251</v>
      </c>
      <c r="C1233" s="96" t="s">
        <v>1299</v>
      </c>
      <c r="D1233" s="96" t="s">
        <v>192</v>
      </c>
      <c r="E1233" s="43">
        <v>45703</v>
      </c>
      <c r="F1233" s="43">
        <v>45728</v>
      </c>
      <c r="G1233" s="96" t="s">
        <v>92</v>
      </c>
      <c r="H1233" s="96" t="s">
        <v>1253</v>
      </c>
      <c r="I1233" s="96" t="s">
        <v>9</v>
      </c>
      <c r="J1233" s="96" t="s">
        <v>169</v>
      </c>
      <c r="K1233" s="96" t="s">
        <v>246</v>
      </c>
      <c r="L1233">
        <v>25</v>
      </c>
      <c r="M1233" t="s">
        <v>19</v>
      </c>
      <c r="N1233" t="s">
        <v>188</v>
      </c>
      <c r="O1233" t="s">
        <v>170</v>
      </c>
      <c r="P1233">
        <v>2025</v>
      </c>
    </row>
    <row r="1234" spans="1:16" x14ac:dyDescent="0.25">
      <c r="A1234" s="96" t="s">
        <v>2</v>
      </c>
      <c r="B1234" s="96" t="s">
        <v>374</v>
      </c>
      <c r="C1234" s="96" t="s">
        <v>4745</v>
      </c>
      <c r="D1234" s="96" t="s">
        <v>237</v>
      </c>
      <c r="E1234" s="43">
        <v>46122</v>
      </c>
      <c r="F1234" s="43">
        <v>46150</v>
      </c>
      <c r="G1234" s="96" t="s">
        <v>90</v>
      </c>
      <c r="H1234" s="96" t="s">
        <v>4746</v>
      </c>
      <c r="I1234" s="96" t="s">
        <v>157</v>
      </c>
      <c r="J1234" s="96" t="s">
        <v>199</v>
      </c>
      <c r="K1234" s="96" t="s">
        <v>246</v>
      </c>
      <c r="L1234">
        <v>28</v>
      </c>
      <c r="M1234" t="s">
        <v>19</v>
      </c>
      <c r="N1234" t="s">
        <v>37</v>
      </c>
      <c r="O1234" t="s">
        <v>150</v>
      </c>
      <c r="P1234">
        <v>2026</v>
      </c>
    </row>
    <row r="1235" spans="1:16" x14ac:dyDescent="0.25">
      <c r="A1235" s="96" t="s">
        <v>2</v>
      </c>
      <c r="B1235" s="96" t="s">
        <v>244</v>
      </c>
      <c r="C1235" s="96" t="s">
        <v>1301</v>
      </c>
      <c r="D1235" s="96" t="s">
        <v>223</v>
      </c>
      <c r="E1235" s="43">
        <v>46098</v>
      </c>
      <c r="F1235" s="43">
        <v>46150</v>
      </c>
      <c r="G1235" s="96" t="s">
        <v>90</v>
      </c>
      <c r="H1235" s="96" t="s">
        <v>4747</v>
      </c>
      <c r="I1235" s="96" t="s">
        <v>225</v>
      </c>
      <c r="J1235" s="96" t="s">
        <v>91</v>
      </c>
      <c r="K1235" s="96" t="s">
        <v>230</v>
      </c>
      <c r="L1235">
        <v>52</v>
      </c>
      <c r="M1235" t="s">
        <v>24</v>
      </c>
      <c r="N1235" t="s">
        <v>35</v>
      </c>
      <c r="O1235" t="s">
        <v>150</v>
      </c>
      <c r="P1235">
        <v>2026</v>
      </c>
    </row>
    <row r="1236" spans="1:16" x14ac:dyDescent="0.25">
      <c r="A1236" s="96" t="s">
        <v>2</v>
      </c>
      <c r="B1236" s="96" t="s">
        <v>290</v>
      </c>
      <c r="C1236" s="96" t="s">
        <v>1302</v>
      </c>
      <c r="D1236" s="96" t="s">
        <v>237</v>
      </c>
      <c r="E1236" s="43">
        <v>46059</v>
      </c>
      <c r="F1236" s="43">
        <v>46146</v>
      </c>
      <c r="G1236" s="96" t="s">
        <v>90</v>
      </c>
      <c r="H1236" s="96" t="s">
        <v>4748</v>
      </c>
      <c r="I1236" s="96" t="s">
        <v>228</v>
      </c>
      <c r="J1236" s="96" t="s">
        <v>172</v>
      </c>
      <c r="K1236" s="96" t="s">
        <v>205</v>
      </c>
      <c r="L1236">
        <v>87</v>
      </c>
      <c r="M1236" t="s">
        <v>28</v>
      </c>
      <c r="N1236" t="s">
        <v>32</v>
      </c>
      <c r="O1236" t="s">
        <v>149</v>
      </c>
      <c r="P1236">
        <v>2026</v>
      </c>
    </row>
    <row r="1237" spans="1:16" hidden="1" x14ac:dyDescent="0.25">
      <c r="A1237" s="96" t="s">
        <v>2</v>
      </c>
      <c r="B1237" s="96" t="s">
        <v>264</v>
      </c>
      <c r="C1237" s="96" t="s">
        <v>1303</v>
      </c>
      <c r="D1237" s="96" t="s">
        <v>14</v>
      </c>
      <c r="E1237" s="43">
        <v>45873</v>
      </c>
      <c r="F1237" s="43">
        <v>45956</v>
      </c>
      <c r="G1237" s="96" t="s">
        <v>95</v>
      </c>
      <c r="H1237" s="96" t="s">
        <v>1257</v>
      </c>
      <c r="I1237" s="96" t="s">
        <v>209</v>
      </c>
      <c r="J1237" s="96" t="s">
        <v>93</v>
      </c>
      <c r="K1237" s="96" t="s">
        <v>230</v>
      </c>
      <c r="L1237">
        <v>83</v>
      </c>
      <c r="M1237" t="s">
        <v>28</v>
      </c>
      <c r="N1237" t="s">
        <v>8</v>
      </c>
      <c r="O1237" t="s">
        <v>152</v>
      </c>
      <c r="P1237">
        <v>2025</v>
      </c>
    </row>
    <row r="1238" spans="1:16" hidden="1" x14ac:dyDescent="0.25">
      <c r="A1238" s="96" t="s">
        <v>189</v>
      </c>
      <c r="B1238" s="96" t="s">
        <v>255</v>
      </c>
      <c r="C1238" s="96" t="s">
        <v>1304</v>
      </c>
      <c r="D1238" s="96" t="s">
        <v>14</v>
      </c>
      <c r="E1238" s="43">
        <v>45670</v>
      </c>
      <c r="F1238" s="43">
        <v>45757</v>
      </c>
      <c r="G1238" s="96" t="s">
        <v>90</v>
      </c>
      <c r="H1238" s="96" t="s">
        <v>4749</v>
      </c>
      <c r="I1238" s="96" t="s">
        <v>194</v>
      </c>
      <c r="J1238" s="96" t="s">
        <v>177</v>
      </c>
      <c r="K1238" s="96" t="s">
        <v>210</v>
      </c>
      <c r="L1238">
        <v>87</v>
      </c>
      <c r="M1238" t="s">
        <v>28</v>
      </c>
      <c r="N1238" t="s">
        <v>181</v>
      </c>
      <c r="O1238" t="s">
        <v>150</v>
      </c>
      <c r="P1238">
        <v>2025</v>
      </c>
    </row>
    <row r="1239" spans="1:16" hidden="1" x14ac:dyDescent="0.25">
      <c r="A1239" s="96" t="s">
        <v>2</v>
      </c>
      <c r="B1239" s="96" t="s">
        <v>272</v>
      </c>
      <c r="C1239" s="96" t="s">
        <v>1306</v>
      </c>
      <c r="D1239" s="96" t="s">
        <v>34</v>
      </c>
      <c r="E1239" s="43">
        <v>45932</v>
      </c>
      <c r="F1239" s="43">
        <v>46046</v>
      </c>
      <c r="G1239" s="96" t="s">
        <v>92</v>
      </c>
      <c r="H1239" s="96" t="s">
        <v>4750</v>
      </c>
      <c r="I1239" s="96" t="s">
        <v>225</v>
      </c>
      <c r="J1239" s="96" t="s">
        <v>93</v>
      </c>
      <c r="K1239" s="96" t="s">
        <v>217</v>
      </c>
      <c r="L1239">
        <v>114</v>
      </c>
      <c r="M1239" t="s">
        <v>28</v>
      </c>
      <c r="N1239" t="s">
        <v>16</v>
      </c>
      <c r="O1239" t="s">
        <v>151</v>
      </c>
      <c r="P1239">
        <v>2025</v>
      </c>
    </row>
    <row r="1240" spans="1:16" x14ac:dyDescent="0.25">
      <c r="A1240" s="96" t="s">
        <v>2</v>
      </c>
      <c r="B1240" s="96" t="s">
        <v>249</v>
      </c>
      <c r="C1240" s="96" t="s">
        <v>4751</v>
      </c>
      <c r="D1240" s="96" t="s">
        <v>208</v>
      </c>
      <c r="E1240" s="43">
        <v>46025</v>
      </c>
      <c r="F1240" s="43">
        <v>46090</v>
      </c>
      <c r="G1240" s="96" t="s">
        <v>92</v>
      </c>
      <c r="H1240" s="96" t="s">
        <v>4752</v>
      </c>
      <c r="I1240" s="96" t="s">
        <v>157</v>
      </c>
      <c r="J1240" s="96" t="s">
        <v>98</v>
      </c>
      <c r="K1240" s="96" t="s">
        <v>233</v>
      </c>
      <c r="L1240">
        <v>65</v>
      </c>
      <c r="M1240" t="s">
        <v>28</v>
      </c>
      <c r="N1240" t="s">
        <v>29</v>
      </c>
      <c r="O1240" t="s">
        <v>170</v>
      </c>
      <c r="P1240">
        <v>2026</v>
      </c>
    </row>
    <row r="1241" spans="1:16" x14ac:dyDescent="0.25">
      <c r="A1241" s="96" t="s">
        <v>2</v>
      </c>
      <c r="B1241" s="96" t="s">
        <v>201</v>
      </c>
      <c r="C1241" s="96" t="s">
        <v>1307</v>
      </c>
      <c r="D1241" s="96" t="s">
        <v>237</v>
      </c>
      <c r="E1241" s="43">
        <v>46051</v>
      </c>
      <c r="F1241" s="43">
        <v>46125</v>
      </c>
      <c r="G1241" s="96" t="s">
        <v>90</v>
      </c>
      <c r="H1241" s="96" t="s">
        <v>4753</v>
      </c>
      <c r="I1241" s="96" t="s">
        <v>204</v>
      </c>
      <c r="J1241" s="96" t="s">
        <v>177</v>
      </c>
      <c r="K1241" s="96" t="s">
        <v>195</v>
      </c>
      <c r="L1241">
        <v>74</v>
      </c>
      <c r="M1241" t="s">
        <v>28</v>
      </c>
      <c r="N1241" t="s">
        <v>29</v>
      </c>
      <c r="O1241" t="s">
        <v>170</v>
      </c>
      <c r="P1241">
        <v>2026</v>
      </c>
    </row>
    <row r="1242" spans="1:16" hidden="1" x14ac:dyDescent="0.25">
      <c r="A1242" s="96" t="s">
        <v>2</v>
      </c>
      <c r="B1242" s="96" t="s">
        <v>247</v>
      </c>
      <c r="C1242" s="96" t="s">
        <v>1308</v>
      </c>
      <c r="D1242" s="96" t="s">
        <v>223</v>
      </c>
      <c r="E1242" s="43">
        <v>45928</v>
      </c>
      <c r="F1242" s="43">
        <v>46048</v>
      </c>
      <c r="G1242" s="96" t="s">
        <v>90</v>
      </c>
      <c r="H1242" s="96" t="s">
        <v>4754</v>
      </c>
      <c r="I1242" s="96" t="s">
        <v>225</v>
      </c>
      <c r="J1242" s="96" t="s">
        <v>168</v>
      </c>
      <c r="K1242" s="96" t="s">
        <v>157</v>
      </c>
      <c r="L1242">
        <v>120</v>
      </c>
      <c r="M1242" t="s">
        <v>28</v>
      </c>
      <c r="N1242" t="s">
        <v>12</v>
      </c>
      <c r="O1242" t="s">
        <v>150</v>
      </c>
      <c r="P1242">
        <v>2025</v>
      </c>
    </row>
    <row r="1243" spans="1:16" x14ac:dyDescent="0.25">
      <c r="A1243" s="96" t="s">
        <v>2</v>
      </c>
      <c r="B1243" s="96" t="s">
        <v>234</v>
      </c>
      <c r="C1243" s="96" t="s">
        <v>4755</v>
      </c>
      <c r="D1243" s="96" t="s">
        <v>237</v>
      </c>
      <c r="E1243" s="43">
        <v>46023</v>
      </c>
      <c r="F1243" s="43">
        <v>46136</v>
      </c>
      <c r="G1243" s="96" t="s">
        <v>92</v>
      </c>
      <c r="H1243" s="96" t="s">
        <v>4756</v>
      </c>
      <c r="I1243" s="96" t="s">
        <v>225</v>
      </c>
      <c r="J1243" s="96" t="s">
        <v>96</v>
      </c>
      <c r="K1243" s="96" t="s">
        <v>217</v>
      </c>
      <c r="L1243">
        <v>113</v>
      </c>
      <c r="M1243" t="s">
        <v>28</v>
      </c>
      <c r="N1243" t="s">
        <v>29</v>
      </c>
      <c r="O1243" t="s">
        <v>150</v>
      </c>
      <c r="P1243">
        <v>2026</v>
      </c>
    </row>
    <row r="1244" spans="1:16" hidden="1" x14ac:dyDescent="0.25">
      <c r="A1244" s="96" t="s">
        <v>2</v>
      </c>
      <c r="B1244" s="96" t="s">
        <v>221</v>
      </c>
      <c r="C1244" s="96" t="s">
        <v>1309</v>
      </c>
      <c r="D1244" s="96" t="s">
        <v>14</v>
      </c>
      <c r="E1244" s="43">
        <v>45961</v>
      </c>
      <c r="F1244" s="43">
        <v>45976</v>
      </c>
      <c r="G1244" s="96" t="s">
        <v>92</v>
      </c>
      <c r="H1244" s="96" t="s">
        <v>1263</v>
      </c>
      <c r="I1244" s="96" t="s">
        <v>204</v>
      </c>
      <c r="J1244" s="96" t="s">
        <v>199</v>
      </c>
      <c r="K1244" s="96" t="s">
        <v>217</v>
      </c>
      <c r="L1244">
        <v>15</v>
      </c>
      <c r="M1244" t="s">
        <v>19</v>
      </c>
      <c r="N1244" t="s">
        <v>16</v>
      </c>
      <c r="O1244" t="s">
        <v>170</v>
      </c>
      <c r="P1244">
        <v>2025</v>
      </c>
    </row>
    <row r="1245" spans="1:16" x14ac:dyDescent="0.25">
      <c r="A1245" s="96" t="s">
        <v>2</v>
      </c>
      <c r="B1245" s="96" t="s">
        <v>201</v>
      </c>
      <c r="C1245" s="96" t="s">
        <v>4757</v>
      </c>
      <c r="D1245" s="96" t="s">
        <v>34</v>
      </c>
      <c r="E1245" s="43">
        <v>46028</v>
      </c>
      <c r="F1245" s="43">
        <v>46103</v>
      </c>
      <c r="G1245" s="96" t="s">
        <v>90</v>
      </c>
      <c r="H1245" s="96" t="s">
        <v>1265</v>
      </c>
      <c r="I1245" s="96" t="s">
        <v>209</v>
      </c>
      <c r="J1245" s="96" t="s">
        <v>216</v>
      </c>
      <c r="K1245" s="96" t="s">
        <v>205</v>
      </c>
      <c r="L1245">
        <v>75</v>
      </c>
      <c r="M1245" t="s">
        <v>28</v>
      </c>
      <c r="N1245" t="s">
        <v>29</v>
      </c>
      <c r="O1245" t="s">
        <v>170</v>
      </c>
      <c r="P1245">
        <v>2026</v>
      </c>
    </row>
    <row r="1246" spans="1:16" x14ac:dyDescent="0.25">
      <c r="A1246" s="96" t="s">
        <v>2</v>
      </c>
      <c r="B1246" s="96" t="s">
        <v>317</v>
      </c>
      <c r="C1246" s="96" t="s">
        <v>1310</v>
      </c>
      <c r="D1246" s="96" t="s">
        <v>40</v>
      </c>
      <c r="E1246" s="43">
        <v>46140</v>
      </c>
      <c r="F1246" s="43">
        <v>46146</v>
      </c>
      <c r="G1246" s="96" t="s">
        <v>92</v>
      </c>
      <c r="H1246" s="96" t="s">
        <v>4758</v>
      </c>
      <c r="I1246" s="96" t="s">
        <v>228</v>
      </c>
      <c r="J1246" s="96" t="s">
        <v>165</v>
      </c>
      <c r="K1246" s="96" t="s">
        <v>157</v>
      </c>
      <c r="L1246">
        <v>6</v>
      </c>
      <c r="M1246" t="s">
        <v>11</v>
      </c>
      <c r="N1246" t="s">
        <v>37</v>
      </c>
      <c r="O1246" t="s">
        <v>170</v>
      </c>
      <c r="P1246">
        <v>2026</v>
      </c>
    </row>
    <row r="1247" spans="1:16" hidden="1" x14ac:dyDescent="0.25">
      <c r="A1247" s="96" t="s">
        <v>2</v>
      </c>
      <c r="B1247" s="96" t="s">
        <v>322</v>
      </c>
      <c r="C1247" s="96" t="s">
        <v>1312</v>
      </c>
      <c r="D1247" s="96" t="s">
        <v>40</v>
      </c>
      <c r="E1247" s="43">
        <v>45790</v>
      </c>
      <c r="F1247" s="43">
        <v>45840</v>
      </c>
      <c r="G1247" s="96" t="s">
        <v>95</v>
      </c>
      <c r="H1247" s="96" t="s">
        <v>4759</v>
      </c>
      <c r="I1247" s="96" t="s">
        <v>209</v>
      </c>
      <c r="J1247" s="96" t="s">
        <v>94</v>
      </c>
      <c r="K1247" s="96" t="s">
        <v>205</v>
      </c>
      <c r="L1247">
        <v>50</v>
      </c>
      <c r="M1247" t="s">
        <v>24</v>
      </c>
      <c r="N1247" t="s">
        <v>182</v>
      </c>
      <c r="O1247" t="s">
        <v>150</v>
      </c>
      <c r="P1247">
        <v>2025</v>
      </c>
    </row>
    <row r="1248" spans="1:16" hidden="1" x14ac:dyDescent="0.25">
      <c r="A1248" s="96" t="s">
        <v>2</v>
      </c>
      <c r="B1248" s="96" t="s">
        <v>247</v>
      </c>
      <c r="C1248" s="96" t="s">
        <v>1314</v>
      </c>
      <c r="D1248" s="96" t="s">
        <v>14</v>
      </c>
      <c r="E1248" s="43">
        <v>45707</v>
      </c>
      <c r="F1248" s="43">
        <v>45800</v>
      </c>
      <c r="G1248" s="96" t="s">
        <v>92</v>
      </c>
      <c r="H1248" s="96" t="s">
        <v>4760</v>
      </c>
      <c r="I1248" s="96" t="s">
        <v>209</v>
      </c>
      <c r="J1248" s="96" t="s">
        <v>98</v>
      </c>
      <c r="K1248" s="96" t="s">
        <v>200</v>
      </c>
      <c r="L1248">
        <v>93</v>
      </c>
      <c r="M1248" t="s">
        <v>28</v>
      </c>
      <c r="N1248" t="s">
        <v>188</v>
      </c>
      <c r="O1248" t="s">
        <v>150</v>
      </c>
      <c r="P1248">
        <v>2025</v>
      </c>
    </row>
    <row r="1249" spans="1:16" hidden="1" x14ac:dyDescent="0.25">
      <c r="A1249" s="96" t="s">
        <v>2</v>
      </c>
      <c r="B1249" s="96" t="s">
        <v>255</v>
      </c>
      <c r="C1249" s="96" t="s">
        <v>1316</v>
      </c>
      <c r="D1249" s="96" t="s">
        <v>10</v>
      </c>
      <c r="E1249" s="43">
        <v>45826</v>
      </c>
      <c r="F1249" s="43">
        <v>45891</v>
      </c>
      <c r="G1249" s="96" t="s">
        <v>92</v>
      </c>
      <c r="H1249" s="96" t="s">
        <v>4761</v>
      </c>
      <c r="I1249" s="96" t="s">
        <v>9</v>
      </c>
      <c r="J1249" s="96" t="s">
        <v>97</v>
      </c>
      <c r="K1249" s="96" t="s">
        <v>205</v>
      </c>
      <c r="L1249">
        <v>65</v>
      </c>
      <c r="M1249" t="s">
        <v>28</v>
      </c>
      <c r="N1249" t="s">
        <v>184</v>
      </c>
      <c r="O1249" t="s">
        <v>150</v>
      </c>
      <c r="P1249">
        <v>2025</v>
      </c>
    </row>
    <row r="1250" spans="1:16" hidden="1" x14ac:dyDescent="0.25">
      <c r="A1250" s="96" t="s">
        <v>2</v>
      </c>
      <c r="B1250" s="96" t="s">
        <v>272</v>
      </c>
      <c r="C1250" s="96" t="s">
        <v>1318</v>
      </c>
      <c r="D1250" s="96" t="s">
        <v>40</v>
      </c>
      <c r="E1250" s="43">
        <v>45780</v>
      </c>
      <c r="F1250" s="43">
        <v>45816</v>
      </c>
      <c r="G1250" s="96" t="s">
        <v>92</v>
      </c>
      <c r="H1250" s="96" t="s">
        <v>4762</v>
      </c>
      <c r="I1250" s="96" t="s">
        <v>228</v>
      </c>
      <c r="J1250" s="96" t="s">
        <v>168</v>
      </c>
      <c r="K1250" s="96" t="s">
        <v>217</v>
      </c>
      <c r="L1250">
        <v>36</v>
      </c>
      <c r="M1250" t="s">
        <v>24</v>
      </c>
      <c r="N1250" t="s">
        <v>182</v>
      </c>
      <c r="O1250" t="s">
        <v>151</v>
      </c>
      <c r="P1250">
        <v>2025</v>
      </c>
    </row>
    <row r="1251" spans="1:16" hidden="1" x14ac:dyDescent="0.25">
      <c r="A1251" s="96" t="s">
        <v>2</v>
      </c>
      <c r="B1251" s="96" t="s">
        <v>240</v>
      </c>
      <c r="C1251" s="96" t="s">
        <v>1320</v>
      </c>
      <c r="D1251" s="96" t="s">
        <v>34</v>
      </c>
      <c r="E1251" s="43">
        <v>45733</v>
      </c>
      <c r="F1251" s="43">
        <v>45825</v>
      </c>
      <c r="G1251" s="96" t="s">
        <v>92</v>
      </c>
      <c r="H1251" s="96" t="s">
        <v>4763</v>
      </c>
      <c r="I1251" s="96" t="s">
        <v>209</v>
      </c>
      <c r="J1251" s="96" t="s">
        <v>98</v>
      </c>
      <c r="K1251" s="96" t="s">
        <v>233</v>
      </c>
      <c r="L1251">
        <v>92</v>
      </c>
      <c r="M1251" t="s">
        <v>28</v>
      </c>
      <c r="N1251" t="s">
        <v>186</v>
      </c>
      <c r="O1251" t="s">
        <v>149</v>
      </c>
      <c r="P1251">
        <v>2025</v>
      </c>
    </row>
    <row r="1252" spans="1:16" hidden="1" x14ac:dyDescent="0.25">
      <c r="A1252" s="96" t="s">
        <v>2</v>
      </c>
      <c r="B1252" s="96" t="s">
        <v>190</v>
      </c>
      <c r="C1252" s="96" t="s">
        <v>4764</v>
      </c>
      <c r="D1252" s="96" t="s">
        <v>34</v>
      </c>
      <c r="E1252" s="43">
        <v>45735</v>
      </c>
      <c r="F1252" s="43">
        <v>45853</v>
      </c>
      <c r="G1252" s="96" t="s">
        <v>92</v>
      </c>
      <c r="H1252" s="96" t="s">
        <v>4765</v>
      </c>
      <c r="I1252" s="96" t="s">
        <v>194</v>
      </c>
      <c r="J1252" s="96" t="s">
        <v>173</v>
      </c>
      <c r="K1252" s="96" t="s">
        <v>195</v>
      </c>
      <c r="L1252">
        <v>118</v>
      </c>
      <c r="M1252" t="s">
        <v>28</v>
      </c>
      <c r="N1252" t="s">
        <v>186</v>
      </c>
      <c r="O1252" t="s">
        <v>150</v>
      </c>
      <c r="P1252">
        <v>2025</v>
      </c>
    </row>
    <row r="1253" spans="1:16" hidden="1" x14ac:dyDescent="0.25">
      <c r="A1253" s="96" t="s">
        <v>2</v>
      </c>
      <c r="B1253" s="96" t="s">
        <v>251</v>
      </c>
      <c r="C1253" s="96" t="s">
        <v>1322</v>
      </c>
      <c r="D1253" s="96" t="s">
        <v>215</v>
      </c>
      <c r="E1253" s="43">
        <v>45914</v>
      </c>
      <c r="F1253" s="43">
        <v>46028</v>
      </c>
      <c r="G1253" s="96" t="s">
        <v>92</v>
      </c>
      <c r="H1253" s="96" t="s">
        <v>4766</v>
      </c>
      <c r="I1253" s="96" t="s">
        <v>157</v>
      </c>
      <c r="J1253" s="96" t="s">
        <v>97</v>
      </c>
      <c r="K1253" s="96" t="s">
        <v>205</v>
      </c>
      <c r="L1253">
        <v>114</v>
      </c>
      <c r="M1253" t="s">
        <v>28</v>
      </c>
      <c r="N1253" t="s">
        <v>12</v>
      </c>
      <c r="O1253" t="s">
        <v>170</v>
      </c>
      <c r="P1253">
        <v>2025</v>
      </c>
    </row>
    <row r="1254" spans="1:16" hidden="1" x14ac:dyDescent="0.25">
      <c r="A1254" s="96" t="s">
        <v>171</v>
      </c>
      <c r="B1254" s="96" t="s">
        <v>255</v>
      </c>
      <c r="C1254" s="96" t="s">
        <v>1323</v>
      </c>
      <c r="D1254" s="96" t="s">
        <v>34</v>
      </c>
      <c r="E1254" s="43">
        <v>45739</v>
      </c>
      <c r="F1254" s="43">
        <v>45859</v>
      </c>
      <c r="G1254" s="96" t="s">
        <v>92</v>
      </c>
      <c r="H1254" s="96" t="s">
        <v>4767</v>
      </c>
      <c r="I1254" s="96" t="s">
        <v>228</v>
      </c>
      <c r="J1254" s="96" t="s">
        <v>199</v>
      </c>
      <c r="K1254" s="96" t="s">
        <v>157</v>
      </c>
      <c r="L1254">
        <v>120</v>
      </c>
      <c r="M1254" t="s">
        <v>28</v>
      </c>
      <c r="N1254" t="s">
        <v>186</v>
      </c>
      <c r="O1254" t="s">
        <v>150</v>
      </c>
      <c r="P1254">
        <v>2025</v>
      </c>
    </row>
    <row r="1255" spans="1:16" x14ac:dyDescent="0.25">
      <c r="A1255" s="96" t="s">
        <v>2</v>
      </c>
      <c r="B1255" s="96" t="s">
        <v>317</v>
      </c>
      <c r="C1255" s="96" t="s">
        <v>1325</v>
      </c>
      <c r="D1255" s="96" t="s">
        <v>223</v>
      </c>
      <c r="E1255" s="43">
        <v>46107</v>
      </c>
      <c r="F1255" s="43">
        <v>46121</v>
      </c>
      <c r="G1255" s="96" t="s">
        <v>95</v>
      </c>
      <c r="H1255" s="96" t="s">
        <v>1271</v>
      </c>
      <c r="I1255" s="96" t="s">
        <v>204</v>
      </c>
      <c r="J1255" s="96" t="s">
        <v>172</v>
      </c>
      <c r="K1255" s="96" t="s">
        <v>230</v>
      </c>
      <c r="L1255">
        <v>14</v>
      </c>
      <c r="M1255" t="s">
        <v>15</v>
      </c>
      <c r="N1255" t="s">
        <v>35</v>
      </c>
      <c r="O1255" t="s">
        <v>170</v>
      </c>
      <c r="P1255">
        <v>2026</v>
      </c>
    </row>
    <row r="1256" spans="1:16" hidden="1" x14ac:dyDescent="0.25">
      <c r="A1256" s="96" t="s">
        <v>2</v>
      </c>
      <c r="B1256" s="96" t="s">
        <v>240</v>
      </c>
      <c r="C1256" s="96" t="s">
        <v>4768</v>
      </c>
      <c r="D1256" s="96" t="s">
        <v>237</v>
      </c>
      <c r="E1256" s="43">
        <v>45861</v>
      </c>
      <c r="F1256" s="43">
        <v>45876</v>
      </c>
      <c r="G1256" s="96" t="s">
        <v>92</v>
      </c>
      <c r="H1256" s="96" t="s">
        <v>1273</v>
      </c>
      <c r="I1256" s="96" t="s">
        <v>194</v>
      </c>
      <c r="J1256" s="96" t="s">
        <v>172</v>
      </c>
      <c r="K1256" s="96" t="s">
        <v>195</v>
      </c>
      <c r="L1256">
        <v>15</v>
      </c>
      <c r="M1256" t="s">
        <v>19</v>
      </c>
      <c r="N1256" t="s">
        <v>187</v>
      </c>
      <c r="O1256" t="s">
        <v>149</v>
      </c>
      <c r="P1256">
        <v>2025</v>
      </c>
    </row>
    <row r="1257" spans="1:16" hidden="1" x14ac:dyDescent="0.25">
      <c r="A1257" s="96" t="s">
        <v>2</v>
      </c>
      <c r="B1257" s="96" t="s">
        <v>253</v>
      </c>
      <c r="C1257" s="96" t="s">
        <v>1327</v>
      </c>
      <c r="D1257" s="96" t="s">
        <v>237</v>
      </c>
      <c r="E1257" s="43">
        <v>45722</v>
      </c>
      <c r="F1257" s="43">
        <v>45726</v>
      </c>
      <c r="G1257" s="96" t="s">
        <v>92</v>
      </c>
      <c r="H1257" s="96" t="s">
        <v>1274</v>
      </c>
      <c r="I1257" s="96" t="s">
        <v>157</v>
      </c>
      <c r="J1257" s="96" t="s">
        <v>174</v>
      </c>
      <c r="K1257" s="96" t="s">
        <v>205</v>
      </c>
      <c r="L1257">
        <v>4</v>
      </c>
      <c r="M1257" t="s">
        <v>11</v>
      </c>
      <c r="N1257" t="s">
        <v>186</v>
      </c>
      <c r="O1257" t="s">
        <v>152</v>
      </c>
      <c r="P1257">
        <v>2025</v>
      </c>
    </row>
    <row r="1258" spans="1:16" x14ac:dyDescent="0.25">
      <c r="A1258" s="96" t="s">
        <v>171</v>
      </c>
      <c r="B1258" s="96" t="s">
        <v>226</v>
      </c>
      <c r="C1258" s="96" t="s">
        <v>1328</v>
      </c>
      <c r="D1258" s="96" t="s">
        <v>208</v>
      </c>
      <c r="E1258" s="43">
        <v>46089</v>
      </c>
      <c r="F1258" s="43">
        <v>46129</v>
      </c>
      <c r="G1258" s="96" t="s">
        <v>92</v>
      </c>
      <c r="H1258" s="96" t="s">
        <v>4769</v>
      </c>
      <c r="I1258" s="96" t="s">
        <v>194</v>
      </c>
      <c r="J1258" s="96" t="s">
        <v>94</v>
      </c>
      <c r="K1258" s="96" t="s">
        <v>230</v>
      </c>
      <c r="L1258">
        <v>40</v>
      </c>
      <c r="M1258" t="s">
        <v>24</v>
      </c>
      <c r="N1258" t="s">
        <v>35</v>
      </c>
      <c r="O1258" t="s">
        <v>151</v>
      </c>
      <c r="P1258">
        <v>2026</v>
      </c>
    </row>
    <row r="1259" spans="1:16" hidden="1" x14ac:dyDescent="0.25">
      <c r="A1259" s="96" t="s">
        <v>2</v>
      </c>
      <c r="B1259" s="96" t="s">
        <v>221</v>
      </c>
      <c r="C1259" s="96" t="s">
        <v>1329</v>
      </c>
      <c r="D1259" s="96" t="s">
        <v>40</v>
      </c>
      <c r="E1259" s="43">
        <v>45670</v>
      </c>
      <c r="F1259" s="43">
        <v>45684</v>
      </c>
      <c r="G1259" s="96" t="s">
        <v>92</v>
      </c>
      <c r="H1259" s="96" t="s">
        <v>4770</v>
      </c>
      <c r="I1259" s="96" t="s">
        <v>194</v>
      </c>
      <c r="J1259" s="96" t="s">
        <v>173</v>
      </c>
      <c r="K1259" s="96" t="s">
        <v>230</v>
      </c>
      <c r="L1259">
        <v>14</v>
      </c>
      <c r="M1259" t="s">
        <v>15</v>
      </c>
      <c r="N1259" t="s">
        <v>181</v>
      </c>
      <c r="O1259" t="s">
        <v>170</v>
      </c>
      <c r="P1259">
        <v>2025</v>
      </c>
    </row>
    <row r="1260" spans="1:16" hidden="1" x14ac:dyDescent="0.25">
      <c r="A1260" s="96" t="s">
        <v>2</v>
      </c>
      <c r="B1260" s="96" t="s">
        <v>257</v>
      </c>
      <c r="C1260" s="96" t="s">
        <v>4771</v>
      </c>
      <c r="D1260" s="96" t="s">
        <v>223</v>
      </c>
      <c r="E1260" s="43">
        <v>45751</v>
      </c>
      <c r="F1260" s="43">
        <v>45802</v>
      </c>
      <c r="G1260" s="96" t="s">
        <v>90</v>
      </c>
      <c r="H1260" s="96" t="s">
        <v>4772</v>
      </c>
      <c r="I1260" s="96" t="s">
        <v>209</v>
      </c>
      <c r="J1260" s="96" t="s">
        <v>176</v>
      </c>
      <c r="K1260" s="96" t="s">
        <v>210</v>
      </c>
      <c r="L1260">
        <v>51</v>
      </c>
      <c r="M1260" t="s">
        <v>24</v>
      </c>
      <c r="N1260" t="s">
        <v>185</v>
      </c>
      <c r="O1260" t="s">
        <v>151</v>
      </c>
      <c r="P1260">
        <v>2025</v>
      </c>
    </row>
    <row r="1261" spans="1:16" x14ac:dyDescent="0.25">
      <c r="A1261" s="96" t="s">
        <v>21</v>
      </c>
      <c r="B1261" s="96" t="s">
        <v>274</v>
      </c>
      <c r="C1261" s="96" t="s">
        <v>4773</v>
      </c>
      <c r="D1261" s="96" t="s">
        <v>203</v>
      </c>
      <c r="E1261" s="43">
        <v>46093</v>
      </c>
      <c r="F1261" s="43">
        <v>46103</v>
      </c>
      <c r="G1261" s="96" t="s">
        <v>92</v>
      </c>
      <c r="H1261" s="96" t="s">
        <v>1278</v>
      </c>
      <c r="I1261" s="96" t="s">
        <v>157</v>
      </c>
      <c r="J1261" s="96" t="s">
        <v>168</v>
      </c>
      <c r="K1261" s="96" t="s">
        <v>230</v>
      </c>
      <c r="L1261">
        <v>10</v>
      </c>
      <c r="M1261" t="s">
        <v>15</v>
      </c>
      <c r="N1261" t="s">
        <v>35</v>
      </c>
      <c r="O1261" t="s">
        <v>170</v>
      </c>
      <c r="P1261">
        <v>2026</v>
      </c>
    </row>
    <row r="1262" spans="1:16" hidden="1" x14ac:dyDescent="0.25">
      <c r="A1262" s="96" t="s">
        <v>2</v>
      </c>
      <c r="B1262" s="96" t="s">
        <v>322</v>
      </c>
      <c r="C1262" s="96" t="s">
        <v>1330</v>
      </c>
      <c r="D1262" s="96" t="s">
        <v>14</v>
      </c>
      <c r="E1262" s="43">
        <v>45699</v>
      </c>
      <c r="F1262" s="43">
        <v>45784</v>
      </c>
      <c r="G1262" s="96" t="s">
        <v>92</v>
      </c>
      <c r="H1262" s="96" t="s">
        <v>1280</v>
      </c>
      <c r="I1262" s="96" t="s">
        <v>157</v>
      </c>
      <c r="J1262" s="96" t="s">
        <v>169</v>
      </c>
      <c r="K1262" s="96" t="s">
        <v>230</v>
      </c>
      <c r="L1262">
        <v>85</v>
      </c>
      <c r="M1262" t="s">
        <v>28</v>
      </c>
      <c r="N1262" t="s">
        <v>188</v>
      </c>
      <c r="O1262" t="s">
        <v>150</v>
      </c>
      <c r="P1262">
        <v>2025</v>
      </c>
    </row>
    <row r="1263" spans="1:16" hidden="1" x14ac:dyDescent="0.25">
      <c r="A1263" s="96" t="s">
        <v>2</v>
      </c>
      <c r="B1263" s="96" t="s">
        <v>190</v>
      </c>
      <c r="C1263" s="96" t="s">
        <v>1331</v>
      </c>
      <c r="D1263" s="96" t="s">
        <v>10</v>
      </c>
      <c r="E1263" s="43">
        <v>45905</v>
      </c>
      <c r="F1263" s="43">
        <v>45944</v>
      </c>
      <c r="G1263" s="96" t="s">
        <v>90</v>
      </c>
      <c r="H1263" s="96" t="s">
        <v>1281</v>
      </c>
      <c r="I1263" s="96" t="s">
        <v>204</v>
      </c>
      <c r="J1263" s="96" t="s">
        <v>283</v>
      </c>
      <c r="K1263" s="96" t="s">
        <v>217</v>
      </c>
      <c r="L1263">
        <v>39</v>
      </c>
      <c r="M1263" t="s">
        <v>24</v>
      </c>
      <c r="N1263" t="s">
        <v>12</v>
      </c>
      <c r="O1263" t="s">
        <v>150</v>
      </c>
      <c r="P1263">
        <v>2025</v>
      </c>
    </row>
    <row r="1264" spans="1:16" hidden="1" x14ac:dyDescent="0.25">
      <c r="A1264" s="96" t="s">
        <v>175</v>
      </c>
      <c r="B1264" s="96" t="s">
        <v>213</v>
      </c>
      <c r="C1264" s="96" t="s">
        <v>1333</v>
      </c>
      <c r="D1264" s="96" t="s">
        <v>34</v>
      </c>
      <c r="E1264" s="43">
        <v>45714</v>
      </c>
      <c r="F1264" s="43">
        <v>45734</v>
      </c>
      <c r="G1264" s="96" t="s">
        <v>92</v>
      </c>
      <c r="H1264" s="96" t="s">
        <v>4774</v>
      </c>
      <c r="I1264" s="96" t="s">
        <v>204</v>
      </c>
      <c r="J1264" s="96" t="s">
        <v>168</v>
      </c>
      <c r="K1264" s="96" t="s">
        <v>210</v>
      </c>
      <c r="L1264">
        <v>20</v>
      </c>
      <c r="M1264" t="s">
        <v>19</v>
      </c>
      <c r="N1264" t="s">
        <v>188</v>
      </c>
      <c r="O1264" t="s">
        <v>149</v>
      </c>
      <c r="P1264">
        <v>2025</v>
      </c>
    </row>
    <row r="1265" spans="1:16" hidden="1" x14ac:dyDescent="0.25">
      <c r="A1265" s="96" t="s">
        <v>2</v>
      </c>
      <c r="B1265" s="96" t="s">
        <v>257</v>
      </c>
      <c r="C1265" s="96" t="s">
        <v>1334</v>
      </c>
      <c r="D1265" s="96" t="s">
        <v>215</v>
      </c>
      <c r="E1265" s="43">
        <v>45929</v>
      </c>
      <c r="F1265" s="43">
        <v>45948</v>
      </c>
      <c r="G1265" s="96" t="s">
        <v>90</v>
      </c>
      <c r="H1265" s="96" t="s">
        <v>4775</v>
      </c>
      <c r="I1265" s="96" t="s">
        <v>204</v>
      </c>
      <c r="J1265" s="96" t="s">
        <v>96</v>
      </c>
      <c r="K1265" s="96" t="s">
        <v>157</v>
      </c>
      <c r="L1265">
        <v>19</v>
      </c>
      <c r="M1265" t="s">
        <v>19</v>
      </c>
      <c r="N1265" t="s">
        <v>12</v>
      </c>
      <c r="O1265" t="s">
        <v>151</v>
      </c>
      <c r="P1265">
        <v>2025</v>
      </c>
    </row>
    <row r="1266" spans="1:16" x14ac:dyDescent="0.25">
      <c r="A1266" s="96" t="s">
        <v>2</v>
      </c>
      <c r="B1266" s="96" t="s">
        <v>290</v>
      </c>
      <c r="C1266" s="96" t="s">
        <v>1335</v>
      </c>
      <c r="D1266" s="96" t="s">
        <v>237</v>
      </c>
      <c r="E1266" s="43">
        <v>46151</v>
      </c>
      <c r="F1266" s="43">
        <v>46150</v>
      </c>
      <c r="G1266" s="96" t="s">
        <v>92</v>
      </c>
      <c r="H1266" s="96" t="s">
        <v>1284</v>
      </c>
      <c r="I1266" s="96" t="s">
        <v>204</v>
      </c>
      <c r="J1266" s="96" t="s">
        <v>172</v>
      </c>
      <c r="K1266" s="96" t="s">
        <v>200</v>
      </c>
      <c r="L1266">
        <v>-1</v>
      </c>
      <c r="M1266" t="s">
        <v>11</v>
      </c>
      <c r="N1266" t="s">
        <v>183</v>
      </c>
      <c r="O1266" t="s">
        <v>149</v>
      </c>
      <c r="P1266">
        <v>2026</v>
      </c>
    </row>
    <row r="1267" spans="1:16" x14ac:dyDescent="0.25">
      <c r="A1267" s="96" t="s">
        <v>2</v>
      </c>
      <c r="B1267" s="96" t="s">
        <v>374</v>
      </c>
      <c r="C1267" s="96" t="s">
        <v>4776</v>
      </c>
      <c r="D1267" s="96" t="s">
        <v>40</v>
      </c>
      <c r="E1267" s="43">
        <v>46048</v>
      </c>
      <c r="F1267" s="43">
        <v>46054</v>
      </c>
      <c r="G1267" s="96" t="s">
        <v>90</v>
      </c>
      <c r="H1267" s="96" t="s">
        <v>4777</v>
      </c>
      <c r="I1267" s="96" t="s">
        <v>9</v>
      </c>
      <c r="J1267" s="96" t="s">
        <v>229</v>
      </c>
      <c r="K1267" s="96" t="s">
        <v>205</v>
      </c>
      <c r="L1267">
        <v>6</v>
      </c>
      <c r="M1267" t="s">
        <v>11</v>
      </c>
      <c r="N1267" t="s">
        <v>29</v>
      </c>
      <c r="O1267" t="s">
        <v>150</v>
      </c>
      <c r="P1267">
        <v>2026</v>
      </c>
    </row>
    <row r="1268" spans="1:16" x14ac:dyDescent="0.25">
      <c r="A1268" s="96" t="s">
        <v>2</v>
      </c>
      <c r="B1268" s="96" t="s">
        <v>226</v>
      </c>
      <c r="C1268" s="96" t="s">
        <v>4778</v>
      </c>
      <c r="D1268" s="96" t="s">
        <v>10</v>
      </c>
      <c r="E1268" s="43">
        <v>46053</v>
      </c>
      <c r="F1268" s="43">
        <v>46144</v>
      </c>
      <c r="G1268" s="96" t="s">
        <v>90</v>
      </c>
      <c r="H1268" s="96" t="s">
        <v>4779</v>
      </c>
      <c r="I1268" s="96" t="s">
        <v>157</v>
      </c>
      <c r="J1268" s="96" t="s">
        <v>94</v>
      </c>
      <c r="K1268" s="96" t="s">
        <v>246</v>
      </c>
      <c r="L1268">
        <v>91</v>
      </c>
      <c r="M1268" t="s">
        <v>28</v>
      </c>
      <c r="N1268" t="s">
        <v>29</v>
      </c>
      <c r="O1268" t="s">
        <v>151</v>
      </c>
      <c r="P1268">
        <v>2026</v>
      </c>
    </row>
    <row r="1269" spans="1:16" x14ac:dyDescent="0.25">
      <c r="A1269" s="96" t="s">
        <v>2</v>
      </c>
      <c r="B1269" s="96" t="s">
        <v>290</v>
      </c>
      <c r="C1269" s="96" t="s">
        <v>4780</v>
      </c>
      <c r="D1269" s="96" t="s">
        <v>14</v>
      </c>
      <c r="E1269" s="43">
        <v>46035</v>
      </c>
      <c r="F1269" s="43">
        <v>46046</v>
      </c>
      <c r="G1269" s="96" t="s">
        <v>92</v>
      </c>
      <c r="H1269" s="96" t="s">
        <v>4781</v>
      </c>
      <c r="I1269" s="96" t="s">
        <v>225</v>
      </c>
      <c r="J1269" s="96" t="s">
        <v>199</v>
      </c>
      <c r="K1269" s="96" t="s">
        <v>246</v>
      </c>
      <c r="L1269">
        <v>11</v>
      </c>
      <c r="M1269" t="s">
        <v>15</v>
      </c>
      <c r="N1269" t="s">
        <v>29</v>
      </c>
      <c r="O1269" t="s">
        <v>149</v>
      </c>
      <c r="P1269">
        <v>2026</v>
      </c>
    </row>
    <row r="1270" spans="1:16" hidden="1" x14ac:dyDescent="0.25">
      <c r="A1270" s="96" t="s">
        <v>2</v>
      </c>
      <c r="B1270" s="96" t="s">
        <v>272</v>
      </c>
      <c r="C1270" s="96" t="s">
        <v>4782</v>
      </c>
      <c r="D1270" s="96" t="s">
        <v>34</v>
      </c>
      <c r="E1270" s="43">
        <v>45959</v>
      </c>
      <c r="F1270" s="43">
        <v>46065</v>
      </c>
      <c r="G1270" s="96" t="s">
        <v>90</v>
      </c>
      <c r="H1270" s="96" t="s">
        <v>4783</v>
      </c>
      <c r="I1270" s="96" t="s">
        <v>157</v>
      </c>
      <c r="J1270" s="96" t="s">
        <v>97</v>
      </c>
      <c r="K1270" s="96" t="s">
        <v>195</v>
      </c>
      <c r="L1270">
        <v>106</v>
      </c>
      <c r="M1270" t="s">
        <v>28</v>
      </c>
      <c r="N1270" t="s">
        <v>16</v>
      </c>
      <c r="O1270" t="s">
        <v>151</v>
      </c>
      <c r="P1270">
        <v>2025</v>
      </c>
    </row>
    <row r="1271" spans="1:16" hidden="1" x14ac:dyDescent="0.25">
      <c r="A1271" s="96" t="s">
        <v>175</v>
      </c>
      <c r="B1271" s="96" t="s">
        <v>238</v>
      </c>
      <c r="C1271" s="96" t="s">
        <v>4784</v>
      </c>
      <c r="D1271" s="96" t="s">
        <v>223</v>
      </c>
      <c r="E1271" s="43">
        <v>45790</v>
      </c>
      <c r="F1271" s="43">
        <v>45803</v>
      </c>
      <c r="G1271" s="96" t="s">
        <v>90</v>
      </c>
      <c r="H1271" s="96" t="s">
        <v>4785</v>
      </c>
      <c r="I1271" s="96" t="s">
        <v>9</v>
      </c>
      <c r="J1271" s="96" t="s">
        <v>199</v>
      </c>
      <c r="K1271" s="96" t="s">
        <v>233</v>
      </c>
      <c r="L1271">
        <v>13</v>
      </c>
      <c r="M1271" t="s">
        <v>15</v>
      </c>
      <c r="N1271" t="s">
        <v>182</v>
      </c>
      <c r="O1271" t="s">
        <v>170</v>
      </c>
      <c r="P1271">
        <v>2025</v>
      </c>
    </row>
    <row r="1272" spans="1:16" hidden="1" x14ac:dyDescent="0.25">
      <c r="A1272" s="96" t="s">
        <v>2</v>
      </c>
      <c r="B1272" s="96" t="s">
        <v>247</v>
      </c>
      <c r="C1272" s="96" t="s">
        <v>4786</v>
      </c>
      <c r="D1272" s="96" t="s">
        <v>14</v>
      </c>
      <c r="E1272" s="43">
        <v>45659</v>
      </c>
      <c r="F1272" s="43">
        <v>45720</v>
      </c>
      <c r="G1272" s="96" t="s">
        <v>92</v>
      </c>
      <c r="H1272" s="96" t="s">
        <v>4787</v>
      </c>
      <c r="I1272" s="96" t="s">
        <v>194</v>
      </c>
      <c r="J1272" s="96" t="s">
        <v>199</v>
      </c>
      <c r="K1272" s="96" t="s">
        <v>217</v>
      </c>
      <c r="L1272">
        <v>61</v>
      </c>
      <c r="M1272" t="s">
        <v>28</v>
      </c>
      <c r="N1272" t="s">
        <v>181</v>
      </c>
      <c r="O1272" t="s">
        <v>150</v>
      </c>
      <c r="P1272">
        <v>2025</v>
      </c>
    </row>
    <row r="1273" spans="1:16" hidden="1" x14ac:dyDescent="0.25">
      <c r="A1273" s="96" t="s">
        <v>2</v>
      </c>
      <c r="B1273" s="96" t="s">
        <v>322</v>
      </c>
      <c r="C1273" s="96" t="s">
        <v>1336</v>
      </c>
      <c r="D1273" s="96" t="s">
        <v>34</v>
      </c>
      <c r="E1273" s="43">
        <v>45906</v>
      </c>
      <c r="F1273" s="43">
        <v>45950</v>
      </c>
      <c r="G1273" s="96" t="s">
        <v>92</v>
      </c>
      <c r="H1273" s="96" t="s">
        <v>1290</v>
      </c>
      <c r="I1273" s="96" t="s">
        <v>157</v>
      </c>
      <c r="J1273" s="96" t="s">
        <v>96</v>
      </c>
      <c r="K1273" s="96" t="s">
        <v>157</v>
      </c>
      <c r="L1273">
        <v>44</v>
      </c>
      <c r="M1273" t="s">
        <v>24</v>
      </c>
      <c r="N1273" t="s">
        <v>12</v>
      </c>
      <c r="O1273" t="s">
        <v>150</v>
      </c>
      <c r="P1273">
        <v>2025</v>
      </c>
    </row>
    <row r="1274" spans="1:16" x14ac:dyDescent="0.25">
      <c r="A1274" s="96" t="s">
        <v>2</v>
      </c>
      <c r="B1274" s="96" t="s">
        <v>226</v>
      </c>
      <c r="C1274" s="96" t="s">
        <v>1337</v>
      </c>
      <c r="D1274" s="96" t="s">
        <v>237</v>
      </c>
      <c r="E1274" s="43">
        <v>46057</v>
      </c>
      <c r="F1274" s="43">
        <v>46085</v>
      </c>
      <c r="G1274" s="96" t="s">
        <v>90</v>
      </c>
      <c r="H1274" s="96" t="s">
        <v>4788</v>
      </c>
      <c r="I1274" s="96" t="s">
        <v>228</v>
      </c>
      <c r="J1274" s="96" t="s">
        <v>176</v>
      </c>
      <c r="K1274" s="96" t="s">
        <v>157</v>
      </c>
      <c r="L1274">
        <v>28</v>
      </c>
      <c r="M1274" t="s">
        <v>19</v>
      </c>
      <c r="N1274" t="s">
        <v>32</v>
      </c>
      <c r="O1274" t="s">
        <v>151</v>
      </c>
      <c r="P1274">
        <v>2026</v>
      </c>
    </row>
    <row r="1275" spans="1:16" hidden="1" x14ac:dyDescent="0.25">
      <c r="A1275" s="96" t="s">
        <v>2</v>
      </c>
      <c r="B1275" s="96" t="s">
        <v>272</v>
      </c>
      <c r="C1275" s="96" t="s">
        <v>1338</v>
      </c>
      <c r="D1275" s="96" t="s">
        <v>14</v>
      </c>
      <c r="E1275" s="43">
        <v>45891</v>
      </c>
      <c r="F1275" s="43">
        <v>45925</v>
      </c>
      <c r="G1275" s="96" t="s">
        <v>90</v>
      </c>
      <c r="H1275" s="96" t="s">
        <v>1292</v>
      </c>
      <c r="I1275" s="96" t="s">
        <v>194</v>
      </c>
      <c r="J1275" s="96" t="s">
        <v>199</v>
      </c>
      <c r="K1275" s="96" t="s">
        <v>205</v>
      </c>
      <c r="L1275">
        <v>34</v>
      </c>
      <c r="M1275" t="s">
        <v>24</v>
      </c>
      <c r="N1275" t="s">
        <v>8</v>
      </c>
      <c r="O1275" t="s">
        <v>151</v>
      </c>
      <c r="P1275">
        <v>2025</v>
      </c>
    </row>
    <row r="1276" spans="1:16" hidden="1" x14ac:dyDescent="0.25">
      <c r="A1276" s="96" t="s">
        <v>2</v>
      </c>
      <c r="B1276" s="96" t="s">
        <v>322</v>
      </c>
      <c r="C1276" s="96" t="s">
        <v>4789</v>
      </c>
      <c r="D1276" s="96" t="s">
        <v>34</v>
      </c>
      <c r="E1276" s="43">
        <v>45844</v>
      </c>
      <c r="F1276" s="43">
        <v>45934</v>
      </c>
      <c r="G1276" s="96" t="s">
        <v>90</v>
      </c>
      <c r="H1276" s="96" t="s">
        <v>1294</v>
      </c>
      <c r="I1276" s="96" t="s">
        <v>194</v>
      </c>
      <c r="J1276" s="96" t="s">
        <v>165</v>
      </c>
      <c r="K1276" s="96" t="s">
        <v>195</v>
      </c>
      <c r="L1276">
        <v>90</v>
      </c>
      <c r="M1276" t="s">
        <v>28</v>
      </c>
      <c r="N1276" t="s">
        <v>187</v>
      </c>
      <c r="O1276" t="s">
        <v>150</v>
      </c>
      <c r="P1276">
        <v>2025</v>
      </c>
    </row>
    <row r="1277" spans="1:16" hidden="1" x14ac:dyDescent="0.25">
      <c r="A1277" s="96" t="s">
        <v>2</v>
      </c>
      <c r="B1277" s="96" t="s">
        <v>255</v>
      </c>
      <c r="C1277" s="96" t="s">
        <v>1339</v>
      </c>
      <c r="D1277" s="96" t="s">
        <v>40</v>
      </c>
      <c r="E1277" s="43">
        <v>45662</v>
      </c>
      <c r="F1277" s="43">
        <v>45690</v>
      </c>
      <c r="G1277" s="96" t="s">
        <v>95</v>
      </c>
      <c r="H1277" s="96" t="s">
        <v>1295</v>
      </c>
      <c r="I1277" s="96" t="s">
        <v>157</v>
      </c>
      <c r="J1277" s="96" t="s">
        <v>229</v>
      </c>
      <c r="K1277" s="96" t="s">
        <v>230</v>
      </c>
      <c r="L1277">
        <v>28</v>
      </c>
      <c r="M1277" t="s">
        <v>19</v>
      </c>
      <c r="N1277" t="s">
        <v>181</v>
      </c>
      <c r="O1277" t="s">
        <v>150</v>
      </c>
      <c r="P1277">
        <v>2025</v>
      </c>
    </row>
    <row r="1278" spans="1:16" x14ac:dyDescent="0.25">
      <c r="A1278" s="96" t="s">
        <v>2</v>
      </c>
      <c r="B1278" s="96" t="s">
        <v>288</v>
      </c>
      <c r="C1278" s="96" t="s">
        <v>1340</v>
      </c>
      <c r="D1278" s="96" t="s">
        <v>14</v>
      </c>
      <c r="E1278" s="43">
        <v>46051</v>
      </c>
      <c r="F1278" s="43">
        <v>46131</v>
      </c>
      <c r="G1278" s="96" t="s">
        <v>92</v>
      </c>
      <c r="H1278" s="96" t="s">
        <v>1296</v>
      </c>
      <c r="I1278" s="96" t="s">
        <v>225</v>
      </c>
      <c r="J1278" s="96" t="s">
        <v>172</v>
      </c>
      <c r="K1278" s="96" t="s">
        <v>195</v>
      </c>
      <c r="L1278">
        <v>80</v>
      </c>
      <c r="M1278" t="s">
        <v>28</v>
      </c>
      <c r="N1278" t="s">
        <v>29</v>
      </c>
      <c r="O1278" t="s">
        <v>170</v>
      </c>
      <c r="P1278">
        <v>2026</v>
      </c>
    </row>
    <row r="1279" spans="1:16" hidden="1" x14ac:dyDescent="0.25">
      <c r="A1279" s="96" t="s">
        <v>175</v>
      </c>
      <c r="B1279" s="96" t="s">
        <v>257</v>
      </c>
      <c r="C1279" s="96" t="s">
        <v>1341</v>
      </c>
      <c r="D1279" s="96" t="s">
        <v>34</v>
      </c>
      <c r="E1279" s="43">
        <v>45712</v>
      </c>
      <c r="F1279" s="43">
        <v>45807</v>
      </c>
      <c r="G1279" s="96" t="s">
        <v>92</v>
      </c>
      <c r="H1279" s="96" t="s">
        <v>4790</v>
      </c>
      <c r="I1279" s="96" t="s">
        <v>9</v>
      </c>
      <c r="J1279" s="96" t="s">
        <v>97</v>
      </c>
      <c r="K1279" s="96" t="s">
        <v>233</v>
      </c>
      <c r="L1279">
        <v>95</v>
      </c>
      <c r="M1279" t="s">
        <v>28</v>
      </c>
      <c r="N1279" t="s">
        <v>188</v>
      </c>
      <c r="O1279" t="s">
        <v>151</v>
      </c>
      <c r="P1279">
        <v>2025</v>
      </c>
    </row>
    <row r="1280" spans="1:16" hidden="1" x14ac:dyDescent="0.25">
      <c r="A1280" s="96" t="s">
        <v>2</v>
      </c>
      <c r="B1280" s="96" t="s">
        <v>280</v>
      </c>
      <c r="C1280" s="96" t="s">
        <v>1342</v>
      </c>
      <c r="D1280" s="96" t="s">
        <v>192</v>
      </c>
      <c r="E1280" s="43">
        <v>45844</v>
      </c>
      <c r="F1280" s="43">
        <v>45942</v>
      </c>
      <c r="G1280" s="96" t="s">
        <v>92</v>
      </c>
      <c r="H1280" s="96" t="s">
        <v>1297</v>
      </c>
      <c r="I1280" s="96" t="s">
        <v>157</v>
      </c>
      <c r="J1280" s="96" t="s">
        <v>174</v>
      </c>
      <c r="K1280" s="96" t="s">
        <v>205</v>
      </c>
      <c r="L1280">
        <v>98</v>
      </c>
      <c r="M1280" t="s">
        <v>28</v>
      </c>
      <c r="N1280" t="s">
        <v>187</v>
      </c>
      <c r="O1280" t="s">
        <v>170</v>
      </c>
      <c r="P1280">
        <v>2025</v>
      </c>
    </row>
    <row r="1281" spans="1:16" hidden="1" x14ac:dyDescent="0.25">
      <c r="A1281" s="96" t="s">
        <v>2</v>
      </c>
      <c r="B1281" s="96" t="s">
        <v>213</v>
      </c>
      <c r="C1281" s="96" t="s">
        <v>1343</v>
      </c>
      <c r="D1281" s="96" t="s">
        <v>237</v>
      </c>
      <c r="E1281" s="43">
        <v>45704</v>
      </c>
      <c r="F1281" s="43">
        <v>45716</v>
      </c>
      <c r="G1281" s="96" t="s">
        <v>92</v>
      </c>
      <c r="H1281" s="96" t="s">
        <v>4791</v>
      </c>
      <c r="I1281" s="96" t="s">
        <v>204</v>
      </c>
      <c r="J1281" s="96" t="s">
        <v>173</v>
      </c>
      <c r="K1281" s="96" t="s">
        <v>246</v>
      </c>
      <c r="L1281">
        <v>12</v>
      </c>
      <c r="M1281" t="s">
        <v>15</v>
      </c>
      <c r="N1281" t="s">
        <v>188</v>
      </c>
      <c r="O1281" t="s">
        <v>149</v>
      </c>
      <c r="P1281">
        <v>2025</v>
      </c>
    </row>
    <row r="1282" spans="1:16" hidden="1" x14ac:dyDescent="0.25">
      <c r="A1282" s="96" t="s">
        <v>2</v>
      </c>
      <c r="B1282" s="96" t="s">
        <v>257</v>
      </c>
      <c r="C1282" s="96" t="s">
        <v>1344</v>
      </c>
      <c r="D1282" s="96" t="s">
        <v>14</v>
      </c>
      <c r="E1282" s="43">
        <v>45957</v>
      </c>
      <c r="F1282" s="43">
        <v>46058</v>
      </c>
      <c r="G1282" s="96" t="s">
        <v>92</v>
      </c>
      <c r="H1282" s="96" t="s">
        <v>4792</v>
      </c>
      <c r="I1282" s="96" t="s">
        <v>225</v>
      </c>
      <c r="J1282" s="96" t="s">
        <v>98</v>
      </c>
      <c r="K1282" s="96" t="s">
        <v>233</v>
      </c>
      <c r="L1282">
        <v>101</v>
      </c>
      <c r="M1282" t="s">
        <v>28</v>
      </c>
      <c r="N1282" t="s">
        <v>16</v>
      </c>
      <c r="O1282" t="s">
        <v>151</v>
      </c>
      <c r="P1282">
        <v>2025</v>
      </c>
    </row>
    <row r="1283" spans="1:16" x14ac:dyDescent="0.25">
      <c r="A1283" s="96" t="s">
        <v>2</v>
      </c>
      <c r="B1283" s="96" t="s">
        <v>234</v>
      </c>
      <c r="C1283" s="96" t="s">
        <v>1345</v>
      </c>
      <c r="D1283" s="96" t="s">
        <v>14</v>
      </c>
      <c r="E1283" s="43">
        <v>46149</v>
      </c>
      <c r="F1283" s="43">
        <v>46151</v>
      </c>
      <c r="G1283" s="96" t="s">
        <v>90</v>
      </c>
      <c r="H1283" s="96" t="s">
        <v>535</v>
      </c>
      <c r="I1283" s="96" t="s">
        <v>204</v>
      </c>
      <c r="J1283" s="96" t="s">
        <v>97</v>
      </c>
      <c r="K1283" s="96" t="s">
        <v>230</v>
      </c>
      <c r="L1283">
        <v>2</v>
      </c>
      <c r="M1283" t="s">
        <v>11</v>
      </c>
      <c r="N1283" t="s">
        <v>183</v>
      </c>
      <c r="O1283" t="s">
        <v>150</v>
      </c>
      <c r="P1283">
        <v>2026</v>
      </c>
    </row>
    <row r="1284" spans="1:16" x14ac:dyDescent="0.25">
      <c r="A1284" s="96" t="s">
        <v>2</v>
      </c>
      <c r="B1284" s="96" t="s">
        <v>261</v>
      </c>
      <c r="C1284" s="96" t="s">
        <v>4793</v>
      </c>
      <c r="D1284" s="96" t="s">
        <v>14</v>
      </c>
      <c r="E1284" s="43">
        <v>46117</v>
      </c>
      <c r="F1284" s="43">
        <v>46149</v>
      </c>
      <c r="G1284" s="96" t="s">
        <v>92</v>
      </c>
      <c r="H1284" s="96" t="s">
        <v>1300</v>
      </c>
      <c r="I1284" s="96" t="s">
        <v>9</v>
      </c>
      <c r="J1284" s="96" t="s">
        <v>93</v>
      </c>
      <c r="K1284" s="96" t="s">
        <v>205</v>
      </c>
      <c r="L1284">
        <v>32</v>
      </c>
      <c r="M1284" t="s">
        <v>24</v>
      </c>
      <c r="N1284" t="s">
        <v>37</v>
      </c>
      <c r="O1284" t="s">
        <v>151</v>
      </c>
      <c r="P1284">
        <v>2026</v>
      </c>
    </row>
    <row r="1285" spans="1:16" hidden="1" x14ac:dyDescent="0.25">
      <c r="A1285" s="96" t="s">
        <v>2</v>
      </c>
      <c r="B1285" s="96" t="s">
        <v>251</v>
      </c>
      <c r="C1285" s="96" t="s">
        <v>1347</v>
      </c>
      <c r="D1285" s="96" t="s">
        <v>34</v>
      </c>
      <c r="E1285" s="43">
        <v>45689</v>
      </c>
      <c r="F1285" s="43">
        <v>45717</v>
      </c>
      <c r="G1285" s="96" t="s">
        <v>95</v>
      </c>
      <c r="H1285" s="96" t="s">
        <v>4794</v>
      </c>
      <c r="I1285" s="96" t="s">
        <v>194</v>
      </c>
      <c r="J1285" s="96" t="s">
        <v>96</v>
      </c>
      <c r="K1285" s="96" t="s">
        <v>233</v>
      </c>
      <c r="L1285">
        <v>28</v>
      </c>
      <c r="M1285" t="s">
        <v>19</v>
      </c>
      <c r="N1285" t="s">
        <v>188</v>
      </c>
      <c r="O1285" t="s">
        <v>170</v>
      </c>
      <c r="P1285">
        <v>2025</v>
      </c>
    </row>
    <row r="1286" spans="1:16" x14ac:dyDescent="0.25">
      <c r="A1286" s="96" t="s">
        <v>2</v>
      </c>
      <c r="B1286" s="96" t="s">
        <v>226</v>
      </c>
      <c r="C1286" s="96" t="s">
        <v>4795</v>
      </c>
      <c r="D1286" s="96" t="s">
        <v>40</v>
      </c>
      <c r="E1286" s="43">
        <v>46151</v>
      </c>
      <c r="F1286" s="43">
        <v>46149</v>
      </c>
      <c r="G1286" s="96" t="s">
        <v>92</v>
      </c>
      <c r="H1286" s="96" t="s">
        <v>4796</v>
      </c>
      <c r="I1286" s="96" t="s">
        <v>157</v>
      </c>
      <c r="J1286" s="96" t="s">
        <v>176</v>
      </c>
      <c r="K1286" s="96" t="s">
        <v>157</v>
      </c>
      <c r="L1286">
        <v>-2</v>
      </c>
      <c r="M1286" t="s">
        <v>11</v>
      </c>
      <c r="N1286" t="s">
        <v>183</v>
      </c>
      <c r="O1286" t="s">
        <v>151</v>
      </c>
      <c r="P1286">
        <v>2026</v>
      </c>
    </row>
    <row r="1287" spans="1:16" hidden="1" x14ac:dyDescent="0.25">
      <c r="A1287" s="96" t="s">
        <v>2</v>
      </c>
      <c r="B1287" s="96" t="s">
        <v>257</v>
      </c>
      <c r="C1287" s="96" t="s">
        <v>4797</v>
      </c>
      <c r="D1287" s="96" t="s">
        <v>237</v>
      </c>
      <c r="E1287" s="43">
        <v>45733</v>
      </c>
      <c r="F1287" s="43">
        <v>45848</v>
      </c>
      <c r="G1287" s="96" t="s">
        <v>90</v>
      </c>
      <c r="H1287" s="96" t="s">
        <v>4798</v>
      </c>
      <c r="I1287" s="96" t="s">
        <v>194</v>
      </c>
      <c r="J1287" s="96" t="s">
        <v>168</v>
      </c>
      <c r="K1287" s="96" t="s">
        <v>210</v>
      </c>
      <c r="L1287">
        <v>115</v>
      </c>
      <c r="M1287" t="s">
        <v>28</v>
      </c>
      <c r="N1287" t="s">
        <v>186</v>
      </c>
      <c r="O1287" t="s">
        <v>151</v>
      </c>
      <c r="P1287">
        <v>2025</v>
      </c>
    </row>
    <row r="1288" spans="1:16" hidden="1" x14ac:dyDescent="0.25">
      <c r="A1288" s="96" t="s">
        <v>2</v>
      </c>
      <c r="B1288" s="96" t="s">
        <v>253</v>
      </c>
      <c r="C1288" s="96" t="s">
        <v>1348</v>
      </c>
      <c r="D1288" s="96" t="s">
        <v>208</v>
      </c>
      <c r="E1288" s="43">
        <v>46012</v>
      </c>
      <c r="F1288" s="43">
        <v>46030</v>
      </c>
      <c r="G1288" s="96" t="s">
        <v>90</v>
      </c>
      <c r="H1288" s="96" t="s">
        <v>4799</v>
      </c>
      <c r="I1288" s="96" t="s">
        <v>228</v>
      </c>
      <c r="J1288" s="96" t="s">
        <v>177</v>
      </c>
      <c r="K1288" s="96" t="s">
        <v>217</v>
      </c>
      <c r="L1288">
        <v>18</v>
      </c>
      <c r="M1288" t="s">
        <v>19</v>
      </c>
      <c r="N1288" t="s">
        <v>25</v>
      </c>
      <c r="O1288" t="s">
        <v>152</v>
      </c>
      <c r="P1288">
        <v>2025</v>
      </c>
    </row>
    <row r="1289" spans="1:16" x14ac:dyDescent="0.25">
      <c r="A1289" s="96" t="s">
        <v>21</v>
      </c>
      <c r="B1289" s="96" t="s">
        <v>269</v>
      </c>
      <c r="C1289" s="96" t="s">
        <v>4800</v>
      </c>
      <c r="D1289" s="96" t="s">
        <v>34</v>
      </c>
      <c r="E1289" s="43">
        <v>46030</v>
      </c>
      <c r="F1289" s="43">
        <v>46133</v>
      </c>
      <c r="G1289" s="96" t="s">
        <v>92</v>
      </c>
      <c r="H1289" s="96" t="s">
        <v>1305</v>
      </c>
      <c r="I1289" s="96" t="s">
        <v>9</v>
      </c>
      <c r="J1289" s="96" t="s">
        <v>174</v>
      </c>
      <c r="K1289" s="96" t="s">
        <v>200</v>
      </c>
      <c r="L1289">
        <v>103</v>
      </c>
      <c r="M1289" t="s">
        <v>28</v>
      </c>
      <c r="N1289" t="s">
        <v>29</v>
      </c>
      <c r="O1289" t="s">
        <v>152</v>
      </c>
      <c r="P1289">
        <v>2026</v>
      </c>
    </row>
    <row r="1290" spans="1:16" x14ac:dyDescent="0.25">
      <c r="A1290" s="96" t="s">
        <v>2</v>
      </c>
      <c r="B1290" s="96" t="s">
        <v>218</v>
      </c>
      <c r="C1290" s="96" t="s">
        <v>1350</v>
      </c>
      <c r="D1290" s="96" t="s">
        <v>208</v>
      </c>
      <c r="E1290" s="43">
        <v>46089</v>
      </c>
      <c r="F1290" s="43">
        <v>46090</v>
      </c>
      <c r="G1290" s="96" t="s">
        <v>95</v>
      </c>
      <c r="H1290" s="96" t="s">
        <v>4801</v>
      </c>
      <c r="I1290" s="96" t="s">
        <v>225</v>
      </c>
      <c r="J1290" s="96" t="s">
        <v>283</v>
      </c>
      <c r="K1290" s="96" t="s">
        <v>233</v>
      </c>
      <c r="L1290">
        <v>1</v>
      </c>
      <c r="M1290" t="s">
        <v>11</v>
      </c>
      <c r="N1290" t="s">
        <v>35</v>
      </c>
      <c r="O1290" t="s">
        <v>152</v>
      </c>
      <c r="P1290">
        <v>2026</v>
      </c>
    </row>
    <row r="1291" spans="1:16" x14ac:dyDescent="0.25">
      <c r="A1291" s="96" t="s">
        <v>2</v>
      </c>
      <c r="B1291" s="96" t="s">
        <v>261</v>
      </c>
      <c r="C1291" s="96" t="s">
        <v>1352</v>
      </c>
      <c r="D1291" s="96" t="s">
        <v>237</v>
      </c>
      <c r="E1291" s="43">
        <v>46106</v>
      </c>
      <c r="F1291" s="43">
        <v>46148</v>
      </c>
      <c r="G1291" s="96" t="s">
        <v>92</v>
      </c>
      <c r="H1291" s="96" t="s">
        <v>4802</v>
      </c>
      <c r="I1291" s="96" t="s">
        <v>194</v>
      </c>
      <c r="J1291" s="96" t="s">
        <v>177</v>
      </c>
      <c r="K1291" s="96" t="s">
        <v>246</v>
      </c>
      <c r="L1291">
        <v>42</v>
      </c>
      <c r="M1291" t="s">
        <v>24</v>
      </c>
      <c r="N1291" t="s">
        <v>35</v>
      </c>
      <c r="O1291" t="s">
        <v>151</v>
      </c>
      <c r="P1291">
        <v>2026</v>
      </c>
    </row>
    <row r="1292" spans="1:16" hidden="1" x14ac:dyDescent="0.25">
      <c r="A1292" s="96" t="s">
        <v>2</v>
      </c>
      <c r="B1292" s="96" t="s">
        <v>264</v>
      </c>
      <c r="C1292" s="96" t="s">
        <v>1353</v>
      </c>
      <c r="D1292" s="96" t="s">
        <v>215</v>
      </c>
      <c r="E1292" s="43">
        <v>45895</v>
      </c>
      <c r="F1292" s="43">
        <v>45959</v>
      </c>
      <c r="G1292" s="96" t="s">
        <v>92</v>
      </c>
      <c r="H1292" s="96" t="s">
        <v>4803</v>
      </c>
      <c r="I1292" s="96" t="s">
        <v>157</v>
      </c>
      <c r="J1292" s="96" t="s">
        <v>169</v>
      </c>
      <c r="K1292" s="96" t="s">
        <v>230</v>
      </c>
      <c r="L1292">
        <v>64</v>
      </c>
      <c r="M1292" t="s">
        <v>28</v>
      </c>
      <c r="N1292" t="s">
        <v>8</v>
      </c>
      <c r="O1292" t="s">
        <v>152</v>
      </c>
      <c r="P1292">
        <v>2025</v>
      </c>
    </row>
    <row r="1293" spans="1:16" x14ac:dyDescent="0.25">
      <c r="A1293" s="96" t="s">
        <v>2</v>
      </c>
      <c r="B1293" s="96" t="s">
        <v>219</v>
      </c>
      <c r="C1293" s="96" t="s">
        <v>4804</v>
      </c>
      <c r="D1293" s="96" t="s">
        <v>237</v>
      </c>
      <c r="E1293" s="43">
        <v>46060</v>
      </c>
      <c r="F1293" s="43">
        <v>46122</v>
      </c>
      <c r="G1293" s="96" t="s">
        <v>90</v>
      </c>
      <c r="H1293" s="96" t="s">
        <v>4805</v>
      </c>
      <c r="I1293" s="96" t="s">
        <v>228</v>
      </c>
      <c r="J1293" s="96" t="s">
        <v>199</v>
      </c>
      <c r="K1293" s="96" t="s">
        <v>246</v>
      </c>
      <c r="L1293">
        <v>62</v>
      </c>
      <c r="M1293" t="s">
        <v>28</v>
      </c>
      <c r="N1293" t="s">
        <v>32</v>
      </c>
      <c r="O1293" t="s">
        <v>149</v>
      </c>
      <c r="P1293">
        <v>2026</v>
      </c>
    </row>
    <row r="1294" spans="1:16" hidden="1" x14ac:dyDescent="0.25">
      <c r="A1294" s="96" t="s">
        <v>189</v>
      </c>
      <c r="B1294" s="96" t="s">
        <v>206</v>
      </c>
      <c r="C1294" s="96" t="s">
        <v>1355</v>
      </c>
      <c r="D1294" s="96" t="s">
        <v>215</v>
      </c>
      <c r="E1294" s="43">
        <v>45777</v>
      </c>
      <c r="F1294" s="43">
        <v>45782</v>
      </c>
      <c r="G1294" s="96" t="s">
        <v>90</v>
      </c>
      <c r="H1294" s="96" t="s">
        <v>4806</v>
      </c>
      <c r="I1294" s="96" t="s">
        <v>228</v>
      </c>
      <c r="J1294" s="96" t="s">
        <v>229</v>
      </c>
      <c r="K1294" s="96" t="s">
        <v>210</v>
      </c>
      <c r="L1294">
        <v>5</v>
      </c>
      <c r="M1294" t="s">
        <v>11</v>
      </c>
      <c r="N1294" t="s">
        <v>185</v>
      </c>
      <c r="O1294" t="s">
        <v>152</v>
      </c>
      <c r="P1294">
        <v>2025</v>
      </c>
    </row>
    <row r="1295" spans="1:16" x14ac:dyDescent="0.25">
      <c r="A1295" s="96" t="s">
        <v>2</v>
      </c>
      <c r="B1295" s="96" t="s">
        <v>269</v>
      </c>
      <c r="C1295" s="96" t="s">
        <v>1356</v>
      </c>
      <c r="D1295" s="96" t="s">
        <v>215</v>
      </c>
      <c r="E1295" s="43">
        <v>46033</v>
      </c>
      <c r="F1295" s="43">
        <v>46147</v>
      </c>
      <c r="G1295" s="96" t="s">
        <v>92</v>
      </c>
      <c r="H1295" s="96" t="s">
        <v>4807</v>
      </c>
      <c r="I1295" s="96" t="s">
        <v>225</v>
      </c>
      <c r="J1295" s="96" t="s">
        <v>283</v>
      </c>
      <c r="K1295" s="96" t="s">
        <v>246</v>
      </c>
      <c r="L1295">
        <v>114</v>
      </c>
      <c r="M1295" t="s">
        <v>28</v>
      </c>
      <c r="N1295" t="s">
        <v>29</v>
      </c>
      <c r="O1295" t="s">
        <v>152</v>
      </c>
      <c r="P1295">
        <v>2026</v>
      </c>
    </row>
    <row r="1296" spans="1:16" x14ac:dyDescent="0.25">
      <c r="A1296" s="96" t="s">
        <v>2</v>
      </c>
      <c r="B1296" s="96" t="s">
        <v>374</v>
      </c>
      <c r="C1296" s="96" t="s">
        <v>1357</v>
      </c>
      <c r="D1296" s="96" t="s">
        <v>10</v>
      </c>
      <c r="E1296" s="43">
        <v>46024</v>
      </c>
      <c r="F1296" s="43">
        <v>46094</v>
      </c>
      <c r="G1296" s="96" t="s">
        <v>90</v>
      </c>
      <c r="H1296" s="96" t="s">
        <v>1311</v>
      </c>
      <c r="I1296" s="96" t="s">
        <v>225</v>
      </c>
      <c r="J1296" s="96" t="s">
        <v>97</v>
      </c>
      <c r="K1296" s="96" t="s">
        <v>157</v>
      </c>
      <c r="L1296">
        <v>70</v>
      </c>
      <c r="M1296" t="s">
        <v>28</v>
      </c>
      <c r="N1296" t="s">
        <v>29</v>
      </c>
      <c r="O1296" t="s">
        <v>150</v>
      </c>
      <c r="P1296">
        <v>2026</v>
      </c>
    </row>
    <row r="1297" spans="1:16" hidden="1" x14ac:dyDescent="0.25">
      <c r="A1297" s="96" t="s">
        <v>2</v>
      </c>
      <c r="B1297" s="96" t="s">
        <v>190</v>
      </c>
      <c r="C1297" s="96" t="s">
        <v>1358</v>
      </c>
      <c r="D1297" s="96" t="s">
        <v>203</v>
      </c>
      <c r="E1297" s="43">
        <v>46015</v>
      </c>
      <c r="F1297" s="43">
        <v>46093</v>
      </c>
      <c r="G1297" s="96" t="s">
        <v>90</v>
      </c>
      <c r="H1297" s="96" t="s">
        <v>1313</v>
      </c>
      <c r="I1297" s="96" t="s">
        <v>157</v>
      </c>
      <c r="J1297" s="96" t="s">
        <v>165</v>
      </c>
      <c r="K1297" s="96" t="s">
        <v>210</v>
      </c>
      <c r="L1297">
        <v>78</v>
      </c>
      <c r="M1297" t="s">
        <v>28</v>
      </c>
      <c r="N1297" t="s">
        <v>25</v>
      </c>
      <c r="O1297" t="s">
        <v>150</v>
      </c>
      <c r="P1297">
        <v>2025</v>
      </c>
    </row>
    <row r="1298" spans="1:16" x14ac:dyDescent="0.25">
      <c r="A1298" s="96" t="s">
        <v>2</v>
      </c>
      <c r="B1298" s="96" t="s">
        <v>244</v>
      </c>
      <c r="C1298" s="96" t="s">
        <v>1359</v>
      </c>
      <c r="D1298" s="96" t="s">
        <v>10</v>
      </c>
      <c r="E1298" s="43">
        <v>46053</v>
      </c>
      <c r="F1298" s="43">
        <v>46148</v>
      </c>
      <c r="G1298" s="96" t="s">
        <v>92</v>
      </c>
      <c r="H1298" s="96" t="s">
        <v>1315</v>
      </c>
      <c r="I1298" s="96" t="s">
        <v>225</v>
      </c>
      <c r="J1298" s="96" t="s">
        <v>283</v>
      </c>
      <c r="K1298" s="96" t="s">
        <v>217</v>
      </c>
      <c r="L1298">
        <v>95</v>
      </c>
      <c r="M1298" t="s">
        <v>28</v>
      </c>
      <c r="N1298" t="s">
        <v>29</v>
      </c>
      <c r="O1298" t="s">
        <v>150</v>
      </c>
      <c r="P1298">
        <v>2026</v>
      </c>
    </row>
    <row r="1299" spans="1:16" hidden="1" x14ac:dyDescent="0.25">
      <c r="A1299" s="96" t="s">
        <v>21</v>
      </c>
      <c r="B1299" s="96" t="s">
        <v>247</v>
      </c>
      <c r="C1299" s="96" t="s">
        <v>1360</v>
      </c>
      <c r="D1299" s="96" t="s">
        <v>215</v>
      </c>
      <c r="E1299" s="43">
        <v>45988</v>
      </c>
      <c r="F1299" s="43">
        <v>46031</v>
      </c>
      <c r="G1299" s="96" t="s">
        <v>92</v>
      </c>
      <c r="H1299" s="96" t="s">
        <v>1317</v>
      </c>
      <c r="I1299" s="96" t="s">
        <v>228</v>
      </c>
      <c r="J1299" s="96" t="s">
        <v>216</v>
      </c>
      <c r="K1299" s="96" t="s">
        <v>230</v>
      </c>
      <c r="L1299">
        <v>43</v>
      </c>
      <c r="M1299" t="s">
        <v>24</v>
      </c>
      <c r="N1299" t="s">
        <v>20</v>
      </c>
      <c r="O1299" t="s">
        <v>150</v>
      </c>
      <c r="P1299">
        <v>2025</v>
      </c>
    </row>
    <row r="1300" spans="1:16" hidden="1" x14ac:dyDescent="0.25">
      <c r="A1300" s="96" t="s">
        <v>2</v>
      </c>
      <c r="B1300" s="96" t="s">
        <v>206</v>
      </c>
      <c r="C1300" s="96" t="s">
        <v>1361</v>
      </c>
      <c r="D1300" s="96" t="s">
        <v>40</v>
      </c>
      <c r="E1300" s="43">
        <v>45978</v>
      </c>
      <c r="F1300" s="43">
        <v>46054</v>
      </c>
      <c r="G1300" s="96" t="s">
        <v>92</v>
      </c>
      <c r="H1300" s="96" t="s">
        <v>1319</v>
      </c>
      <c r="I1300" s="96" t="s">
        <v>157</v>
      </c>
      <c r="J1300" s="96" t="s">
        <v>172</v>
      </c>
      <c r="K1300" s="96" t="s">
        <v>217</v>
      </c>
      <c r="L1300">
        <v>76</v>
      </c>
      <c r="M1300" t="s">
        <v>28</v>
      </c>
      <c r="N1300" t="s">
        <v>20</v>
      </c>
      <c r="O1300" t="s">
        <v>152</v>
      </c>
      <c r="P1300">
        <v>2025</v>
      </c>
    </row>
    <row r="1301" spans="1:16" hidden="1" x14ac:dyDescent="0.25">
      <c r="A1301" s="96" t="s">
        <v>2</v>
      </c>
      <c r="B1301" s="96" t="s">
        <v>257</v>
      </c>
      <c r="C1301" s="96" t="s">
        <v>4808</v>
      </c>
      <c r="D1301" s="96" t="s">
        <v>192</v>
      </c>
      <c r="E1301" s="43">
        <v>45844</v>
      </c>
      <c r="F1301" s="43">
        <v>45941</v>
      </c>
      <c r="G1301" s="96" t="s">
        <v>92</v>
      </c>
      <c r="H1301" s="96" t="s">
        <v>1321</v>
      </c>
      <c r="I1301" s="96" t="s">
        <v>157</v>
      </c>
      <c r="J1301" s="96" t="s">
        <v>229</v>
      </c>
      <c r="K1301" s="96" t="s">
        <v>195</v>
      </c>
      <c r="L1301">
        <v>97</v>
      </c>
      <c r="M1301" t="s">
        <v>28</v>
      </c>
      <c r="N1301" t="s">
        <v>187</v>
      </c>
      <c r="O1301" t="s">
        <v>151</v>
      </c>
      <c r="P1301">
        <v>2025</v>
      </c>
    </row>
    <row r="1302" spans="1:16" x14ac:dyDescent="0.25">
      <c r="A1302" s="96" t="s">
        <v>171</v>
      </c>
      <c r="B1302" s="96" t="s">
        <v>305</v>
      </c>
      <c r="C1302" s="96" t="s">
        <v>4809</v>
      </c>
      <c r="D1302" s="96" t="s">
        <v>215</v>
      </c>
      <c r="E1302" s="43">
        <v>46107</v>
      </c>
      <c r="F1302" s="43">
        <v>46151</v>
      </c>
      <c r="G1302" s="96" t="s">
        <v>92</v>
      </c>
      <c r="H1302" s="96" t="s">
        <v>1324</v>
      </c>
      <c r="I1302" s="96" t="s">
        <v>157</v>
      </c>
      <c r="J1302" s="96" t="s">
        <v>176</v>
      </c>
      <c r="K1302" s="96" t="s">
        <v>157</v>
      </c>
      <c r="L1302">
        <v>44</v>
      </c>
      <c r="M1302" t="s">
        <v>24</v>
      </c>
      <c r="N1302" t="s">
        <v>35</v>
      </c>
      <c r="O1302" t="s">
        <v>170</v>
      </c>
      <c r="P1302">
        <v>2026</v>
      </c>
    </row>
    <row r="1303" spans="1:16" x14ac:dyDescent="0.25">
      <c r="A1303" s="96" t="s">
        <v>2</v>
      </c>
      <c r="B1303" s="96" t="s">
        <v>288</v>
      </c>
      <c r="C1303" s="96" t="s">
        <v>1362</v>
      </c>
      <c r="D1303" s="96" t="s">
        <v>215</v>
      </c>
      <c r="E1303" s="43">
        <v>46095</v>
      </c>
      <c r="F1303" s="43">
        <v>46150</v>
      </c>
      <c r="G1303" s="96" t="s">
        <v>92</v>
      </c>
      <c r="H1303" s="96" t="s">
        <v>1326</v>
      </c>
      <c r="I1303" s="96" t="s">
        <v>194</v>
      </c>
      <c r="J1303" s="96" t="s">
        <v>229</v>
      </c>
      <c r="K1303" s="96" t="s">
        <v>217</v>
      </c>
      <c r="L1303">
        <v>55</v>
      </c>
      <c r="M1303" t="s">
        <v>24</v>
      </c>
      <c r="N1303" t="s">
        <v>35</v>
      </c>
      <c r="O1303" t="s">
        <v>170</v>
      </c>
      <c r="P1303">
        <v>2026</v>
      </c>
    </row>
    <row r="1304" spans="1:16" x14ac:dyDescent="0.25">
      <c r="A1304" s="96" t="s">
        <v>2</v>
      </c>
      <c r="B1304" s="96" t="s">
        <v>201</v>
      </c>
      <c r="C1304" s="96" t="s">
        <v>1365</v>
      </c>
      <c r="D1304" s="96" t="s">
        <v>14</v>
      </c>
      <c r="E1304" s="43">
        <v>46125</v>
      </c>
      <c r="F1304" s="43">
        <v>46151</v>
      </c>
      <c r="G1304" s="96" t="s">
        <v>92</v>
      </c>
      <c r="H1304" s="96" t="s">
        <v>4810</v>
      </c>
      <c r="I1304" s="96" t="s">
        <v>9</v>
      </c>
      <c r="J1304" s="96" t="s">
        <v>176</v>
      </c>
      <c r="K1304" s="96" t="s">
        <v>210</v>
      </c>
      <c r="L1304">
        <v>26</v>
      </c>
      <c r="M1304" t="s">
        <v>19</v>
      </c>
      <c r="N1304" t="s">
        <v>37</v>
      </c>
      <c r="O1304" t="s">
        <v>170</v>
      </c>
      <c r="P1304">
        <v>2026</v>
      </c>
    </row>
    <row r="1305" spans="1:16" hidden="1" x14ac:dyDescent="0.25">
      <c r="A1305" s="96" t="s">
        <v>21</v>
      </c>
      <c r="B1305" s="96" t="s">
        <v>211</v>
      </c>
      <c r="C1305" s="96" t="s">
        <v>1367</v>
      </c>
      <c r="D1305" s="96" t="s">
        <v>34</v>
      </c>
      <c r="E1305" s="43">
        <v>45795</v>
      </c>
      <c r="F1305" s="43">
        <v>45878</v>
      </c>
      <c r="G1305" s="96" t="s">
        <v>92</v>
      </c>
      <c r="H1305" s="96" t="s">
        <v>4811</v>
      </c>
      <c r="I1305" s="96" t="s">
        <v>194</v>
      </c>
      <c r="J1305" s="96" t="s">
        <v>93</v>
      </c>
      <c r="K1305" s="96" t="s">
        <v>233</v>
      </c>
      <c r="L1305">
        <v>83</v>
      </c>
      <c r="M1305" t="s">
        <v>28</v>
      </c>
      <c r="N1305" t="s">
        <v>182</v>
      </c>
      <c r="O1305" t="s">
        <v>170</v>
      </c>
      <c r="P1305">
        <v>2025</v>
      </c>
    </row>
    <row r="1306" spans="1:16" hidden="1" x14ac:dyDescent="0.25">
      <c r="A1306" s="96" t="s">
        <v>2</v>
      </c>
      <c r="B1306" s="96" t="s">
        <v>206</v>
      </c>
      <c r="C1306" s="96" t="s">
        <v>4812</v>
      </c>
      <c r="D1306" s="96" t="s">
        <v>208</v>
      </c>
      <c r="E1306" s="43">
        <v>45709</v>
      </c>
      <c r="F1306" s="43">
        <v>45771</v>
      </c>
      <c r="G1306" s="96" t="s">
        <v>92</v>
      </c>
      <c r="H1306" s="96" t="s">
        <v>4813</v>
      </c>
      <c r="I1306" s="96" t="s">
        <v>204</v>
      </c>
      <c r="J1306" s="96" t="s">
        <v>173</v>
      </c>
      <c r="K1306" s="96" t="s">
        <v>157</v>
      </c>
      <c r="L1306">
        <v>62</v>
      </c>
      <c r="M1306" t="s">
        <v>28</v>
      </c>
      <c r="N1306" t="s">
        <v>188</v>
      </c>
      <c r="O1306" t="s">
        <v>152</v>
      </c>
      <c r="P1306">
        <v>2025</v>
      </c>
    </row>
    <row r="1307" spans="1:16" hidden="1" x14ac:dyDescent="0.25">
      <c r="A1307" s="96" t="s">
        <v>21</v>
      </c>
      <c r="B1307" s="96" t="s">
        <v>257</v>
      </c>
      <c r="C1307" s="96" t="s">
        <v>1369</v>
      </c>
      <c r="D1307" s="96" t="s">
        <v>14</v>
      </c>
      <c r="E1307" s="43">
        <v>45862</v>
      </c>
      <c r="F1307" s="43">
        <v>45895</v>
      </c>
      <c r="G1307" s="96" t="s">
        <v>92</v>
      </c>
      <c r="H1307" s="96" t="s">
        <v>4814</v>
      </c>
      <c r="I1307" s="96" t="s">
        <v>194</v>
      </c>
      <c r="J1307" s="96" t="s">
        <v>94</v>
      </c>
      <c r="K1307" s="96" t="s">
        <v>195</v>
      </c>
      <c r="L1307">
        <v>33</v>
      </c>
      <c r="M1307" t="s">
        <v>24</v>
      </c>
      <c r="N1307" t="s">
        <v>187</v>
      </c>
      <c r="O1307" t="s">
        <v>151</v>
      </c>
      <c r="P1307">
        <v>2025</v>
      </c>
    </row>
    <row r="1308" spans="1:16" hidden="1" x14ac:dyDescent="0.25">
      <c r="A1308" s="96" t="s">
        <v>2</v>
      </c>
      <c r="B1308" s="96" t="s">
        <v>264</v>
      </c>
      <c r="C1308" s="96" t="s">
        <v>1371</v>
      </c>
      <c r="D1308" s="96" t="s">
        <v>14</v>
      </c>
      <c r="E1308" s="43">
        <v>45775</v>
      </c>
      <c r="F1308" s="43">
        <v>45886</v>
      </c>
      <c r="G1308" s="96" t="s">
        <v>92</v>
      </c>
      <c r="H1308" s="96" t="s">
        <v>4815</v>
      </c>
      <c r="I1308" s="96" t="s">
        <v>228</v>
      </c>
      <c r="J1308" s="96" t="s">
        <v>199</v>
      </c>
      <c r="K1308" s="96" t="s">
        <v>230</v>
      </c>
      <c r="L1308">
        <v>111</v>
      </c>
      <c r="M1308" t="s">
        <v>28</v>
      </c>
      <c r="N1308" t="s">
        <v>185</v>
      </c>
      <c r="O1308" t="s">
        <v>152</v>
      </c>
      <c r="P1308">
        <v>2025</v>
      </c>
    </row>
    <row r="1309" spans="1:16" hidden="1" x14ac:dyDescent="0.25">
      <c r="A1309" s="96" t="s">
        <v>171</v>
      </c>
      <c r="B1309" s="96" t="s">
        <v>190</v>
      </c>
      <c r="C1309" s="96" t="s">
        <v>4816</v>
      </c>
      <c r="D1309" s="96" t="s">
        <v>223</v>
      </c>
      <c r="E1309" s="43">
        <v>45786</v>
      </c>
      <c r="F1309" s="43">
        <v>45897</v>
      </c>
      <c r="G1309" s="96" t="s">
        <v>92</v>
      </c>
      <c r="H1309" s="96" t="s">
        <v>4817</v>
      </c>
      <c r="I1309" s="96" t="s">
        <v>209</v>
      </c>
      <c r="J1309" s="96" t="s">
        <v>98</v>
      </c>
      <c r="K1309" s="96" t="s">
        <v>233</v>
      </c>
      <c r="L1309">
        <v>111</v>
      </c>
      <c r="M1309" t="s">
        <v>28</v>
      </c>
      <c r="N1309" t="s">
        <v>182</v>
      </c>
      <c r="O1309" t="s">
        <v>150</v>
      </c>
      <c r="P1309">
        <v>2025</v>
      </c>
    </row>
    <row r="1310" spans="1:16" hidden="1" x14ac:dyDescent="0.25">
      <c r="A1310" s="96" t="s">
        <v>2</v>
      </c>
      <c r="B1310" s="96" t="s">
        <v>280</v>
      </c>
      <c r="C1310" s="96" t="s">
        <v>4818</v>
      </c>
      <c r="D1310" s="96" t="s">
        <v>192</v>
      </c>
      <c r="E1310" s="43">
        <v>45661</v>
      </c>
      <c r="F1310" s="43">
        <v>45700</v>
      </c>
      <c r="G1310" s="96" t="s">
        <v>92</v>
      </c>
      <c r="H1310" s="96" t="s">
        <v>1332</v>
      </c>
      <c r="I1310" s="96" t="s">
        <v>225</v>
      </c>
      <c r="J1310" s="96" t="s">
        <v>91</v>
      </c>
      <c r="K1310" s="96" t="s">
        <v>205</v>
      </c>
      <c r="L1310">
        <v>39</v>
      </c>
      <c r="M1310" t="s">
        <v>24</v>
      </c>
      <c r="N1310" t="s">
        <v>181</v>
      </c>
      <c r="O1310" t="s">
        <v>170</v>
      </c>
      <c r="P1310">
        <v>2025</v>
      </c>
    </row>
    <row r="1311" spans="1:16" x14ac:dyDescent="0.25">
      <c r="A1311" s="96" t="s">
        <v>189</v>
      </c>
      <c r="B1311" s="96" t="s">
        <v>269</v>
      </c>
      <c r="C1311" s="96" t="s">
        <v>1372</v>
      </c>
      <c r="D1311" s="96" t="s">
        <v>237</v>
      </c>
      <c r="E1311" s="43">
        <v>46133</v>
      </c>
      <c r="F1311" s="43">
        <v>46151</v>
      </c>
      <c r="G1311" s="96" t="s">
        <v>92</v>
      </c>
      <c r="H1311" s="96" t="s">
        <v>4819</v>
      </c>
      <c r="I1311" s="96" t="s">
        <v>204</v>
      </c>
      <c r="J1311" s="96" t="s">
        <v>177</v>
      </c>
      <c r="K1311" s="96" t="s">
        <v>157</v>
      </c>
      <c r="L1311">
        <v>18</v>
      </c>
      <c r="M1311" t="s">
        <v>19</v>
      </c>
      <c r="N1311" t="s">
        <v>37</v>
      </c>
      <c r="O1311" t="s">
        <v>152</v>
      </c>
      <c r="P1311">
        <v>2026</v>
      </c>
    </row>
    <row r="1312" spans="1:16" hidden="1" x14ac:dyDescent="0.25">
      <c r="A1312" s="96" t="s">
        <v>2</v>
      </c>
      <c r="B1312" s="96" t="s">
        <v>253</v>
      </c>
      <c r="C1312" s="96" t="s">
        <v>1373</v>
      </c>
      <c r="D1312" s="96" t="s">
        <v>223</v>
      </c>
      <c r="E1312" s="43">
        <v>45915</v>
      </c>
      <c r="F1312" s="43">
        <v>46016</v>
      </c>
      <c r="G1312" s="96" t="s">
        <v>92</v>
      </c>
      <c r="H1312" s="96" t="s">
        <v>4820</v>
      </c>
      <c r="I1312" s="96" t="s">
        <v>209</v>
      </c>
      <c r="J1312" s="96" t="s">
        <v>283</v>
      </c>
      <c r="K1312" s="96" t="s">
        <v>246</v>
      </c>
      <c r="L1312">
        <v>101</v>
      </c>
      <c r="M1312" t="s">
        <v>28</v>
      </c>
      <c r="N1312" t="s">
        <v>12</v>
      </c>
      <c r="O1312" t="s">
        <v>152</v>
      </c>
      <c r="P1312">
        <v>2025</v>
      </c>
    </row>
    <row r="1313" spans="1:16" hidden="1" x14ac:dyDescent="0.25">
      <c r="A1313" s="96" t="s">
        <v>2</v>
      </c>
      <c r="B1313" s="96" t="s">
        <v>280</v>
      </c>
      <c r="C1313" s="96" t="s">
        <v>1374</v>
      </c>
      <c r="D1313" s="96" t="s">
        <v>10</v>
      </c>
      <c r="E1313" s="43">
        <v>45699</v>
      </c>
      <c r="F1313" s="43">
        <v>45800</v>
      </c>
      <c r="G1313" s="96" t="s">
        <v>92</v>
      </c>
      <c r="H1313" s="96" t="s">
        <v>4821</v>
      </c>
      <c r="I1313" s="96" t="s">
        <v>157</v>
      </c>
      <c r="J1313" s="96" t="s">
        <v>199</v>
      </c>
      <c r="K1313" s="96" t="s">
        <v>157</v>
      </c>
      <c r="L1313">
        <v>101</v>
      </c>
      <c r="M1313" t="s">
        <v>28</v>
      </c>
      <c r="N1313" t="s">
        <v>188</v>
      </c>
      <c r="O1313" t="s">
        <v>170</v>
      </c>
      <c r="P1313">
        <v>2025</v>
      </c>
    </row>
    <row r="1314" spans="1:16" x14ac:dyDescent="0.25">
      <c r="A1314" s="96" t="s">
        <v>2</v>
      </c>
      <c r="B1314" s="96" t="s">
        <v>234</v>
      </c>
      <c r="C1314" s="96" t="s">
        <v>4822</v>
      </c>
      <c r="D1314" s="96" t="s">
        <v>192</v>
      </c>
      <c r="E1314" s="43">
        <v>46026</v>
      </c>
      <c r="F1314" s="43">
        <v>46038</v>
      </c>
      <c r="G1314" s="96" t="s">
        <v>92</v>
      </c>
      <c r="H1314" s="96" t="s">
        <v>4823</v>
      </c>
      <c r="I1314" s="96" t="s">
        <v>9</v>
      </c>
      <c r="J1314" s="96" t="s">
        <v>172</v>
      </c>
      <c r="K1314" s="96" t="s">
        <v>217</v>
      </c>
      <c r="L1314">
        <v>12</v>
      </c>
      <c r="M1314" t="s">
        <v>15</v>
      </c>
      <c r="N1314" t="s">
        <v>29</v>
      </c>
      <c r="O1314" t="s">
        <v>150</v>
      </c>
      <c r="P1314">
        <v>2026</v>
      </c>
    </row>
    <row r="1315" spans="1:16" hidden="1" x14ac:dyDescent="0.25">
      <c r="A1315" s="96" t="s">
        <v>2</v>
      </c>
      <c r="B1315" s="96" t="s">
        <v>211</v>
      </c>
      <c r="C1315" s="96" t="s">
        <v>4824</v>
      </c>
      <c r="D1315" s="96" t="s">
        <v>192</v>
      </c>
      <c r="E1315" s="43">
        <v>46013</v>
      </c>
      <c r="F1315" s="43">
        <v>46070</v>
      </c>
      <c r="G1315" s="96" t="s">
        <v>92</v>
      </c>
      <c r="H1315" s="96" t="s">
        <v>4825</v>
      </c>
      <c r="I1315" s="96" t="s">
        <v>204</v>
      </c>
      <c r="J1315" s="96" t="s">
        <v>283</v>
      </c>
      <c r="K1315" s="96" t="s">
        <v>205</v>
      </c>
      <c r="L1315">
        <v>57</v>
      </c>
      <c r="M1315" t="s">
        <v>24</v>
      </c>
      <c r="N1315" t="s">
        <v>25</v>
      </c>
      <c r="O1315" t="s">
        <v>170</v>
      </c>
      <c r="P1315">
        <v>2025</v>
      </c>
    </row>
    <row r="1316" spans="1:16" x14ac:dyDescent="0.25">
      <c r="A1316" s="96" t="s">
        <v>2</v>
      </c>
      <c r="B1316" s="96" t="s">
        <v>305</v>
      </c>
      <c r="C1316" s="96" t="s">
        <v>1376</v>
      </c>
      <c r="D1316" s="96" t="s">
        <v>40</v>
      </c>
      <c r="E1316" s="43">
        <v>46034</v>
      </c>
      <c r="F1316" s="43">
        <v>46088</v>
      </c>
      <c r="G1316" s="96" t="s">
        <v>90</v>
      </c>
      <c r="H1316" s="96" t="s">
        <v>4826</v>
      </c>
      <c r="I1316" s="96" t="s">
        <v>194</v>
      </c>
      <c r="J1316" s="96" t="s">
        <v>199</v>
      </c>
      <c r="K1316" s="96" t="s">
        <v>217</v>
      </c>
      <c r="L1316">
        <v>54</v>
      </c>
      <c r="M1316" t="s">
        <v>24</v>
      </c>
      <c r="N1316" t="s">
        <v>29</v>
      </c>
      <c r="O1316" t="s">
        <v>170</v>
      </c>
      <c r="P1316">
        <v>2026</v>
      </c>
    </row>
    <row r="1317" spans="1:16" x14ac:dyDescent="0.25">
      <c r="A1317" s="96" t="s">
        <v>2</v>
      </c>
      <c r="B1317" s="96" t="s">
        <v>226</v>
      </c>
      <c r="C1317" s="96" t="s">
        <v>1378</v>
      </c>
      <c r="D1317" s="96" t="s">
        <v>10</v>
      </c>
      <c r="E1317" s="43">
        <v>46037</v>
      </c>
      <c r="F1317" s="43">
        <v>46098</v>
      </c>
      <c r="G1317" s="96" t="s">
        <v>92</v>
      </c>
      <c r="H1317" s="96" t="s">
        <v>4827</v>
      </c>
      <c r="I1317" s="96" t="s">
        <v>9</v>
      </c>
      <c r="J1317" s="96" t="s">
        <v>174</v>
      </c>
      <c r="K1317" s="96" t="s">
        <v>205</v>
      </c>
      <c r="L1317">
        <v>61</v>
      </c>
      <c r="M1317" t="s">
        <v>28</v>
      </c>
      <c r="N1317" t="s">
        <v>29</v>
      </c>
      <c r="O1317" t="s">
        <v>151</v>
      </c>
      <c r="P1317">
        <v>2026</v>
      </c>
    </row>
    <row r="1318" spans="1:16" hidden="1" x14ac:dyDescent="0.25">
      <c r="A1318" s="96" t="s">
        <v>2</v>
      </c>
      <c r="B1318" s="96" t="s">
        <v>257</v>
      </c>
      <c r="C1318" s="96" t="s">
        <v>1379</v>
      </c>
      <c r="D1318" s="96" t="s">
        <v>14</v>
      </c>
      <c r="E1318" s="43">
        <v>45760</v>
      </c>
      <c r="F1318" s="43">
        <v>45795</v>
      </c>
      <c r="G1318" s="96" t="s">
        <v>92</v>
      </c>
      <c r="H1318" s="96" t="s">
        <v>4828</v>
      </c>
      <c r="I1318" s="96" t="s">
        <v>225</v>
      </c>
      <c r="J1318" s="96" t="s">
        <v>91</v>
      </c>
      <c r="K1318" s="96" t="s">
        <v>217</v>
      </c>
      <c r="L1318">
        <v>35</v>
      </c>
      <c r="M1318" t="s">
        <v>24</v>
      </c>
      <c r="N1318" t="s">
        <v>185</v>
      </c>
      <c r="O1318" t="s">
        <v>151</v>
      </c>
      <c r="P1318">
        <v>2025</v>
      </c>
    </row>
    <row r="1319" spans="1:16" hidden="1" x14ac:dyDescent="0.25">
      <c r="A1319" s="96" t="s">
        <v>2</v>
      </c>
      <c r="B1319" s="96" t="s">
        <v>247</v>
      </c>
      <c r="C1319" s="96" t="s">
        <v>1380</v>
      </c>
      <c r="D1319" s="96" t="s">
        <v>223</v>
      </c>
      <c r="E1319" s="43">
        <v>45805</v>
      </c>
      <c r="F1319" s="43">
        <v>45820</v>
      </c>
      <c r="G1319" s="96" t="s">
        <v>92</v>
      </c>
      <c r="H1319" s="96" t="s">
        <v>4829</v>
      </c>
      <c r="I1319" s="96" t="s">
        <v>194</v>
      </c>
      <c r="J1319" s="96" t="s">
        <v>283</v>
      </c>
      <c r="K1319" s="96" t="s">
        <v>195</v>
      </c>
      <c r="L1319">
        <v>15</v>
      </c>
      <c r="M1319" t="s">
        <v>19</v>
      </c>
      <c r="N1319" t="s">
        <v>182</v>
      </c>
      <c r="O1319" t="s">
        <v>150</v>
      </c>
      <c r="P1319">
        <v>2025</v>
      </c>
    </row>
    <row r="1320" spans="1:16" hidden="1" x14ac:dyDescent="0.25">
      <c r="A1320" s="96" t="s">
        <v>2</v>
      </c>
      <c r="B1320" s="96" t="s">
        <v>253</v>
      </c>
      <c r="C1320" s="96" t="s">
        <v>4830</v>
      </c>
      <c r="D1320" s="96" t="s">
        <v>237</v>
      </c>
      <c r="E1320" s="43">
        <v>46012</v>
      </c>
      <c r="F1320" s="43">
        <v>46039</v>
      </c>
      <c r="G1320" s="96" t="s">
        <v>90</v>
      </c>
      <c r="H1320" s="96" t="s">
        <v>4831</v>
      </c>
      <c r="I1320" s="96" t="s">
        <v>157</v>
      </c>
      <c r="J1320" s="96" t="s">
        <v>165</v>
      </c>
      <c r="K1320" s="96" t="s">
        <v>246</v>
      </c>
      <c r="L1320">
        <v>27</v>
      </c>
      <c r="M1320" t="s">
        <v>19</v>
      </c>
      <c r="N1320" t="s">
        <v>25</v>
      </c>
      <c r="O1320" t="s">
        <v>152</v>
      </c>
      <c r="P1320">
        <v>2025</v>
      </c>
    </row>
    <row r="1321" spans="1:16" hidden="1" x14ac:dyDescent="0.25">
      <c r="A1321" s="96" t="s">
        <v>2</v>
      </c>
      <c r="B1321" s="96" t="s">
        <v>280</v>
      </c>
      <c r="C1321" s="96" t="s">
        <v>1381</v>
      </c>
      <c r="D1321" s="96" t="s">
        <v>34</v>
      </c>
      <c r="E1321" s="43">
        <v>45832</v>
      </c>
      <c r="F1321" s="43">
        <v>45845</v>
      </c>
      <c r="G1321" s="96" t="s">
        <v>92</v>
      </c>
      <c r="H1321" s="96" t="s">
        <v>4832</v>
      </c>
      <c r="I1321" s="96" t="s">
        <v>204</v>
      </c>
      <c r="J1321" s="96" t="s">
        <v>229</v>
      </c>
      <c r="K1321" s="96" t="s">
        <v>195</v>
      </c>
      <c r="L1321">
        <v>13</v>
      </c>
      <c r="M1321" t="s">
        <v>15</v>
      </c>
      <c r="N1321" t="s">
        <v>184</v>
      </c>
      <c r="O1321" t="s">
        <v>170</v>
      </c>
      <c r="P1321">
        <v>2025</v>
      </c>
    </row>
    <row r="1322" spans="1:16" x14ac:dyDescent="0.25">
      <c r="A1322" s="96" t="s">
        <v>2</v>
      </c>
      <c r="B1322" s="96" t="s">
        <v>261</v>
      </c>
      <c r="C1322" s="96" t="s">
        <v>1382</v>
      </c>
      <c r="D1322" s="96" t="s">
        <v>215</v>
      </c>
      <c r="E1322" s="43">
        <v>46096</v>
      </c>
      <c r="F1322" s="43">
        <v>46150</v>
      </c>
      <c r="G1322" s="96" t="s">
        <v>92</v>
      </c>
      <c r="H1322" s="96" t="s">
        <v>4833</v>
      </c>
      <c r="I1322" s="96" t="s">
        <v>204</v>
      </c>
      <c r="J1322" s="96" t="s">
        <v>97</v>
      </c>
      <c r="K1322" s="96" t="s">
        <v>217</v>
      </c>
      <c r="L1322">
        <v>54</v>
      </c>
      <c r="M1322" t="s">
        <v>24</v>
      </c>
      <c r="N1322" t="s">
        <v>35</v>
      </c>
      <c r="O1322" t="s">
        <v>151</v>
      </c>
      <c r="P1322">
        <v>2026</v>
      </c>
    </row>
    <row r="1323" spans="1:16" x14ac:dyDescent="0.25">
      <c r="A1323" s="96" t="s">
        <v>2</v>
      </c>
      <c r="B1323" s="96" t="s">
        <v>261</v>
      </c>
      <c r="C1323" s="96" t="s">
        <v>4834</v>
      </c>
      <c r="D1323" s="96" t="s">
        <v>223</v>
      </c>
      <c r="E1323" s="43">
        <v>46073</v>
      </c>
      <c r="F1323" s="43">
        <v>46138</v>
      </c>
      <c r="G1323" s="96" t="s">
        <v>90</v>
      </c>
      <c r="H1323" s="96" t="s">
        <v>4835</v>
      </c>
      <c r="I1323" s="96" t="s">
        <v>157</v>
      </c>
      <c r="J1323" s="96" t="s">
        <v>96</v>
      </c>
      <c r="K1323" s="96" t="s">
        <v>157</v>
      </c>
      <c r="L1323">
        <v>65</v>
      </c>
      <c r="M1323" t="s">
        <v>28</v>
      </c>
      <c r="N1323" t="s">
        <v>32</v>
      </c>
      <c r="O1323" t="s">
        <v>151</v>
      </c>
      <c r="P1323">
        <v>2026</v>
      </c>
    </row>
    <row r="1324" spans="1:16" hidden="1" x14ac:dyDescent="0.25">
      <c r="A1324" s="96" t="s">
        <v>2</v>
      </c>
      <c r="B1324" s="96" t="s">
        <v>247</v>
      </c>
      <c r="C1324" s="96" t="s">
        <v>4836</v>
      </c>
      <c r="D1324" s="96" t="s">
        <v>34</v>
      </c>
      <c r="E1324" s="43">
        <v>45773</v>
      </c>
      <c r="F1324" s="43">
        <v>45822</v>
      </c>
      <c r="G1324" s="96" t="s">
        <v>92</v>
      </c>
      <c r="H1324" s="96" t="s">
        <v>4837</v>
      </c>
      <c r="I1324" s="96" t="s">
        <v>225</v>
      </c>
      <c r="J1324" s="96" t="s">
        <v>169</v>
      </c>
      <c r="K1324" s="96" t="s">
        <v>217</v>
      </c>
      <c r="L1324">
        <v>49</v>
      </c>
      <c r="M1324" t="s">
        <v>24</v>
      </c>
      <c r="N1324" t="s">
        <v>185</v>
      </c>
      <c r="O1324" t="s">
        <v>150</v>
      </c>
      <c r="P1324">
        <v>2025</v>
      </c>
    </row>
    <row r="1325" spans="1:16" hidden="1" x14ac:dyDescent="0.25">
      <c r="A1325" s="96" t="s">
        <v>2</v>
      </c>
      <c r="B1325" s="96" t="s">
        <v>240</v>
      </c>
      <c r="C1325" s="96" t="s">
        <v>1383</v>
      </c>
      <c r="D1325" s="96" t="s">
        <v>208</v>
      </c>
      <c r="E1325" s="43">
        <v>45794</v>
      </c>
      <c r="F1325" s="43">
        <v>45803</v>
      </c>
      <c r="G1325" s="96" t="s">
        <v>92</v>
      </c>
      <c r="H1325" s="96" t="s">
        <v>4838</v>
      </c>
      <c r="I1325" s="96" t="s">
        <v>209</v>
      </c>
      <c r="J1325" s="96" t="s">
        <v>168</v>
      </c>
      <c r="K1325" s="96" t="s">
        <v>210</v>
      </c>
      <c r="L1325">
        <v>9</v>
      </c>
      <c r="M1325" t="s">
        <v>15</v>
      </c>
      <c r="N1325" t="s">
        <v>182</v>
      </c>
      <c r="O1325" t="s">
        <v>149</v>
      </c>
      <c r="P1325">
        <v>2025</v>
      </c>
    </row>
    <row r="1326" spans="1:16" hidden="1" x14ac:dyDescent="0.25">
      <c r="A1326" s="96" t="s">
        <v>2</v>
      </c>
      <c r="B1326" s="96" t="s">
        <v>272</v>
      </c>
      <c r="C1326" s="96" t="s">
        <v>1384</v>
      </c>
      <c r="D1326" s="96" t="s">
        <v>203</v>
      </c>
      <c r="E1326" s="43">
        <v>45683</v>
      </c>
      <c r="F1326" s="43">
        <v>45723</v>
      </c>
      <c r="G1326" s="96" t="s">
        <v>92</v>
      </c>
      <c r="H1326" s="96" t="s">
        <v>4839</v>
      </c>
      <c r="I1326" s="96" t="s">
        <v>204</v>
      </c>
      <c r="J1326" s="96" t="s">
        <v>168</v>
      </c>
      <c r="K1326" s="96" t="s">
        <v>205</v>
      </c>
      <c r="L1326">
        <v>40</v>
      </c>
      <c r="M1326" t="s">
        <v>24</v>
      </c>
      <c r="N1326" t="s">
        <v>181</v>
      </c>
      <c r="O1326" t="s">
        <v>151</v>
      </c>
      <c r="P1326">
        <v>2025</v>
      </c>
    </row>
    <row r="1327" spans="1:16" hidden="1" x14ac:dyDescent="0.25">
      <c r="A1327" s="96" t="s">
        <v>2</v>
      </c>
      <c r="B1327" s="96" t="s">
        <v>257</v>
      </c>
      <c r="C1327" s="96" t="s">
        <v>1385</v>
      </c>
      <c r="D1327" s="96" t="s">
        <v>237</v>
      </c>
      <c r="E1327" s="43">
        <v>45860</v>
      </c>
      <c r="F1327" s="43">
        <v>45954</v>
      </c>
      <c r="G1327" s="96" t="s">
        <v>92</v>
      </c>
      <c r="H1327" s="96" t="s">
        <v>4840</v>
      </c>
      <c r="I1327" s="96" t="s">
        <v>204</v>
      </c>
      <c r="J1327" s="96" t="s">
        <v>283</v>
      </c>
      <c r="K1327" s="96" t="s">
        <v>246</v>
      </c>
      <c r="L1327">
        <v>94</v>
      </c>
      <c r="M1327" t="s">
        <v>28</v>
      </c>
      <c r="N1327" t="s">
        <v>187</v>
      </c>
      <c r="O1327" t="s">
        <v>151</v>
      </c>
      <c r="P1327">
        <v>2025</v>
      </c>
    </row>
    <row r="1328" spans="1:16" hidden="1" x14ac:dyDescent="0.25">
      <c r="A1328" s="96" t="s">
        <v>189</v>
      </c>
      <c r="B1328" s="96" t="s">
        <v>221</v>
      </c>
      <c r="C1328" s="96" t="s">
        <v>1386</v>
      </c>
      <c r="D1328" s="96" t="s">
        <v>192</v>
      </c>
      <c r="E1328" s="43">
        <v>45922</v>
      </c>
      <c r="F1328" s="43">
        <v>46018</v>
      </c>
      <c r="G1328" s="96" t="s">
        <v>92</v>
      </c>
      <c r="H1328" s="96" t="s">
        <v>1346</v>
      </c>
      <c r="I1328" s="96" t="s">
        <v>157</v>
      </c>
      <c r="J1328" s="96" t="s">
        <v>199</v>
      </c>
      <c r="K1328" s="96" t="s">
        <v>195</v>
      </c>
      <c r="L1328">
        <v>96</v>
      </c>
      <c r="M1328" t="s">
        <v>28</v>
      </c>
      <c r="N1328" t="s">
        <v>12</v>
      </c>
      <c r="O1328" t="s">
        <v>170</v>
      </c>
      <c r="P1328">
        <v>2025</v>
      </c>
    </row>
    <row r="1329" spans="1:16" x14ac:dyDescent="0.25">
      <c r="A1329" s="96" t="s">
        <v>2</v>
      </c>
      <c r="B1329" s="96" t="s">
        <v>201</v>
      </c>
      <c r="C1329" s="96" t="s">
        <v>4841</v>
      </c>
      <c r="D1329" s="96" t="s">
        <v>40</v>
      </c>
      <c r="E1329" s="43">
        <v>46101</v>
      </c>
      <c r="F1329" s="43">
        <v>46144</v>
      </c>
      <c r="G1329" s="96" t="s">
        <v>90</v>
      </c>
      <c r="H1329" s="96" t="s">
        <v>4842</v>
      </c>
      <c r="I1329" s="96" t="s">
        <v>225</v>
      </c>
      <c r="J1329" s="96" t="s">
        <v>97</v>
      </c>
      <c r="K1329" s="96" t="s">
        <v>217</v>
      </c>
      <c r="L1329">
        <v>43</v>
      </c>
      <c r="M1329" t="s">
        <v>24</v>
      </c>
      <c r="N1329" t="s">
        <v>35</v>
      </c>
      <c r="O1329" t="s">
        <v>170</v>
      </c>
      <c r="P1329">
        <v>2026</v>
      </c>
    </row>
    <row r="1330" spans="1:16" x14ac:dyDescent="0.25">
      <c r="A1330" s="96" t="s">
        <v>2</v>
      </c>
      <c r="B1330" s="96" t="s">
        <v>218</v>
      </c>
      <c r="C1330" s="96" t="s">
        <v>1387</v>
      </c>
      <c r="D1330" s="96" t="s">
        <v>192</v>
      </c>
      <c r="E1330" s="43">
        <v>46132</v>
      </c>
      <c r="F1330" s="43">
        <v>46137</v>
      </c>
      <c r="G1330" s="96" t="s">
        <v>92</v>
      </c>
      <c r="H1330" s="96" t="s">
        <v>4843</v>
      </c>
      <c r="I1330" s="96" t="s">
        <v>228</v>
      </c>
      <c r="J1330" s="96" t="s">
        <v>94</v>
      </c>
      <c r="K1330" s="96" t="s">
        <v>205</v>
      </c>
      <c r="L1330">
        <v>5</v>
      </c>
      <c r="M1330" t="s">
        <v>11</v>
      </c>
      <c r="N1330" t="s">
        <v>37</v>
      </c>
      <c r="O1330" t="s">
        <v>152</v>
      </c>
      <c r="P1330">
        <v>2026</v>
      </c>
    </row>
    <row r="1331" spans="1:16" hidden="1" x14ac:dyDescent="0.25">
      <c r="A1331" s="96" t="s">
        <v>2</v>
      </c>
      <c r="B1331" s="96" t="s">
        <v>238</v>
      </c>
      <c r="C1331" s="96" t="s">
        <v>1388</v>
      </c>
      <c r="D1331" s="96" t="s">
        <v>203</v>
      </c>
      <c r="E1331" s="43">
        <v>45901</v>
      </c>
      <c r="F1331" s="43">
        <v>46018</v>
      </c>
      <c r="G1331" s="96" t="s">
        <v>92</v>
      </c>
      <c r="H1331" s="96" t="s">
        <v>4844</v>
      </c>
      <c r="I1331" s="96" t="s">
        <v>209</v>
      </c>
      <c r="J1331" s="96" t="s">
        <v>169</v>
      </c>
      <c r="K1331" s="96" t="s">
        <v>217</v>
      </c>
      <c r="L1331">
        <v>117</v>
      </c>
      <c r="M1331" t="s">
        <v>28</v>
      </c>
      <c r="N1331" t="s">
        <v>12</v>
      </c>
      <c r="O1331" t="s">
        <v>170</v>
      </c>
      <c r="P1331">
        <v>2025</v>
      </c>
    </row>
    <row r="1332" spans="1:16" hidden="1" x14ac:dyDescent="0.25">
      <c r="A1332" s="96" t="s">
        <v>2</v>
      </c>
      <c r="B1332" s="96" t="s">
        <v>253</v>
      </c>
      <c r="C1332" s="96" t="s">
        <v>4845</v>
      </c>
      <c r="D1332" s="96" t="s">
        <v>215</v>
      </c>
      <c r="E1332" s="43">
        <v>45915</v>
      </c>
      <c r="F1332" s="43">
        <v>46013</v>
      </c>
      <c r="G1332" s="96" t="s">
        <v>90</v>
      </c>
      <c r="H1332" s="96" t="s">
        <v>4846</v>
      </c>
      <c r="I1332" s="96" t="s">
        <v>228</v>
      </c>
      <c r="J1332" s="96" t="s">
        <v>283</v>
      </c>
      <c r="K1332" s="96" t="s">
        <v>205</v>
      </c>
      <c r="L1332">
        <v>98</v>
      </c>
      <c r="M1332" t="s">
        <v>28</v>
      </c>
      <c r="N1332" t="s">
        <v>12</v>
      </c>
      <c r="O1332" t="s">
        <v>152</v>
      </c>
      <c r="P1332">
        <v>2025</v>
      </c>
    </row>
    <row r="1333" spans="1:16" hidden="1" x14ac:dyDescent="0.25">
      <c r="A1333" s="96" t="s">
        <v>171</v>
      </c>
      <c r="B1333" s="96" t="s">
        <v>280</v>
      </c>
      <c r="C1333" s="96" t="s">
        <v>1389</v>
      </c>
      <c r="D1333" s="96" t="s">
        <v>10</v>
      </c>
      <c r="E1333" s="43">
        <v>45744</v>
      </c>
      <c r="F1333" s="43">
        <v>45834</v>
      </c>
      <c r="G1333" s="96" t="s">
        <v>92</v>
      </c>
      <c r="H1333" s="96" t="s">
        <v>4847</v>
      </c>
      <c r="I1333" s="96" t="s">
        <v>157</v>
      </c>
      <c r="J1333" s="96" t="s">
        <v>96</v>
      </c>
      <c r="K1333" s="96" t="s">
        <v>210</v>
      </c>
      <c r="L1333">
        <v>90</v>
      </c>
      <c r="M1333" t="s">
        <v>28</v>
      </c>
      <c r="N1333" t="s">
        <v>186</v>
      </c>
      <c r="O1333" t="s">
        <v>170</v>
      </c>
      <c r="P1333">
        <v>2025</v>
      </c>
    </row>
    <row r="1334" spans="1:16" x14ac:dyDescent="0.25">
      <c r="A1334" s="96" t="s">
        <v>2</v>
      </c>
      <c r="B1334" s="96" t="s">
        <v>288</v>
      </c>
      <c r="C1334" s="96" t="s">
        <v>4848</v>
      </c>
      <c r="D1334" s="96" t="s">
        <v>215</v>
      </c>
      <c r="E1334" s="43">
        <v>46043</v>
      </c>
      <c r="F1334" s="43">
        <v>46130</v>
      </c>
      <c r="G1334" s="96" t="s">
        <v>92</v>
      </c>
      <c r="H1334" s="96" t="s">
        <v>1349</v>
      </c>
      <c r="I1334" s="96" t="s">
        <v>157</v>
      </c>
      <c r="J1334" s="96" t="s">
        <v>94</v>
      </c>
      <c r="K1334" s="96" t="s">
        <v>246</v>
      </c>
      <c r="L1334">
        <v>87</v>
      </c>
      <c r="M1334" t="s">
        <v>28</v>
      </c>
      <c r="N1334" t="s">
        <v>29</v>
      </c>
      <c r="O1334" t="s">
        <v>170</v>
      </c>
      <c r="P1334">
        <v>2026</v>
      </c>
    </row>
    <row r="1335" spans="1:16" hidden="1" x14ac:dyDescent="0.25">
      <c r="A1335" s="96" t="s">
        <v>171</v>
      </c>
      <c r="B1335" s="96" t="s">
        <v>211</v>
      </c>
      <c r="C1335" s="96" t="s">
        <v>1390</v>
      </c>
      <c r="D1335" s="96" t="s">
        <v>14</v>
      </c>
      <c r="E1335" s="43">
        <v>45998</v>
      </c>
      <c r="F1335" s="43">
        <v>46029</v>
      </c>
      <c r="G1335" s="96" t="s">
        <v>92</v>
      </c>
      <c r="H1335" s="96" t="s">
        <v>1351</v>
      </c>
      <c r="I1335" s="96" t="s">
        <v>204</v>
      </c>
      <c r="J1335" s="96" t="s">
        <v>97</v>
      </c>
      <c r="K1335" s="96" t="s">
        <v>217</v>
      </c>
      <c r="L1335">
        <v>31</v>
      </c>
      <c r="M1335" t="s">
        <v>24</v>
      </c>
      <c r="N1335" t="s">
        <v>25</v>
      </c>
      <c r="O1335" t="s">
        <v>170</v>
      </c>
      <c r="P1335">
        <v>2025</v>
      </c>
    </row>
    <row r="1336" spans="1:16" hidden="1" x14ac:dyDescent="0.25">
      <c r="A1336" s="96" t="s">
        <v>2</v>
      </c>
      <c r="B1336" s="96" t="s">
        <v>322</v>
      </c>
      <c r="C1336" s="96" t="s">
        <v>4849</v>
      </c>
      <c r="D1336" s="96" t="s">
        <v>10</v>
      </c>
      <c r="E1336" s="43">
        <v>45852</v>
      </c>
      <c r="F1336" s="43">
        <v>45929</v>
      </c>
      <c r="G1336" s="96" t="s">
        <v>90</v>
      </c>
      <c r="H1336" s="96" t="s">
        <v>4850</v>
      </c>
      <c r="I1336" s="96" t="s">
        <v>204</v>
      </c>
      <c r="J1336" s="96" t="s">
        <v>168</v>
      </c>
      <c r="K1336" s="96" t="s">
        <v>157</v>
      </c>
      <c r="L1336">
        <v>77</v>
      </c>
      <c r="M1336" t="s">
        <v>28</v>
      </c>
      <c r="N1336" t="s">
        <v>187</v>
      </c>
      <c r="O1336" t="s">
        <v>150</v>
      </c>
      <c r="P1336">
        <v>2025</v>
      </c>
    </row>
    <row r="1337" spans="1:16" hidden="1" x14ac:dyDescent="0.25">
      <c r="A1337" s="96" t="s">
        <v>2</v>
      </c>
      <c r="B1337" s="96" t="s">
        <v>251</v>
      </c>
      <c r="C1337" s="96" t="s">
        <v>1392</v>
      </c>
      <c r="D1337" s="96" t="s">
        <v>14</v>
      </c>
      <c r="E1337" s="43">
        <v>45915</v>
      </c>
      <c r="F1337" s="43">
        <v>46026</v>
      </c>
      <c r="G1337" s="96" t="s">
        <v>95</v>
      </c>
      <c r="H1337" s="96" t="s">
        <v>1354</v>
      </c>
      <c r="I1337" s="96" t="s">
        <v>204</v>
      </c>
      <c r="J1337" s="96" t="s">
        <v>169</v>
      </c>
      <c r="K1337" s="96" t="s">
        <v>195</v>
      </c>
      <c r="L1337">
        <v>111</v>
      </c>
      <c r="M1337" t="s">
        <v>28</v>
      </c>
      <c r="N1337" t="s">
        <v>12</v>
      </c>
      <c r="O1337" t="s">
        <v>170</v>
      </c>
      <c r="P1337">
        <v>2025</v>
      </c>
    </row>
    <row r="1338" spans="1:16" x14ac:dyDescent="0.25">
      <c r="A1338" s="96" t="s">
        <v>189</v>
      </c>
      <c r="B1338" s="96" t="s">
        <v>226</v>
      </c>
      <c r="C1338" s="96" t="s">
        <v>1394</v>
      </c>
      <c r="D1338" s="96" t="s">
        <v>10</v>
      </c>
      <c r="E1338" s="43">
        <v>46034</v>
      </c>
      <c r="F1338" s="43">
        <v>46049</v>
      </c>
      <c r="G1338" s="96" t="s">
        <v>95</v>
      </c>
      <c r="H1338" s="96" t="s">
        <v>4851</v>
      </c>
      <c r="I1338" s="96" t="s">
        <v>194</v>
      </c>
      <c r="J1338" s="96" t="s">
        <v>177</v>
      </c>
      <c r="K1338" s="96" t="s">
        <v>205</v>
      </c>
      <c r="L1338">
        <v>15</v>
      </c>
      <c r="M1338" t="s">
        <v>19</v>
      </c>
      <c r="N1338" t="s">
        <v>29</v>
      </c>
      <c r="O1338" t="s">
        <v>151</v>
      </c>
      <c r="P1338">
        <v>2026</v>
      </c>
    </row>
    <row r="1339" spans="1:16" hidden="1" x14ac:dyDescent="0.25">
      <c r="A1339" s="96" t="s">
        <v>2</v>
      </c>
      <c r="B1339" s="96" t="s">
        <v>253</v>
      </c>
      <c r="C1339" s="96" t="s">
        <v>1395</v>
      </c>
      <c r="D1339" s="96" t="s">
        <v>208</v>
      </c>
      <c r="E1339" s="43">
        <v>45809</v>
      </c>
      <c r="F1339" s="43">
        <v>45916</v>
      </c>
      <c r="G1339" s="96" t="s">
        <v>95</v>
      </c>
      <c r="H1339" s="96" t="s">
        <v>4852</v>
      </c>
      <c r="I1339" s="96" t="s">
        <v>225</v>
      </c>
      <c r="J1339" s="96" t="s">
        <v>169</v>
      </c>
      <c r="K1339" s="96" t="s">
        <v>157</v>
      </c>
      <c r="L1339">
        <v>107</v>
      </c>
      <c r="M1339" t="s">
        <v>28</v>
      </c>
      <c r="N1339" t="s">
        <v>184</v>
      </c>
      <c r="O1339" t="s">
        <v>152</v>
      </c>
      <c r="P1339">
        <v>2025</v>
      </c>
    </row>
    <row r="1340" spans="1:16" hidden="1" x14ac:dyDescent="0.25">
      <c r="A1340" s="96" t="s">
        <v>2</v>
      </c>
      <c r="B1340" s="96" t="s">
        <v>247</v>
      </c>
      <c r="C1340" s="96" t="s">
        <v>1396</v>
      </c>
      <c r="D1340" s="96" t="s">
        <v>237</v>
      </c>
      <c r="E1340" s="43">
        <v>45831</v>
      </c>
      <c r="F1340" s="43">
        <v>45904</v>
      </c>
      <c r="G1340" s="96" t="s">
        <v>92</v>
      </c>
      <c r="H1340" s="96" t="s">
        <v>4853</v>
      </c>
      <c r="I1340" s="96" t="s">
        <v>228</v>
      </c>
      <c r="J1340" s="96" t="s">
        <v>199</v>
      </c>
      <c r="K1340" s="96" t="s">
        <v>217</v>
      </c>
      <c r="L1340">
        <v>73</v>
      </c>
      <c r="M1340" t="s">
        <v>28</v>
      </c>
      <c r="N1340" t="s">
        <v>184</v>
      </c>
      <c r="O1340" t="s">
        <v>150</v>
      </c>
      <c r="P1340">
        <v>2025</v>
      </c>
    </row>
    <row r="1341" spans="1:16" x14ac:dyDescent="0.25">
      <c r="A1341" s="96" t="s">
        <v>2</v>
      </c>
      <c r="B1341" s="96" t="s">
        <v>261</v>
      </c>
      <c r="C1341" s="96" t="s">
        <v>4854</v>
      </c>
      <c r="D1341" s="96" t="s">
        <v>10</v>
      </c>
      <c r="E1341" s="43">
        <v>46066</v>
      </c>
      <c r="F1341" s="43">
        <v>46148</v>
      </c>
      <c r="G1341" s="96" t="s">
        <v>92</v>
      </c>
      <c r="H1341" s="96" t="s">
        <v>4855</v>
      </c>
      <c r="I1341" s="96" t="s">
        <v>225</v>
      </c>
      <c r="J1341" s="96" t="s">
        <v>199</v>
      </c>
      <c r="K1341" s="96" t="s">
        <v>246</v>
      </c>
      <c r="L1341">
        <v>82</v>
      </c>
      <c r="M1341" t="s">
        <v>28</v>
      </c>
      <c r="N1341" t="s">
        <v>32</v>
      </c>
      <c r="O1341" t="s">
        <v>151</v>
      </c>
      <c r="P1341">
        <v>2026</v>
      </c>
    </row>
    <row r="1342" spans="1:16" hidden="1" x14ac:dyDescent="0.25">
      <c r="A1342" s="96" t="s">
        <v>2</v>
      </c>
      <c r="B1342" s="96" t="s">
        <v>257</v>
      </c>
      <c r="C1342" s="96" t="s">
        <v>1397</v>
      </c>
      <c r="D1342" s="96" t="s">
        <v>34</v>
      </c>
      <c r="E1342" s="43">
        <v>45829</v>
      </c>
      <c r="F1342" s="43">
        <v>45896</v>
      </c>
      <c r="G1342" s="96" t="s">
        <v>92</v>
      </c>
      <c r="H1342" s="96" t="s">
        <v>4856</v>
      </c>
      <c r="I1342" s="96" t="s">
        <v>204</v>
      </c>
      <c r="J1342" s="96" t="s">
        <v>229</v>
      </c>
      <c r="K1342" s="96" t="s">
        <v>200</v>
      </c>
      <c r="L1342">
        <v>67</v>
      </c>
      <c r="M1342" t="s">
        <v>28</v>
      </c>
      <c r="N1342" t="s">
        <v>184</v>
      </c>
      <c r="O1342" t="s">
        <v>151</v>
      </c>
      <c r="P1342">
        <v>2025</v>
      </c>
    </row>
    <row r="1343" spans="1:16" hidden="1" x14ac:dyDescent="0.25">
      <c r="A1343" s="96" t="s">
        <v>175</v>
      </c>
      <c r="B1343" s="96" t="s">
        <v>272</v>
      </c>
      <c r="C1343" s="96" t="s">
        <v>4857</v>
      </c>
      <c r="D1343" s="96" t="s">
        <v>192</v>
      </c>
      <c r="E1343" s="43">
        <v>45794</v>
      </c>
      <c r="F1343" s="43">
        <v>45867</v>
      </c>
      <c r="G1343" s="96" t="s">
        <v>95</v>
      </c>
      <c r="H1343" s="96" t="s">
        <v>4858</v>
      </c>
      <c r="I1343" s="96" t="s">
        <v>194</v>
      </c>
      <c r="J1343" s="96" t="s">
        <v>93</v>
      </c>
      <c r="K1343" s="96" t="s">
        <v>195</v>
      </c>
      <c r="L1343">
        <v>73</v>
      </c>
      <c r="M1343" t="s">
        <v>28</v>
      </c>
      <c r="N1343" t="s">
        <v>182</v>
      </c>
      <c r="O1343" t="s">
        <v>151</v>
      </c>
      <c r="P1343">
        <v>2025</v>
      </c>
    </row>
    <row r="1344" spans="1:16" hidden="1" x14ac:dyDescent="0.25">
      <c r="A1344" s="96" t="s">
        <v>2</v>
      </c>
      <c r="B1344" s="96" t="s">
        <v>221</v>
      </c>
      <c r="C1344" s="96" t="s">
        <v>4859</v>
      </c>
      <c r="D1344" s="96" t="s">
        <v>10</v>
      </c>
      <c r="E1344" s="43">
        <v>45875</v>
      </c>
      <c r="F1344" s="43">
        <v>45908</v>
      </c>
      <c r="G1344" s="96" t="s">
        <v>90</v>
      </c>
      <c r="H1344" s="96" t="s">
        <v>4860</v>
      </c>
      <c r="I1344" s="96" t="s">
        <v>225</v>
      </c>
      <c r="J1344" s="96" t="s">
        <v>176</v>
      </c>
      <c r="K1344" s="96" t="s">
        <v>230</v>
      </c>
      <c r="L1344">
        <v>33</v>
      </c>
      <c r="M1344" t="s">
        <v>24</v>
      </c>
      <c r="N1344" t="s">
        <v>8</v>
      </c>
      <c r="O1344" t="s">
        <v>170</v>
      </c>
      <c r="P1344">
        <v>2025</v>
      </c>
    </row>
    <row r="1345" spans="1:16" x14ac:dyDescent="0.25">
      <c r="A1345" s="96" t="s">
        <v>2</v>
      </c>
      <c r="B1345" s="96" t="s">
        <v>269</v>
      </c>
      <c r="C1345" s="96" t="s">
        <v>1398</v>
      </c>
      <c r="D1345" s="96" t="s">
        <v>223</v>
      </c>
      <c r="E1345" s="43">
        <v>46060</v>
      </c>
      <c r="F1345" s="43">
        <v>46076</v>
      </c>
      <c r="G1345" s="96" t="s">
        <v>95</v>
      </c>
      <c r="H1345" s="96" t="s">
        <v>4861</v>
      </c>
      <c r="I1345" s="96" t="s">
        <v>204</v>
      </c>
      <c r="J1345" s="96" t="s">
        <v>176</v>
      </c>
      <c r="K1345" s="96" t="s">
        <v>217</v>
      </c>
      <c r="L1345">
        <v>16</v>
      </c>
      <c r="M1345" t="s">
        <v>19</v>
      </c>
      <c r="N1345" t="s">
        <v>32</v>
      </c>
      <c r="O1345" t="s">
        <v>152</v>
      </c>
      <c r="P1345">
        <v>2026</v>
      </c>
    </row>
    <row r="1346" spans="1:16" hidden="1" x14ac:dyDescent="0.25">
      <c r="A1346" s="96" t="s">
        <v>2</v>
      </c>
      <c r="B1346" s="96" t="s">
        <v>257</v>
      </c>
      <c r="C1346" s="96" t="s">
        <v>1401</v>
      </c>
      <c r="D1346" s="96" t="s">
        <v>192</v>
      </c>
      <c r="E1346" s="43">
        <v>45816</v>
      </c>
      <c r="F1346" s="43">
        <v>45889</v>
      </c>
      <c r="G1346" s="96" t="s">
        <v>92</v>
      </c>
      <c r="H1346" s="96" t="s">
        <v>4862</v>
      </c>
      <c r="I1346" s="96" t="s">
        <v>228</v>
      </c>
      <c r="J1346" s="96" t="s">
        <v>176</v>
      </c>
      <c r="K1346" s="96" t="s">
        <v>210</v>
      </c>
      <c r="L1346">
        <v>73</v>
      </c>
      <c r="M1346" t="s">
        <v>28</v>
      </c>
      <c r="N1346" t="s">
        <v>184</v>
      </c>
      <c r="O1346" t="s">
        <v>151</v>
      </c>
      <c r="P1346">
        <v>2025</v>
      </c>
    </row>
    <row r="1347" spans="1:16" x14ac:dyDescent="0.25">
      <c r="A1347" s="96" t="s">
        <v>2</v>
      </c>
      <c r="B1347" s="96" t="s">
        <v>261</v>
      </c>
      <c r="C1347" s="96" t="s">
        <v>1403</v>
      </c>
      <c r="D1347" s="96" t="s">
        <v>40</v>
      </c>
      <c r="E1347" s="43">
        <v>46125</v>
      </c>
      <c r="F1347" s="43">
        <v>46147</v>
      </c>
      <c r="G1347" s="96" t="s">
        <v>92</v>
      </c>
      <c r="H1347" s="96" t="s">
        <v>1363</v>
      </c>
      <c r="I1347" s="96" t="s">
        <v>9</v>
      </c>
      <c r="J1347" s="96" t="s">
        <v>94</v>
      </c>
      <c r="K1347" s="96" t="s">
        <v>230</v>
      </c>
      <c r="L1347">
        <v>22</v>
      </c>
      <c r="M1347" t="s">
        <v>19</v>
      </c>
      <c r="N1347" t="s">
        <v>37</v>
      </c>
      <c r="O1347" t="s">
        <v>151</v>
      </c>
      <c r="P1347">
        <v>2026</v>
      </c>
    </row>
    <row r="1348" spans="1:16" hidden="1" x14ac:dyDescent="0.25">
      <c r="A1348" s="96" t="s">
        <v>175</v>
      </c>
      <c r="B1348" s="96" t="s">
        <v>253</v>
      </c>
      <c r="C1348" s="96" t="s">
        <v>1404</v>
      </c>
      <c r="D1348" s="96" t="s">
        <v>215</v>
      </c>
      <c r="E1348" s="43">
        <v>45683</v>
      </c>
      <c r="F1348" s="43">
        <v>45750</v>
      </c>
      <c r="G1348" s="96" t="s">
        <v>92</v>
      </c>
      <c r="H1348" s="96" t="s">
        <v>1364</v>
      </c>
      <c r="I1348" s="96" t="s">
        <v>157</v>
      </c>
      <c r="J1348" s="96" t="s">
        <v>165</v>
      </c>
      <c r="K1348" s="96" t="s">
        <v>210</v>
      </c>
      <c r="L1348">
        <v>67</v>
      </c>
      <c r="M1348" t="s">
        <v>28</v>
      </c>
      <c r="N1348" t="s">
        <v>181</v>
      </c>
      <c r="O1348" t="s">
        <v>152</v>
      </c>
      <c r="P1348">
        <v>2025</v>
      </c>
    </row>
    <row r="1349" spans="1:16" x14ac:dyDescent="0.25">
      <c r="A1349" s="96" t="s">
        <v>21</v>
      </c>
      <c r="B1349" s="96" t="s">
        <v>219</v>
      </c>
      <c r="C1349" s="96" t="s">
        <v>1405</v>
      </c>
      <c r="D1349" s="96" t="s">
        <v>237</v>
      </c>
      <c r="E1349" s="43">
        <v>46126</v>
      </c>
      <c r="F1349" s="43">
        <v>46128</v>
      </c>
      <c r="G1349" s="96" t="s">
        <v>92</v>
      </c>
      <c r="H1349" s="96" t="s">
        <v>4863</v>
      </c>
      <c r="I1349" s="96" t="s">
        <v>225</v>
      </c>
      <c r="J1349" s="96" t="s">
        <v>165</v>
      </c>
      <c r="K1349" s="96" t="s">
        <v>230</v>
      </c>
      <c r="L1349">
        <v>2</v>
      </c>
      <c r="M1349" t="s">
        <v>11</v>
      </c>
      <c r="N1349" t="s">
        <v>37</v>
      </c>
      <c r="O1349" t="s">
        <v>149</v>
      </c>
      <c r="P1349">
        <v>2026</v>
      </c>
    </row>
    <row r="1350" spans="1:16" hidden="1" x14ac:dyDescent="0.25">
      <c r="A1350" s="96" t="s">
        <v>2</v>
      </c>
      <c r="B1350" s="96" t="s">
        <v>213</v>
      </c>
      <c r="C1350" s="96" t="s">
        <v>4864</v>
      </c>
      <c r="D1350" s="96" t="s">
        <v>14</v>
      </c>
      <c r="E1350" s="43">
        <v>45996</v>
      </c>
      <c r="F1350" s="43">
        <v>46026</v>
      </c>
      <c r="G1350" s="96" t="s">
        <v>92</v>
      </c>
      <c r="H1350" s="96" t="s">
        <v>1366</v>
      </c>
      <c r="I1350" s="96" t="s">
        <v>9</v>
      </c>
      <c r="J1350" s="96" t="s">
        <v>91</v>
      </c>
      <c r="K1350" s="96" t="s">
        <v>157</v>
      </c>
      <c r="L1350">
        <v>30</v>
      </c>
      <c r="M1350" t="s">
        <v>19</v>
      </c>
      <c r="N1350" t="s">
        <v>25</v>
      </c>
      <c r="O1350" t="s">
        <v>149</v>
      </c>
      <c r="P1350">
        <v>2025</v>
      </c>
    </row>
    <row r="1351" spans="1:16" x14ac:dyDescent="0.25">
      <c r="A1351" s="96" t="s">
        <v>2</v>
      </c>
      <c r="B1351" s="96" t="s">
        <v>274</v>
      </c>
      <c r="C1351" s="96" t="s">
        <v>1406</v>
      </c>
      <c r="D1351" s="96" t="s">
        <v>223</v>
      </c>
      <c r="E1351" s="43">
        <v>46149</v>
      </c>
      <c r="F1351" s="43">
        <v>46150</v>
      </c>
      <c r="G1351" s="96" t="s">
        <v>92</v>
      </c>
      <c r="H1351" s="96" t="s">
        <v>1368</v>
      </c>
      <c r="I1351" s="96" t="s">
        <v>157</v>
      </c>
      <c r="J1351" s="96" t="s">
        <v>176</v>
      </c>
      <c r="K1351" s="96" t="s">
        <v>230</v>
      </c>
      <c r="L1351">
        <v>1</v>
      </c>
      <c r="M1351" t="s">
        <v>11</v>
      </c>
      <c r="N1351" t="s">
        <v>183</v>
      </c>
      <c r="O1351" t="s">
        <v>170</v>
      </c>
      <c r="P1351">
        <v>2026</v>
      </c>
    </row>
    <row r="1352" spans="1:16" hidden="1" x14ac:dyDescent="0.25">
      <c r="A1352" s="96" t="s">
        <v>171</v>
      </c>
      <c r="B1352" s="96" t="s">
        <v>280</v>
      </c>
      <c r="C1352" s="96" t="s">
        <v>1407</v>
      </c>
      <c r="D1352" s="96" t="s">
        <v>203</v>
      </c>
      <c r="E1352" s="43">
        <v>45776</v>
      </c>
      <c r="F1352" s="43">
        <v>45780</v>
      </c>
      <c r="G1352" s="96" t="s">
        <v>92</v>
      </c>
      <c r="H1352" s="96" t="s">
        <v>1370</v>
      </c>
      <c r="I1352" s="96" t="s">
        <v>228</v>
      </c>
      <c r="J1352" s="96" t="s">
        <v>176</v>
      </c>
      <c r="K1352" s="96" t="s">
        <v>210</v>
      </c>
      <c r="L1352">
        <v>4</v>
      </c>
      <c r="M1352" t="s">
        <v>11</v>
      </c>
      <c r="N1352" t="s">
        <v>185</v>
      </c>
      <c r="O1352" t="s">
        <v>170</v>
      </c>
      <c r="P1352">
        <v>2025</v>
      </c>
    </row>
    <row r="1353" spans="1:16" x14ac:dyDescent="0.25">
      <c r="A1353" s="96" t="s">
        <v>2</v>
      </c>
      <c r="B1353" s="96" t="s">
        <v>196</v>
      </c>
      <c r="C1353" s="96" t="s">
        <v>1408</v>
      </c>
      <c r="D1353" s="96" t="s">
        <v>223</v>
      </c>
      <c r="E1353" s="43">
        <v>46031</v>
      </c>
      <c r="F1353" s="43">
        <v>46115</v>
      </c>
      <c r="G1353" s="96" t="s">
        <v>90</v>
      </c>
      <c r="H1353" s="96" t="s">
        <v>4865</v>
      </c>
      <c r="I1353" s="96" t="s">
        <v>225</v>
      </c>
      <c r="J1353" s="96" t="s">
        <v>172</v>
      </c>
      <c r="K1353" s="96" t="s">
        <v>246</v>
      </c>
      <c r="L1353">
        <v>84</v>
      </c>
      <c r="M1353" t="s">
        <v>28</v>
      </c>
      <c r="N1353" t="s">
        <v>29</v>
      </c>
      <c r="O1353" t="s">
        <v>152</v>
      </c>
      <c r="P1353">
        <v>2026</v>
      </c>
    </row>
    <row r="1354" spans="1:16" hidden="1" x14ac:dyDescent="0.25">
      <c r="A1354" s="96" t="s">
        <v>2</v>
      </c>
      <c r="B1354" s="96" t="s">
        <v>280</v>
      </c>
      <c r="C1354" s="96" t="s">
        <v>1409</v>
      </c>
      <c r="D1354" s="96" t="s">
        <v>10</v>
      </c>
      <c r="E1354" s="43">
        <v>45867</v>
      </c>
      <c r="F1354" s="43">
        <v>45880</v>
      </c>
      <c r="G1354" s="96" t="s">
        <v>95</v>
      </c>
      <c r="H1354" s="96" t="s">
        <v>4866</v>
      </c>
      <c r="I1354" s="96" t="s">
        <v>204</v>
      </c>
      <c r="J1354" s="96" t="s">
        <v>94</v>
      </c>
      <c r="K1354" s="96" t="s">
        <v>230</v>
      </c>
      <c r="L1354">
        <v>13</v>
      </c>
      <c r="M1354" t="s">
        <v>15</v>
      </c>
      <c r="N1354" t="s">
        <v>187</v>
      </c>
      <c r="O1354" t="s">
        <v>170</v>
      </c>
      <c r="P1354">
        <v>2025</v>
      </c>
    </row>
    <row r="1355" spans="1:16" hidden="1" x14ac:dyDescent="0.25">
      <c r="A1355" s="96" t="s">
        <v>2</v>
      </c>
      <c r="B1355" s="96" t="s">
        <v>255</v>
      </c>
      <c r="C1355" s="96" t="s">
        <v>1410</v>
      </c>
      <c r="D1355" s="96" t="s">
        <v>192</v>
      </c>
      <c r="E1355" s="43">
        <v>45719</v>
      </c>
      <c r="F1355" s="43">
        <v>45810</v>
      </c>
      <c r="G1355" s="96" t="s">
        <v>92</v>
      </c>
      <c r="H1355" s="96" t="s">
        <v>4867</v>
      </c>
      <c r="I1355" s="96" t="s">
        <v>204</v>
      </c>
      <c r="J1355" s="96" t="s">
        <v>176</v>
      </c>
      <c r="K1355" s="96" t="s">
        <v>233</v>
      </c>
      <c r="L1355">
        <v>91</v>
      </c>
      <c r="M1355" t="s">
        <v>28</v>
      </c>
      <c r="N1355" t="s">
        <v>186</v>
      </c>
      <c r="O1355" t="s">
        <v>150</v>
      </c>
      <c r="P1355">
        <v>2025</v>
      </c>
    </row>
    <row r="1356" spans="1:16" x14ac:dyDescent="0.25">
      <c r="A1356" s="96" t="s">
        <v>2</v>
      </c>
      <c r="B1356" s="96" t="s">
        <v>269</v>
      </c>
      <c r="C1356" s="96" t="s">
        <v>1411</v>
      </c>
      <c r="D1356" s="96" t="s">
        <v>192</v>
      </c>
      <c r="E1356" s="43">
        <v>46060</v>
      </c>
      <c r="F1356" s="43">
        <v>46149</v>
      </c>
      <c r="G1356" s="96" t="s">
        <v>92</v>
      </c>
      <c r="H1356" s="96" t="s">
        <v>4868</v>
      </c>
      <c r="I1356" s="96" t="s">
        <v>225</v>
      </c>
      <c r="J1356" s="96" t="s">
        <v>169</v>
      </c>
      <c r="K1356" s="96" t="s">
        <v>246</v>
      </c>
      <c r="L1356">
        <v>89</v>
      </c>
      <c r="M1356" t="s">
        <v>28</v>
      </c>
      <c r="N1356" t="s">
        <v>32</v>
      </c>
      <c r="O1356" t="s">
        <v>152</v>
      </c>
      <c r="P1356">
        <v>2026</v>
      </c>
    </row>
    <row r="1357" spans="1:16" x14ac:dyDescent="0.25">
      <c r="A1357" s="96" t="s">
        <v>21</v>
      </c>
      <c r="B1357" s="96" t="s">
        <v>261</v>
      </c>
      <c r="C1357" s="96" t="s">
        <v>1412</v>
      </c>
      <c r="D1357" s="96" t="s">
        <v>10</v>
      </c>
      <c r="E1357" s="43">
        <v>46149</v>
      </c>
      <c r="F1357" s="43">
        <v>46151</v>
      </c>
      <c r="G1357" s="96" t="s">
        <v>90</v>
      </c>
      <c r="H1357" s="96" t="s">
        <v>4869</v>
      </c>
      <c r="I1357" s="96" t="s">
        <v>209</v>
      </c>
      <c r="J1357" s="96" t="s">
        <v>216</v>
      </c>
      <c r="K1357" s="96" t="s">
        <v>217</v>
      </c>
      <c r="L1357">
        <v>2</v>
      </c>
      <c r="M1357" t="s">
        <v>11</v>
      </c>
      <c r="N1357" t="s">
        <v>183</v>
      </c>
      <c r="O1357" t="s">
        <v>151</v>
      </c>
      <c r="P1357">
        <v>2026</v>
      </c>
    </row>
    <row r="1358" spans="1:16" hidden="1" x14ac:dyDescent="0.25">
      <c r="A1358" s="96" t="s">
        <v>171</v>
      </c>
      <c r="B1358" s="96" t="s">
        <v>257</v>
      </c>
      <c r="C1358" s="96" t="s">
        <v>1413</v>
      </c>
      <c r="D1358" s="96" t="s">
        <v>208</v>
      </c>
      <c r="E1358" s="43">
        <v>45969</v>
      </c>
      <c r="F1358" s="43">
        <v>45979</v>
      </c>
      <c r="G1358" s="96" t="s">
        <v>90</v>
      </c>
      <c r="H1358" s="96" t="s">
        <v>4870</v>
      </c>
      <c r="I1358" s="96" t="s">
        <v>209</v>
      </c>
      <c r="J1358" s="96" t="s">
        <v>94</v>
      </c>
      <c r="K1358" s="96" t="s">
        <v>210</v>
      </c>
      <c r="L1358">
        <v>10</v>
      </c>
      <c r="M1358" t="s">
        <v>15</v>
      </c>
      <c r="N1358" t="s">
        <v>20</v>
      </c>
      <c r="O1358" t="s">
        <v>151</v>
      </c>
      <c r="P1358">
        <v>2025</v>
      </c>
    </row>
    <row r="1359" spans="1:16" x14ac:dyDescent="0.25">
      <c r="A1359" s="96" t="s">
        <v>2</v>
      </c>
      <c r="B1359" s="96" t="s">
        <v>196</v>
      </c>
      <c r="C1359" s="96" t="s">
        <v>1414</v>
      </c>
      <c r="D1359" s="96" t="s">
        <v>203</v>
      </c>
      <c r="E1359" s="43">
        <v>46111</v>
      </c>
      <c r="F1359" s="43">
        <v>46122</v>
      </c>
      <c r="G1359" s="96" t="s">
        <v>95</v>
      </c>
      <c r="H1359" s="96" t="s">
        <v>4871</v>
      </c>
      <c r="I1359" s="96" t="s">
        <v>157</v>
      </c>
      <c r="J1359" s="96" t="s">
        <v>97</v>
      </c>
      <c r="K1359" s="96" t="s">
        <v>157</v>
      </c>
      <c r="L1359">
        <v>11</v>
      </c>
      <c r="M1359" t="s">
        <v>15</v>
      </c>
      <c r="N1359" t="s">
        <v>35</v>
      </c>
      <c r="O1359" t="s">
        <v>152</v>
      </c>
      <c r="P1359">
        <v>2026</v>
      </c>
    </row>
    <row r="1360" spans="1:16" hidden="1" x14ac:dyDescent="0.25">
      <c r="A1360" s="96" t="s">
        <v>2</v>
      </c>
      <c r="B1360" s="96" t="s">
        <v>257</v>
      </c>
      <c r="C1360" s="96" t="s">
        <v>1415</v>
      </c>
      <c r="D1360" s="96" t="s">
        <v>40</v>
      </c>
      <c r="E1360" s="43">
        <v>45717</v>
      </c>
      <c r="F1360" s="43">
        <v>45835</v>
      </c>
      <c r="G1360" s="96" t="s">
        <v>90</v>
      </c>
      <c r="H1360" s="96" t="s">
        <v>4872</v>
      </c>
      <c r="I1360" s="96" t="s">
        <v>9</v>
      </c>
      <c r="J1360" s="96" t="s">
        <v>94</v>
      </c>
      <c r="K1360" s="96" t="s">
        <v>195</v>
      </c>
      <c r="L1360">
        <v>118</v>
      </c>
      <c r="M1360" t="s">
        <v>28</v>
      </c>
      <c r="N1360" t="s">
        <v>186</v>
      </c>
      <c r="O1360" t="s">
        <v>151</v>
      </c>
      <c r="P1360">
        <v>2025</v>
      </c>
    </row>
    <row r="1361" spans="1:16" hidden="1" x14ac:dyDescent="0.25">
      <c r="A1361" s="96" t="s">
        <v>2</v>
      </c>
      <c r="B1361" s="96" t="s">
        <v>206</v>
      </c>
      <c r="C1361" s="96" t="s">
        <v>1416</v>
      </c>
      <c r="D1361" s="96" t="s">
        <v>34</v>
      </c>
      <c r="E1361" s="43">
        <v>45821</v>
      </c>
      <c r="F1361" s="43">
        <v>45936</v>
      </c>
      <c r="G1361" s="96" t="s">
        <v>95</v>
      </c>
      <c r="H1361" s="96" t="s">
        <v>4873</v>
      </c>
      <c r="I1361" s="96" t="s">
        <v>9</v>
      </c>
      <c r="J1361" s="96" t="s">
        <v>98</v>
      </c>
      <c r="K1361" s="96" t="s">
        <v>195</v>
      </c>
      <c r="L1361">
        <v>115</v>
      </c>
      <c r="M1361" t="s">
        <v>28</v>
      </c>
      <c r="N1361" t="s">
        <v>184</v>
      </c>
      <c r="O1361" t="s">
        <v>152</v>
      </c>
      <c r="P1361">
        <v>2025</v>
      </c>
    </row>
    <row r="1362" spans="1:16" hidden="1" x14ac:dyDescent="0.25">
      <c r="A1362" s="96" t="s">
        <v>2</v>
      </c>
      <c r="B1362" s="96" t="s">
        <v>257</v>
      </c>
      <c r="C1362" s="96" t="s">
        <v>4874</v>
      </c>
      <c r="D1362" s="96" t="s">
        <v>203</v>
      </c>
      <c r="E1362" s="43">
        <v>45959</v>
      </c>
      <c r="F1362" s="43">
        <v>46008</v>
      </c>
      <c r="G1362" s="96" t="s">
        <v>90</v>
      </c>
      <c r="H1362" s="96" t="s">
        <v>4875</v>
      </c>
      <c r="I1362" s="96" t="s">
        <v>204</v>
      </c>
      <c r="J1362" s="96" t="s">
        <v>98</v>
      </c>
      <c r="K1362" s="96" t="s">
        <v>157</v>
      </c>
      <c r="L1362">
        <v>49</v>
      </c>
      <c r="M1362" t="s">
        <v>24</v>
      </c>
      <c r="N1362" t="s">
        <v>16</v>
      </c>
      <c r="O1362" t="s">
        <v>151</v>
      </c>
      <c r="P1362">
        <v>2025</v>
      </c>
    </row>
    <row r="1363" spans="1:16" hidden="1" x14ac:dyDescent="0.25">
      <c r="A1363" s="96" t="s">
        <v>2</v>
      </c>
      <c r="B1363" s="96" t="s">
        <v>251</v>
      </c>
      <c r="C1363" s="96" t="s">
        <v>4876</v>
      </c>
      <c r="D1363" s="96" t="s">
        <v>34</v>
      </c>
      <c r="E1363" s="43">
        <v>45800</v>
      </c>
      <c r="F1363" s="43">
        <v>45881</v>
      </c>
      <c r="G1363" s="96" t="s">
        <v>92</v>
      </c>
      <c r="H1363" s="96" t="s">
        <v>1375</v>
      </c>
      <c r="I1363" s="96" t="s">
        <v>228</v>
      </c>
      <c r="J1363" s="96" t="s">
        <v>174</v>
      </c>
      <c r="K1363" s="96" t="s">
        <v>233</v>
      </c>
      <c r="L1363">
        <v>81</v>
      </c>
      <c r="M1363" t="s">
        <v>28</v>
      </c>
      <c r="N1363" t="s">
        <v>182</v>
      </c>
      <c r="O1363" t="s">
        <v>170</v>
      </c>
      <c r="P1363">
        <v>2025</v>
      </c>
    </row>
    <row r="1364" spans="1:16" x14ac:dyDescent="0.25">
      <c r="A1364" s="96" t="s">
        <v>21</v>
      </c>
      <c r="B1364" s="96" t="s">
        <v>226</v>
      </c>
      <c r="C1364" s="96" t="s">
        <v>4877</v>
      </c>
      <c r="D1364" s="96" t="s">
        <v>34</v>
      </c>
      <c r="E1364" s="43">
        <v>46120</v>
      </c>
      <c r="F1364" s="43">
        <v>46146</v>
      </c>
      <c r="G1364" s="96" t="s">
        <v>90</v>
      </c>
      <c r="H1364" s="96" t="s">
        <v>1377</v>
      </c>
      <c r="I1364" s="96" t="s">
        <v>225</v>
      </c>
      <c r="J1364" s="96" t="s">
        <v>177</v>
      </c>
      <c r="K1364" s="96" t="s">
        <v>205</v>
      </c>
      <c r="L1364">
        <v>26</v>
      </c>
      <c r="M1364" t="s">
        <v>19</v>
      </c>
      <c r="N1364" t="s">
        <v>37</v>
      </c>
      <c r="O1364" t="s">
        <v>151</v>
      </c>
      <c r="P1364">
        <v>2026</v>
      </c>
    </row>
    <row r="1365" spans="1:16" hidden="1" x14ac:dyDescent="0.25">
      <c r="A1365" s="96" t="s">
        <v>2</v>
      </c>
      <c r="B1365" s="96" t="s">
        <v>206</v>
      </c>
      <c r="C1365" s="96" t="s">
        <v>1417</v>
      </c>
      <c r="D1365" s="96" t="s">
        <v>208</v>
      </c>
      <c r="E1365" s="43">
        <v>45897</v>
      </c>
      <c r="F1365" s="43">
        <v>45936</v>
      </c>
      <c r="G1365" s="96" t="s">
        <v>92</v>
      </c>
      <c r="H1365" s="96" t="s">
        <v>4878</v>
      </c>
      <c r="I1365" s="96" t="s">
        <v>9</v>
      </c>
      <c r="J1365" s="96" t="s">
        <v>169</v>
      </c>
      <c r="K1365" s="96" t="s">
        <v>157</v>
      </c>
      <c r="L1365">
        <v>39</v>
      </c>
      <c r="M1365" t="s">
        <v>24</v>
      </c>
      <c r="N1365" t="s">
        <v>8</v>
      </c>
      <c r="O1365" t="s">
        <v>152</v>
      </c>
      <c r="P1365">
        <v>2025</v>
      </c>
    </row>
    <row r="1366" spans="1:16" hidden="1" x14ac:dyDescent="0.25">
      <c r="A1366" s="96" t="s">
        <v>171</v>
      </c>
      <c r="B1366" s="96" t="s">
        <v>322</v>
      </c>
      <c r="C1366" s="96" t="s">
        <v>1418</v>
      </c>
      <c r="D1366" s="96" t="s">
        <v>203</v>
      </c>
      <c r="E1366" s="43">
        <v>45679</v>
      </c>
      <c r="F1366" s="43">
        <v>45756</v>
      </c>
      <c r="G1366" s="96" t="s">
        <v>90</v>
      </c>
      <c r="H1366" s="96" t="s">
        <v>4879</v>
      </c>
      <c r="I1366" s="96" t="s">
        <v>157</v>
      </c>
      <c r="J1366" s="96" t="s">
        <v>96</v>
      </c>
      <c r="K1366" s="96" t="s">
        <v>205</v>
      </c>
      <c r="L1366">
        <v>77</v>
      </c>
      <c r="M1366" t="s">
        <v>28</v>
      </c>
      <c r="N1366" t="s">
        <v>181</v>
      </c>
      <c r="O1366" t="s">
        <v>150</v>
      </c>
      <c r="P1366">
        <v>2025</v>
      </c>
    </row>
    <row r="1367" spans="1:16" hidden="1" x14ac:dyDescent="0.25">
      <c r="A1367" s="96" t="s">
        <v>2</v>
      </c>
      <c r="B1367" s="96" t="s">
        <v>322</v>
      </c>
      <c r="C1367" s="96" t="s">
        <v>1419</v>
      </c>
      <c r="D1367" s="96" t="s">
        <v>208</v>
      </c>
      <c r="E1367" s="43">
        <v>45862</v>
      </c>
      <c r="F1367" s="43">
        <v>45893</v>
      </c>
      <c r="G1367" s="96" t="s">
        <v>90</v>
      </c>
      <c r="H1367" s="96" t="s">
        <v>4880</v>
      </c>
      <c r="I1367" s="96" t="s">
        <v>157</v>
      </c>
      <c r="J1367" s="96" t="s">
        <v>229</v>
      </c>
      <c r="K1367" s="96" t="s">
        <v>210</v>
      </c>
      <c r="L1367">
        <v>31</v>
      </c>
      <c r="M1367" t="s">
        <v>24</v>
      </c>
      <c r="N1367" t="s">
        <v>187</v>
      </c>
      <c r="O1367" t="s">
        <v>150</v>
      </c>
      <c r="P1367">
        <v>2025</v>
      </c>
    </row>
    <row r="1368" spans="1:16" hidden="1" x14ac:dyDescent="0.25">
      <c r="A1368" s="96" t="s">
        <v>2</v>
      </c>
      <c r="B1368" s="96" t="s">
        <v>190</v>
      </c>
      <c r="C1368" s="96" t="s">
        <v>1421</v>
      </c>
      <c r="D1368" s="96" t="s">
        <v>14</v>
      </c>
      <c r="E1368" s="43">
        <v>46005</v>
      </c>
      <c r="F1368" s="43">
        <v>46104</v>
      </c>
      <c r="G1368" s="96" t="s">
        <v>90</v>
      </c>
      <c r="H1368" s="96" t="s">
        <v>4881</v>
      </c>
      <c r="I1368" s="96" t="s">
        <v>157</v>
      </c>
      <c r="J1368" s="96" t="s">
        <v>174</v>
      </c>
      <c r="K1368" s="96" t="s">
        <v>205</v>
      </c>
      <c r="L1368">
        <v>99</v>
      </c>
      <c r="M1368" t="s">
        <v>28</v>
      </c>
      <c r="N1368" t="s">
        <v>25</v>
      </c>
      <c r="O1368" t="s">
        <v>150</v>
      </c>
      <c r="P1368">
        <v>2025</v>
      </c>
    </row>
    <row r="1369" spans="1:16" hidden="1" x14ac:dyDescent="0.25">
      <c r="A1369" s="96" t="s">
        <v>171</v>
      </c>
      <c r="B1369" s="96" t="s">
        <v>272</v>
      </c>
      <c r="C1369" s="96" t="s">
        <v>1422</v>
      </c>
      <c r="D1369" s="96" t="s">
        <v>215</v>
      </c>
      <c r="E1369" s="43">
        <v>45873</v>
      </c>
      <c r="F1369" s="43">
        <v>45986</v>
      </c>
      <c r="G1369" s="96" t="s">
        <v>92</v>
      </c>
      <c r="H1369" s="96" t="s">
        <v>4882</v>
      </c>
      <c r="I1369" s="96" t="s">
        <v>204</v>
      </c>
      <c r="J1369" s="96" t="s">
        <v>176</v>
      </c>
      <c r="K1369" s="96" t="s">
        <v>195</v>
      </c>
      <c r="L1369">
        <v>113</v>
      </c>
      <c r="M1369" t="s">
        <v>28</v>
      </c>
      <c r="N1369" t="s">
        <v>8</v>
      </c>
      <c r="O1369" t="s">
        <v>151</v>
      </c>
      <c r="P1369">
        <v>2025</v>
      </c>
    </row>
    <row r="1370" spans="1:16" hidden="1" x14ac:dyDescent="0.25">
      <c r="A1370" s="96" t="s">
        <v>2</v>
      </c>
      <c r="B1370" s="96" t="s">
        <v>257</v>
      </c>
      <c r="C1370" s="96" t="s">
        <v>4883</v>
      </c>
      <c r="D1370" s="96" t="s">
        <v>208</v>
      </c>
      <c r="E1370" s="43">
        <v>45664</v>
      </c>
      <c r="F1370" s="43">
        <v>45682</v>
      </c>
      <c r="G1370" s="96" t="s">
        <v>92</v>
      </c>
      <c r="H1370" s="96" t="s">
        <v>4884</v>
      </c>
      <c r="I1370" s="96" t="s">
        <v>157</v>
      </c>
      <c r="J1370" s="96" t="s">
        <v>98</v>
      </c>
      <c r="K1370" s="96" t="s">
        <v>246</v>
      </c>
      <c r="L1370">
        <v>18</v>
      </c>
      <c r="M1370" t="s">
        <v>19</v>
      </c>
      <c r="N1370" t="s">
        <v>181</v>
      </c>
      <c r="O1370" t="s">
        <v>151</v>
      </c>
      <c r="P1370">
        <v>2025</v>
      </c>
    </row>
    <row r="1371" spans="1:16" hidden="1" x14ac:dyDescent="0.25">
      <c r="A1371" s="96" t="s">
        <v>2</v>
      </c>
      <c r="B1371" s="96" t="s">
        <v>211</v>
      </c>
      <c r="C1371" s="96" t="s">
        <v>4885</v>
      </c>
      <c r="D1371" s="96" t="s">
        <v>40</v>
      </c>
      <c r="E1371" s="43">
        <v>45662</v>
      </c>
      <c r="F1371" s="43">
        <v>45710</v>
      </c>
      <c r="G1371" s="96" t="s">
        <v>90</v>
      </c>
      <c r="H1371" s="96" t="s">
        <v>4886</v>
      </c>
      <c r="I1371" s="96" t="s">
        <v>157</v>
      </c>
      <c r="J1371" s="96" t="s">
        <v>172</v>
      </c>
      <c r="K1371" s="96" t="s">
        <v>157</v>
      </c>
      <c r="L1371">
        <v>48</v>
      </c>
      <c r="M1371" t="s">
        <v>24</v>
      </c>
      <c r="N1371" t="s">
        <v>181</v>
      </c>
      <c r="O1371" t="s">
        <v>170</v>
      </c>
      <c r="P1371">
        <v>2025</v>
      </c>
    </row>
    <row r="1372" spans="1:16" hidden="1" x14ac:dyDescent="0.25">
      <c r="A1372" s="96" t="s">
        <v>2</v>
      </c>
      <c r="B1372" s="96" t="s">
        <v>322</v>
      </c>
      <c r="C1372" s="96" t="s">
        <v>4887</v>
      </c>
      <c r="D1372" s="96" t="s">
        <v>10</v>
      </c>
      <c r="E1372" s="43">
        <v>45663</v>
      </c>
      <c r="F1372" s="43">
        <v>45774</v>
      </c>
      <c r="G1372" s="96" t="s">
        <v>95</v>
      </c>
      <c r="H1372" s="96" t="s">
        <v>4888</v>
      </c>
      <c r="I1372" s="96" t="s">
        <v>225</v>
      </c>
      <c r="J1372" s="96" t="s">
        <v>97</v>
      </c>
      <c r="K1372" s="96" t="s">
        <v>210</v>
      </c>
      <c r="L1372">
        <v>111</v>
      </c>
      <c r="M1372" t="s">
        <v>28</v>
      </c>
      <c r="N1372" t="s">
        <v>181</v>
      </c>
      <c r="O1372" t="s">
        <v>150</v>
      </c>
      <c r="P1372">
        <v>2025</v>
      </c>
    </row>
    <row r="1373" spans="1:16" hidden="1" x14ac:dyDescent="0.25">
      <c r="A1373" s="96" t="s">
        <v>2</v>
      </c>
      <c r="B1373" s="96" t="s">
        <v>240</v>
      </c>
      <c r="C1373" s="96" t="s">
        <v>1423</v>
      </c>
      <c r="D1373" s="96" t="s">
        <v>208</v>
      </c>
      <c r="E1373" s="43">
        <v>45753</v>
      </c>
      <c r="F1373" s="43">
        <v>45804</v>
      </c>
      <c r="G1373" s="96" t="s">
        <v>92</v>
      </c>
      <c r="H1373" s="96" t="s">
        <v>4889</v>
      </c>
      <c r="I1373" s="96" t="s">
        <v>204</v>
      </c>
      <c r="J1373" s="96" t="s">
        <v>216</v>
      </c>
      <c r="K1373" s="96" t="s">
        <v>230</v>
      </c>
      <c r="L1373">
        <v>51</v>
      </c>
      <c r="M1373" t="s">
        <v>24</v>
      </c>
      <c r="N1373" t="s">
        <v>185</v>
      </c>
      <c r="O1373" t="s">
        <v>149</v>
      </c>
      <c r="P1373">
        <v>2025</v>
      </c>
    </row>
    <row r="1374" spans="1:16" hidden="1" x14ac:dyDescent="0.25">
      <c r="A1374" s="96" t="s">
        <v>2</v>
      </c>
      <c r="B1374" s="96" t="s">
        <v>253</v>
      </c>
      <c r="C1374" s="96" t="s">
        <v>4890</v>
      </c>
      <c r="D1374" s="96" t="s">
        <v>203</v>
      </c>
      <c r="E1374" s="43">
        <v>45789</v>
      </c>
      <c r="F1374" s="43">
        <v>45893</v>
      </c>
      <c r="G1374" s="96" t="s">
        <v>92</v>
      </c>
      <c r="H1374" s="96" t="s">
        <v>4891</v>
      </c>
      <c r="I1374" s="96" t="s">
        <v>228</v>
      </c>
      <c r="J1374" s="96" t="s">
        <v>96</v>
      </c>
      <c r="K1374" s="96" t="s">
        <v>230</v>
      </c>
      <c r="L1374">
        <v>104</v>
      </c>
      <c r="M1374" t="s">
        <v>28</v>
      </c>
      <c r="N1374" t="s">
        <v>182</v>
      </c>
      <c r="O1374" t="s">
        <v>152</v>
      </c>
      <c r="P1374">
        <v>2025</v>
      </c>
    </row>
    <row r="1375" spans="1:16" x14ac:dyDescent="0.25">
      <c r="A1375" s="96" t="s">
        <v>2</v>
      </c>
      <c r="B1375" s="96" t="s">
        <v>219</v>
      </c>
      <c r="C1375" s="96" t="s">
        <v>4892</v>
      </c>
      <c r="D1375" s="96" t="s">
        <v>223</v>
      </c>
      <c r="E1375" s="43">
        <v>46080</v>
      </c>
      <c r="F1375" s="43">
        <v>46146</v>
      </c>
      <c r="G1375" s="96" t="s">
        <v>90</v>
      </c>
      <c r="H1375" s="96" t="s">
        <v>4893</v>
      </c>
      <c r="I1375" s="96" t="s">
        <v>209</v>
      </c>
      <c r="J1375" s="96" t="s">
        <v>97</v>
      </c>
      <c r="K1375" s="96" t="s">
        <v>157</v>
      </c>
      <c r="L1375">
        <v>66</v>
      </c>
      <c r="M1375" t="s">
        <v>28</v>
      </c>
      <c r="N1375" t="s">
        <v>32</v>
      </c>
      <c r="O1375" t="s">
        <v>149</v>
      </c>
      <c r="P1375">
        <v>2026</v>
      </c>
    </row>
    <row r="1376" spans="1:16" hidden="1" x14ac:dyDescent="0.25">
      <c r="A1376" s="96" t="s">
        <v>171</v>
      </c>
      <c r="B1376" s="96" t="s">
        <v>213</v>
      </c>
      <c r="C1376" s="96" t="s">
        <v>4894</v>
      </c>
      <c r="D1376" s="96" t="s">
        <v>215</v>
      </c>
      <c r="E1376" s="43">
        <v>45844</v>
      </c>
      <c r="F1376" s="43">
        <v>45848</v>
      </c>
      <c r="G1376" s="96" t="s">
        <v>90</v>
      </c>
      <c r="H1376" s="96" t="s">
        <v>4895</v>
      </c>
      <c r="I1376" s="96" t="s">
        <v>209</v>
      </c>
      <c r="J1376" s="96" t="s">
        <v>165</v>
      </c>
      <c r="K1376" s="96" t="s">
        <v>217</v>
      </c>
      <c r="L1376">
        <v>4</v>
      </c>
      <c r="M1376" t="s">
        <v>11</v>
      </c>
      <c r="N1376" t="s">
        <v>187</v>
      </c>
      <c r="O1376" t="s">
        <v>149</v>
      </c>
      <c r="P1376">
        <v>2025</v>
      </c>
    </row>
    <row r="1377" spans="1:16" hidden="1" x14ac:dyDescent="0.25">
      <c r="A1377" s="96" t="s">
        <v>2</v>
      </c>
      <c r="B1377" s="96" t="s">
        <v>257</v>
      </c>
      <c r="C1377" s="96" t="s">
        <v>1424</v>
      </c>
      <c r="D1377" s="96" t="s">
        <v>34</v>
      </c>
      <c r="E1377" s="43">
        <v>45706</v>
      </c>
      <c r="F1377" s="43">
        <v>45747</v>
      </c>
      <c r="G1377" s="96" t="s">
        <v>92</v>
      </c>
      <c r="H1377" s="96" t="s">
        <v>4896</v>
      </c>
      <c r="I1377" s="96" t="s">
        <v>225</v>
      </c>
      <c r="J1377" s="96" t="s">
        <v>168</v>
      </c>
      <c r="K1377" s="96" t="s">
        <v>230</v>
      </c>
      <c r="L1377">
        <v>41</v>
      </c>
      <c r="M1377" t="s">
        <v>24</v>
      </c>
      <c r="N1377" t="s">
        <v>188</v>
      </c>
      <c r="O1377" t="s">
        <v>151</v>
      </c>
      <c r="P1377">
        <v>2025</v>
      </c>
    </row>
    <row r="1378" spans="1:16" hidden="1" x14ac:dyDescent="0.25">
      <c r="A1378" s="96" t="s">
        <v>2</v>
      </c>
      <c r="B1378" s="96" t="s">
        <v>257</v>
      </c>
      <c r="C1378" s="96" t="s">
        <v>4897</v>
      </c>
      <c r="D1378" s="96" t="s">
        <v>215</v>
      </c>
      <c r="E1378" s="43">
        <v>45811</v>
      </c>
      <c r="F1378" s="43">
        <v>45920</v>
      </c>
      <c r="G1378" s="96" t="s">
        <v>92</v>
      </c>
      <c r="H1378" s="96" t="s">
        <v>4898</v>
      </c>
      <c r="I1378" s="96" t="s">
        <v>204</v>
      </c>
      <c r="J1378" s="96" t="s">
        <v>216</v>
      </c>
      <c r="K1378" s="96" t="s">
        <v>230</v>
      </c>
      <c r="L1378">
        <v>109</v>
      </c>
      <c r="M1378" t="s">
        <v>28</v>
      </c>
      <c r="N1378" t="s">
        <v>184</v>
      </c>
      <c r="O1378" t="s">
        <v>151</v>
      </c>
      <c r="P1378">
        <v>2025</v>
      </c>
    </row>
    <row r="1379" spans="1:16" hidden="1" x14ac:dyDescent="0.25">
      <c r="A1379" s="96" t="s">
        <v>2</v>
      </c>
      <c r="B1379" s="96" t="s">
        <v>257</v>
      </c>
      <c r="C1379" s="96" t="s">
        <v>1425</v>
      </c>
      <c r="D1379" s="96" t="s">
        <v>208</v>
      </c>
      <c r="E1379" s="43">
        <v>45944</v>
      </c>
      <c r="F1379" s="43">
        <v>46003</v>
      </c>
      <c r="G1379" s="96" t="s">
        <v>92</v>
      </c>
      <c r="H1379" s="96" t="s">
        <v>4899</v>
      </c>
      <c r="I1379" s="96" t="s">
        <v>157</v>
      </c>
      <c r="J1379" s="96" t="s">
        <v>216</v>
      </c>
      <c r="K1379" s="96" t="s">
        <v>233</v>
      </c>
      <c r="L1379">
        <v>59</v>
      </c>
      <c r="M1379" t="s">
        <v>24</v>
      </c>
      <c r="N1379" t="s">
        <v>16</v>
      </c>
      <c r="O1379" t="s">
        <v>151</v>
      </c>
      <c r="P1379">
        <v>2025</v>
      </c>
    </row>
    <row r="1380" spans="1:16" hidden="1" x14ac:dyDescent="0.25">
      <c r="A1380" s="96" t="s">
        <v>2</v>
      </c>
      <c r="B1380" s="96" t="s">
        <v>240</v>
      </c>
      <c r="C1380" s="96" t="s">
        <v>1426</v>
      </c>
      <c r="D1380" s="96" t="s">
        <v>237</v>
      </c>
      <c r="E1380" s="43">
        <v>45783</v>
      </c>
      <c r="F1380" s="43">
        <v>45893</v>
      </c>
      <c r="G1380" s="96" t="s">
        <v>92</v>
      </c>
      <c r="H1380" s="96" t="s">
        <v>4900</v>
      </c>
      <c r="I1380" s="96" t="s">
        <v>194</v>
      </c>
      <c r="J1380" s="96" t="s">
        <v>94</v>
      </c>
      <c r="K1380" s="96" t="s">
        <v>205</v>
      </c>
      <c r="L1380">
        <v>110</v>
      </c>
      <c r="M1380" t="s">
        <v>28</v>
      </c>
      <c r="N1380" t="s">
        <v>182</v>
      </c>
      <c r="O1380" t="s">
        <v>149</v>
      </c>
      <c r="P1380">
        <v>2025</v>
      </c>
    </row>
    <row r="1381" spans="1:16" x14ac:dyDescent="0.25">
      <c r="A1381" s="96" t="s">
        <v>175</v>
      </c>
      <c r="B1381" s="96" t="s">
        <v>234</v>
      </c>
      <c r="C1381" s="96" t="s">
        <v>1427</v>
      </c>
      <c r="D1381" s="96" t="s">
        <v>192</v>
      </c>
      <c r="E1381" s="43">
        <v>46057</v>
      </c>
      <c r="F1381" s="43">
        <v>46099</v>
      </c>
      <c r="G1381" s="96" t="s">
        <v>95</v>
      </c>
      <c r="H1381" s="96" t="s">
        <v>1391</v>
      </c>
      <c r="I1381" s="96" t="s">
        <v>157</v>
      </c>
      <c r="J1381" s="96" t="s">
        <v>229</v>
      </c>
      <c r="K1381" s="96" t="s">
        <v>230</v>
      </c>
      <c r="L1381">
        <v>42</v>
      </c>
      <c r="M1381" t="s">
        <v>24</v>
      </c>
      <c r="N1381" t="s">
        <v>32</v>
      </c>
      <c r="O1381" t="s">
        <v>150</v>
      </c>
      <c r="P1381">
        <v>2026</v>
      </c>
    </row>
    <row r="1382" spans="1:16" x14ac:dyDescent="0.25">
      <c r="A1382" s="96" t="s">
        <v>21</v>
      </c>
      <c r="B1382" s="96" t="s">
        <v>288</v>
      </c>
      <c r="C1382" s="96" t="s">
        <v>1428</v>
      </c>
      <c r="D1382" s="96" t="s">
        <v>223</v>
      </c>
      <c r="E1382" s="43">
        <v>46149</v>
      </c>
      <c r="F1382" s="43">
        <v>46151</v>
      </c>
      <c r="G1382" s="96" t="s">
        <v>92</v>
      </c>
      <c r="H1382" s="96" t="s">
        <v>1393</v>
      </c>
      <c r="I1382" s="96" t="s">
        <v>157</v>
      </c>
      <c r="J1382" s="96" t="s">
        <v>174</v>
      </c>
      <c r="K1382" s="96" t="s">
        <v>233</v>
      </c>
      <c r="L1382">
        <v>2</v>
      </c>
      <c r="M1382" t="s">
        <v>11</v>
      </c>
      <c r="N1382" t="s">
        <v>183</v>
      </c>
      <c r="O1382" t="s">
        <v>170</v>
      </c>
      <c r="P1382">
        <v>2026</v>
      </c>
    </row>
    <row r="1383" spans="1:16" hidden="1" x14ac:dyDescent="0.25">
      <c r="A1383" s="96" t="s">
        <v>21</v>
      </c>
      <c r="B1383" s="96" t="s">
        <v>206</v>
      </c>
      <c r="C1383" s="96" t="s">
        <v>1430</v>
      </c>
      <c r="D1383" s="96" t="s">
        <v>237</v>
      </c>
      <c r="E1383" s="43">
        <v>45795</v>
      </c>
      <c r="F1383" s="43">
        <v>45884</v>
      </c>
      <c r="G1383" s="96" t="s">
        <v>92</v>
      </c>
      <c r="H1383" s="96" t="s">
        <v>4901</v>
      </c>
      <c r="I1383" s="96" t="s">
        <v>228</v>
      </c>
      <c r="J1383" s="96" t="s">
        <v>165</v>
      </c>
      <c r="K1383" s="96" t="s">
        <v>205</v>
      </c>
      <c r="L1383">
        <v>89</v>
      </c>
      <c r="M1383" t="s">
        <v>28</v>
      </c>
      <c r="N1383" t="s">
        <v>182</v>
      </c>
      <c r="O1383" t="s">
        <v>152</v>
      </c>
      <c r="P1383">
        <v>2025</v>
      </c>
    </row>
    <row r="1384" spans="1:16" hidden="1" x14ac:dyDescent="0.25">
      <c r="A1384" s="96" t="s">
        <v>2</v>
      </c>
      <c r="B1384" s="96" t="s">
        <v>240</v>
      </c>
      <c r="C1384" s="96" t="s">
        <v>1432</v>
      </c>
      <c r="D1384" s="96" t="s">
        <v>215</v>
      </c>
      <c r="E1384" s="43">
        <v>45771</v>
      </c>
      <c r="F1384" s="43">
        <v>45787</v>
      </c>
      <c r="G1384" s="96" t="s">
        <v>92</v>
      </c>
      <c r="H1384" s="96" t="s">
        <v>4902</v>
      </c>
      <c r="I1384" s="96" t="s">
        <v>209</v>
      </c>
      <c r="J1384" s="96" t="s">
        <v>173</v>
      </c>
      <c r="K1384" s="96" t="s">
        <v>210</v>
      </c>
      <c r="L1384">
        <v>16</v>
      </c>
      <c r="M1384" t="s">
        <v>19</v>
      </c>
      <c r="N1384" t="s">
        <v>185</v>
      </c>
      <c r="O1384" t="s">
        <v>149</v>
      </c>
      <c r="P1384">
        <v>2025</v>
      </c>
    </row>
    <row r="1385" spans="1:16" x14ac:dyDescent="0.25">
      <c r="A1385" s="96" t="s">
        <v>2</v>
      </c>
      <c r="B1385" s="96" t="s">
        <v>234</v>
      </c>
      <c r="C1385" s="96" t="s">
        <v>4903</v>
      </c>
      <c r="D1385" s="96" t="s">
        <v>14</v>
      </c>
      <c r="E1385" s="43">
        <v>46133</v>
      </c>
      <c r="F1385" s="43">
        <v>46146</v>
      </c>
      <c r="G1385" s="96" t="s">
        <v>92</v>
      </c>
      <c r="H1385" s="96" t="s">
        <v>4904</v>
      </c>
      <c r="I1385" s="96" t="s">
        <v>194</v>
      </c>
      <c r="J1385" s="96" t="s">
        <v>169</v>
      </c>
      <c r="K1385" s="96" t="s">
        <v>195</v>
      </c>
      <c r="L1385">
        <v>13</v>
      </c>
      <c r="M1385" t="s">
        <v>15</v>
      </c>
      <c r="N1385" t="s">
        <v>37</v>
      </c>
      <c r="O1385" t="s">
        <v>150</v>
      </c>
      <c r="P1385">
        <v>2026</v>
      </c>
    </row>
    <row r="1386" spans="1:16" x14ac:dyDescent="0.25">
      <c r="A1386" s="96" t="s">
        <v>189</v>
      </c>
      <c r="B1386" s="96" t="s">
        <v>226</v>
      </c>
      <c r="C1386" s="96" t="s">
        <v>4905</v>
      </c>
      <c r="D1386" s="96" t="s">
        <v>10</v>
      </c>
      <c r="E1386" s="43">
        <v>46125</v>
      </c>
      <c r="F1386" s="43">
        <v>46149</v>
      </c>
      <c r="G1386" s="96" t="s">
        <v>92</v>
      </c>
      <c r="H1386" s="96" t="s">
        <v>4906</v>
      </c>
      <c r="I1386" s="96" t="s">
        <v>225</v>
      </c>
      <c r="J1386" s="96" t="s">
        <v>176</v>
      </c>
      <c r="K1386" s="96" t="s">
        <v>195</v>
      </c>
      <c r="L1386">
        <v>24</v>
      </c>
      <c r="M1386" t="s">
        <v>19</v>
      </c>
      <c r="N1386" t="s">
        <v>37</v>
      </c>
      <c r="O1386" t="s">
        <v>151</v>
      </c>
      <c r="P1386">
        <v>2026</v>
      </c>
    </row>
    <row r="1387" spans="1:16" hidden="1" x14ac:dyDescent="0.25">
      <c r="A1387" s="96" t="s">
        <v>2</v>
      </c>
      <c r="B1387" s="96" t="s">
        <v>238</v>
      </c>
      <c r="C1387" s="96" t="s">
        <v>1434</v>
      </c>
      <c r="D1387" s="96" t="s">
        <v>208</v>
      </c>
      <c r="E1387" s="43">
        <v>45818</v>
      </c>
      <c r="F1387" s="43">
        <v>45840</v>
      </c>
      <c r="G1387" s="96" t="s">
        <v>92</v>
      </c>
      <c r="H1387" s="96" t="s">
        <v>4907</v>
      </c>
      <c r="I1387" s="96" t="s">
        <v>157</v>
      </c>
      <c r="J1387" s="96" t="s">
        <v>96</v>
      </c>
      <c r="K1387" s="96" t="s">
        <v>195</v>
      </c>
      <c r="L1387">
        <v>22</v>
      </c>
      <c r="M1387" t="s">
        <v>19</v>
      </c>
      <c r="N1387" t="s">
        <v>184</v>
      </c>
      <c r="O1387" t="s">
        <v>170</v>
      </c>
      <c r="P1387">
        <v>2025</v>
      </c>
    </row>
    <row r="1388" spans="1:16" hidden="1" x14ac:dyDescent="0.25">
      <c r="A1388" s="96" t="s">
        <v>2</v>
      </c>
      <c r="B1388" s="96" t="s">
        <v>257</v>
      </c>
      <c r="C1388" s="96" t="s">
        <v>1435</v>
      </c>
      <c r="D1388" s="96" t="s">
        <v>215</v>
      </c>
      <c r="E1388" s="43">
        <v>45659</v>
      </c>
      <c r="F1388" s="43">
        <v>45767</v>
      </c>
      <c r="G1388" s="96" t="s">
        <v>92</v>
      </c>
      <c r="H1388" s="96" t="s">
        <v>4908</v>
      </c>
      <c r="I1388" s="96" t="s">
        <v>157</v>
      </c>
      <c r="J1388" s="96" t="s">
        <v>169</v>
      </c>
      <c r="K1388" s="96" t="s">
        <v>200</v>
      </c>
      <c r="L1388">
        <v>108</v>
      </c>
      <c r="M1388" t="s">
        <v>28</v>
      </c>
      <c r="N1388" t="s">
        <v>181</v>
      </c>
      <c r="O1388" t="s">
        <v>151</v>
      </c>
      <c r="P1388">
        <v>2025</v>
      </c>
    </row>
    <row r="1389" spans="1:16" hidden="1" x14ac:dyDescent="0.25">
      <c r="A1389" s="96" t="s">
        <v>2</v>
      </c>
      <c r="B1389" s="96" t="s">
        <v>264</v>
      </c>
      <c r="C1389" s="96" t="s">
        <v>4909</v>
      </c>
      <c r="D1389" s="96" t="s">
        <v>223</v>
      </c>
      <c r="E1389" s="43">
        <v>45864</v>
      </c>
      <c r="F1389" s="43">
        <v>45978</v>
      </c>
      <c r="G1389" s="96" t="s">
        <v>92</v>
      </c>
      <c r="H1389" s="96" t="s">
        <v>4910</v>
      </c>
      <c r="I1389" s="96" t="s">
        <v>228</v>
      </c>
      <c r="J1389" s="96" t="s">
        <v>216</v>
      </c>
      <c r="K1389" s="96" t="s">
        <v>205</v>
      </c>
      <c r="L1389">
        <v>114</v>
      </c>
      <c r="M1389" t="s">
        <v>28</v>
      </c>
      <c r="N1389" t="s">
        <v>187</v>
      </c>
      <c r="O1389" t="s">
        <v>152</v>
      </c>
      <c r="P1389">
        <v>2025</v>
      </c>
    </row>
    <row r="1390" spans="1:16" hidden="1" x14ac:dyDescent="0.25">
      <c r="A1390" s="96" t="s">
        <v>2</v>
      </c>
      <c r="B1390" s="96" t="s">
        <v>257</v>
      </c>
      <c r="C1390" s="96" t="s">
        <v>4911</v>
      </c>
      <c r="D1390" s="96" t="s">
        <v>10</v>
      </c>
      <c r="E1390" s="43">
        <v>46019</v>
      </c>
      <c r="F1390" s="43">
        <v>46084</v>
      </c>
      <c r="G1390" s="96" t="s">
        <v>90</v>
      </c>
      <c r="H1390" s="96" t="s">
        <v>4912</v>
      </c>
      <c r="I1390" s="96" t="s">
        <v>157</v>
      </c>
      <c r="J1390" s="96" t="s">
        <v>96</v>
      </c>
      <c r="K1390" s="96" t="s">
        <v>205</v>
      </c>
      <c r="L1390">
        <v>65</v>
      </c>
      <c r="M1390" t="s">
        <v>28</v>
      </c>
      <c r="N1390" t="s">
        <v>25</v>
      </c>
      <c r="O1390" t="s">
        <v>151</v>
      </c>
      <c r="P1390">
        <v>2025</v>
      </c>
    </row>
    <row r="1391" spans="1:16" x14ac:dyDescent="0.25">
      <c r="A1391" s="96" t="s">
        <v>2</v>
      </c>
      <c r="B1391" s="96" t="s">
        <v>244</v>
      </c>
      <c r="C1391" s="96" t="s">
        <v>4913</v>
      </c>
      <c r="D1391" s="96" t="s">
        <v>14</v>
      </c>
      <c r="E1391" s="43">
        <v>46099</v>
      </c>
      <c r="F1391" s="43">
        <v>46122</v>
      </c>
      <c r="G1391" s="96" t="s">
        <v>92</v>
      </c>
      <c r="H1391" s="96" t="s">
        <v>1399</v>
      </c>
      <c r="I1391" s="96" t="s">
        <v>157</v>
      </c>
      <c r="J1391" s="96" t="s">
        <v>169</v>
      </c>
      <c r="K1391" s="96" t="s">
        <v>157</v>
      </c>
      <c r="L1391">
        <v>23</v>
      </c>
      <c r="M1391" t="s">
        <v>19</v>
      </c>
      <c r="N1391" t="s">
        <v>35</v>
      </c>
      <c r="O1391" t="s">
        <v>150</v>
      </c>
      <c r="P1391">
        <v>2026</v>
      </c>
    </row>
    <row r="1392" spans="1:16" hidden="1" x14ac:dyDescent="0.25">
      <c r="A1392" s="96" t="s">
        <v>2</v>
      </c>
      <c r="B1392" s="96" t="s">
        <v>272</v>
      </c>
      <c r="C1392" s="96" t="s">
        <v>4914</v>
      </c>
      <c r="D1392" s="96" t="s">
        <v>237</v>
      </c>
      <c r="E1392" s="43">
        <v>45723</v>
      </c>
      <c r="F1392" s="43">
        <v>45750</v>
      </c>
      <c r="G1392" s="96" t="s">
        <v>90</v>
      </c>
      <c r="H1392" s="96" t="s">
        <v>1400</v>
      </c>
      <c r="I1392" s="96" t="s">
        <v>228</v>
      </c>
      <c r="J1392" s="96" t="s">
        <v>177</v>
      </c>
      <c r="K1392" s="96" t="s">
        <v>217</v>
      </c>
      <c r="L1392">
        <v>27</v>
      </c>
      <c r="M1392" t="s">
        <v>19</v>
      </c>
      <c r="N1392" t="s">
        <v>186</v>
      </c>
      <c r="O1392" t="s">
        <v>151</v>
      </c>
      <c r="P1392">
        <v>2025</v>
      </c>
    </row>
    <row r="1393" spans="1:16" hidden="1" x14ac:dyDescent="0.25">
      <c r="A1393" s="96" t="s">
        <v>2</v>
      </c>
      <c r="B1393" s="96" t="s">
        <v>253</v>
      </c>
      <c r="C1393" s="96" t="s">
        <v>4915</v>
      </c>
      <c r="D1393" s="96" t="s">
        <v>237</v>
      </c>
      <c r="E1393" s="43">
        <v>45760</v>
      </c>
      <c r="F1393" s="43">
        <v>45850</v>
      </c>
      <c r="G1393" s="96" t="s">
        <v>92</v>
      </c>
      <c r="H1393" s="96" t="s">
        <v>1402</v>
      </c>
      <c r="I1393" s="96" t="s">
        <v>9</v>
      </c>
      <c r="J1393" s="96" t="s">
        <v>174</v>
      </c>
      <c r="K1393" s="96" t="s">
        <v>157</v>
      </c>
      <c r="L1393">
        <v>90</v>
      </c>
      <c r="M1393" t="s">
        <v>28</v>
      </c>
      <c r="N1393" t="s">
        <v>185</v>
      </c>
      <c r="O1393" t="s">
        <v>152</v>
      </c>
      <c r="P1393">
        <v>2025</v>
      </c>
    </row>
    <row r="1394" spans="1:16" hidden="1" x14ac:dyDescent="0.25">
      <c r="A1394" s="96" t="s">
        <v>2</v>
      </c>
      <c r="B1394" s="96" t="s">
        <v>253</v>
      </c>
      <c r="C1394" s="96" t="s">
        <v>1436</v>
      </c>
      <c r="D1394" s="96" t="s">
        <v>10</v>
      </c>
      <c r="E1394" s="43">
        <v>45885</v>
      </c>
      <c r="F1394" s="43">
        <v>45965</v>
      </c>
      <c r="G1394" s="96" t="s">
        <v>92</v>
      </c>
      <c r="H1394" s="96" t="s">
        <v>4916</v>
      </c>
      <c r="I1394" s="96" t="s">
        <v>157</v>
      </c>
      <c r="J1394" s="96" t="s">
        <v>93</v>
      </c>
      <c r="K1394" s="96" t="s">
        <v>210</v>
      </c>
      <c r="L1394">
        <v>80</v>
      </c>
      <c r="M1394" t="s">
        <v>28</v>
      </c>
      <c r="N1394" t="s">
        <v>8</v>
      </c>
      <c r="O1394" t="s">
        <v>152</v>
      </c>
      <c r="P1394">
        <v>2025</v>
      </c>
    </row>
    <row r="1395" spans="1:16" hidden="1" x14ac:dyDescent="0.25">
      <c r="A1395" s="96" t="s">
        <v>2</v>
      </c>
      <c r="B1395" s="96" t="s">
        <v>253</v>
      </c>
      <c r="C1395" s="96" t="s">
        <v>1437</v>
      </c>
      <c r="D1395" s="96" t="s">
        <v>208</v>
      </c>
      <c r="E1395" s="43">
        <v>45840</v>
      </c>
      <c r="F1395" s="43">
        <v>45956</v>
      </c>
      <c r="G1395" s="96" t="s">
        <v>92</v>
      </c>
      <c r="H1395" s="96" t="s">
        <v>4917</v>
      </c>
      <c r="I1395" s="96" t="s">
        <v>209</v>
      </c>
      <c r="J1395" s="96" t="s">
        <v>169</v>
      </c>
      <c r="K1395" s="96" t="s">
        <v>217</v>
      </c>
      <c r="L1395">
        <v>116</v>
      </c>
      <c r="M1395" t="s">
        <v>28</v>
      </c>
      <c r="N1395" t="s">
        <v>187</v>
      </c>
      <c r="O1395" t="s">
        <v>152</v>
      </c>
      <c r="P1395">
        <v>2025</v>
      </c>
    </row>
    <row r="1396" spans="1:16" hidden="1" x14ac:dyDescent="0.25">
      <c r="A1396" s="96" t="s">
        <v>2</v>
      </c>
      <c r="B1396" s="96" t="s">
        <v>272</v>
      </c>
      <c r="C1396" s="96" t="s">
        <v>1438</v>
      </c>
      <c r="D1396" s="96" t="s">
        <v>237</v>
      </c>
      <c r="E1396" s="43">
        <v>45841</v>
      </c>
      <c r="F1396" s="43">
        <v>45955</v>
      </c>
      <c r="G1396" s="96" t="s">
        <v>95</v>
      </c>
      <c r="H1396" s="96" t="s">
        <v>4918</v>
      </c>
      <c r="I1396" s="96" t="s">
        <v>204</v>
      </c>
      <c r="J1396" s="96" t="s">
        <v>172</v>
      </c>
      <c r="K1396" s="96" t="s">
        <v>195</v>
      </c>
      <c r="L1396">
        <v>114</v>
      </c>
      <c r="M1396" t="s">
        <v>28</v>
      </c>
      <c r="N1396" t="s">
        <v>187</v>
      </c>
      <c r="O1396" t="s">
        <v>151</v>
      </c>
      <c r="P1396">
        <v>2025</v>
      </c>
    </row>
    <row r="1397" spans="1:16" x14ac:dyDescent="0.25">
      <c r="A1397" s="96" t="s">
        <v>2</v>
      </c>
      <c r="B1397" s="96" t="s">
        <v>234</v>
      </c>
      <c r="C1397" s="96" t="s">
        <v>1439</v>
      </c>
      <c r="D1397" s="96" t="s">
        <v>203</v>
      </c>
      <c r="E1397" s="43">
        <v>46024</v>
      </c>
      <c r="F1397" s="43">
        <v>46043</v>
      </c>
      <c r="G1397" s="96" t="s">
        <v>90</v>
      </c>
      <c r="H1397" s="96" t="s">
        <v>4919</v>
      </c>
      <c r="I1397" s="96" t="s">
        <v>157</v>
      </c>
      <c r="J1397" s="96" t="s">
        <v>94</v>
      </c>
      <c r="K1397" s="96" t="s">
        <v>200</v>
      </c>
      <c r="L1397">
        <v>19</v>
      </c>
      <c r="M1397" t="s">
        <v>19</v>
      </c>
      <c r="N1397" t="s">
        <v>29</v>
      </c>
      <c r="O1397" t="s">
        <v>150</v>
      </c>
      <c r="P1397">
        <v>2026</v>
      </c>
    </row>
    <row r="1398" spans="1:16" x14ac:dyDescent="0.25">
      <c r="A1398" s="96" t="s">
        <v>2</v>
      </c>
      <c r="B1398" s="96" t="s">
        <v>201</v>
      </c>
      <c r="C1398" s="96" t="s">
        <v>1440</v>
      </c>
      <c r="D1398" s="96" t="s">
        <v>192</v>
      </c>
      <c r="E1398" s="43">
        <v>46033</v>
      </c>
      <c r="F1398" s="43">
        <v>46127</v>
      </c>
      <c r="G1398" s="96" t="s">
        <v>92</v>
      </c>
      <c r="H1398" s="96" t="s">
        <v>4920</v>
      </c>
      <c r="I1398" s="96" t="s">
        <v>204</v>
      </c>
      <c r="J1398" s="96" t="s">
        <v>168</v>
      </c>
      <c r="K1398" s="96" t="s">
        <v>210</v>
      </c>
      <c r="L1398">
        <v>94</v>
      </c>
      <c r="M1398" t="s">
        <v>28</v>
      </c>
      <c r="N1398" t="s">
        <v>29</v>
      </c>
      <c r="O1398" t="s">
        <v>170</v>
      </c>
      <c r="P1398">
        <v>2026</v>
      </c>
    </row>
    <row r="1399" spans="1:16" x14ac:dyDescent="0.25">
      <c r="A1399" s="96" t="s">
        <v>175</v>
      </c>
      <c r="B1399" s="96" t="s">
        <v>374</v>
      </c>
      <c r="C1399" s="96" t="s">
        <v>1441</v>
      </c>
      <c r="D1399" s="96" t="s">
        <v>215</v>
      </c>
      <c r="E1399" s="43">
        <v>46128</v>
      </c>
      <c r="F1399" s="43">
        <v>46136</v>
      </c>
      <c r="G1399" s="96" t="s">
        <v>92</v>
      </c>
      <c r="H1399" s="96" t="s">
        <v>4921</v>
      </c>
      <c r="I1399" s="96" t="s">
        <v>9</v>
      </c>
      <c r="J1399" s="96" t="s">
        <v>168</v>
      </c>
      <c r="K1399" s="96" t="s">
        <v>233</v>
      </c>
      <c r="L1399">
        <v>8</v>
      </c>
      <c r="M1399" t="s">
        <v>15</v>
      </c>
      <c r="N1399" t="s">
        <v>37</v>
      </c>
      <c r="O1399" t="s">
        <v>150</v>
      </c>
      <c r="P1399">
        <v>2026</v>
      </c>
    </row>
    <row r="1400" spans="1:16" hidden="1" x14ac:dyDescent="0.25">
      <c r="A1400" s="96" t="s">
        <v>2</v>
      </c>
      <c r="B1400" s="96" t="s">
        <v>206</v>
      </c>
      <c r="C1400" s="96" t="s">
        <v>1442</v>
      </c>
      <c r="D1400" s="96" t="s">
        <v>10</v>
      </c>
      <c r="E1400" s="43">
        <v>45736</v>
      </c>
      <c r="F1400" s="43">
        <v>45808</v>
      </c>
      <c r="G1400" s="96" t="s">
        <v>92</v>
      </c>
      <c r="H1400" s="96" t="s">
        <v>4922</v>
      </c>
      <c r="I1400" s="96" t="s">
        <v>204</v>
      </c>
      <c r="J1400" s="96" t="s">
        <v>174</v>
      </c>
      <c r="K1400" s="96" t="s">
        <v>195</v>
      </c>
      <c r="L1400">
        <v>72</v>
      </c>
      <c r="M1400" t="s">
        <v>28</v>
      </c>
      <c r="N1400" t="s">
        <v>186</v>
      </c>
      <c r="O1400" t="s">
        <v>152</v>
      </c>
      <c r="P1400">
        <v>2025</v>
      </c>
    </row>
    <row r="1401" spans="1:16" hidden="1" x14ac:dyDescent="0.25">
      <c r="A1401" s="96" t="s">
        <v>2</v>
      </c>
      <c r="B1401" s="96" t="s">
        <v>272</v>
      </c>
      <c r="C1401" s="96" t="s">
        <v>4923</v>
      </c>
      <c r="D1401" s="96" t="s">
        <v>208</v>
      </c>
      <c r="E1401" s="43">
        <v>45839</v>
      </c>
      <c r="F1401" s="43">
        <v>45936</v>
      </c>
      <c r="G1401" s="96" t="s">
        <v>92</v>
      </c>
      <c r="H1401" s="96" t="s">
        <v>4924</v>
      </c>
      <c r="I1401" s="96" t="s">
        <v>209</v>
      </c>
      <c r="J1401" s="96" t="s">
        <v>94</v>
      </c>
      <c r="K1401" s="96" t="s">
        <v>230</v>
      </c>
      <c r="L1401">
        <v>97</v>
      </c>
      <c r="M1401" t="s">
        <v>28</v>
      </c>
      <c r="N1401" t="s">
        <v>187</v>
      </c>
      <c r="O1401" t="s">
        <v>151</v>
      </c>
      <c r="P1401">
        <v>2025</v>
      </c>
    </row>
    <row r="1402" spans="1:16" hidden="1" x14ac:dyDescent="0.25">
      <c r="A1402" s="96" t="s">
        <v>2</v>
      </c>
      <c r="B1402" s="96" t="s">
        <v>221</v>
      </c>
      <c r="C1402" s="96" t="s">
        <v>4925</v>
      </c>
      <c r="D1402" s="96" t="s">
        <v>192</v>
      </c>
      <c r="E1402" s="43">
        <v>45830</v>
      </c>
      <c r="F1402" s="43">
        <v>45905</v>
      </c>
      <c r="G1402" s="96" t="s">
        <v>95</v>
      </c>
      <c r="H1402" s="96" t="s">
        <v>4926</v>
      </c>
      <c r="I1402" s="96" t="s">
        <v>204</v>
      </c>
      <c r="J1402" s="96" t="s">
        <v>168</v>
      </c>
      <c r="K1402" s="96" t="s">
        <v>210</v>
      </c>
      <c r="L1402">
        <v>75</v>
      </c>
      <c r="M1402" t="s">
        <v>28</v>
      </c>
      <c r="N1402" t="s">
        <v>184</v>
      </c>
      <c r="O1402" t="s">
        <v>170</v>
      </c>
      <c r="P1402">
        <v>2025</v>
      </c>
    </row>
    <row r="1403" spans="1:16" hidden="1" x14ac:dyDescent="0.25">
      <c r="A1403" s="96" t="s">
        <v>2</v>
      </c>
      <c r="B1403" s="96" t="s">
        <v>322</v>
      </c>
      <c r="C1403" s="96" t="s">
        <v>4927</v>
      </c>
      <c r="D1403" s="96" t="s">
        <v>203</v>
      </c>
      <c r="E1403" s="43">
        <v>45680</v>
      </c>
      <c r="F1403" s="43">
        <v>45783</v>
      </c>
      <c r="G1403" s="96" t="s">
        <v>92</v>
      </c>
      <c r="H1403" s="96" t="s">
        <v>4928</v>
      </c>
      <c r="I1403" s="96" t="s">
        <v>204</v>
      </c>
      <c r="J1403" s="96" t="s">
        <v>172</v>
      </c>
      <c r="K1403" s="96" t="s">
        <v>246</v>
      </c>
      <c r="L1403">
        <v>103</v>
      </c>
      <c r="M1403" t="s">
        <v>28</v>
      </c>
      <c r="N1403" t="s">
        <v>181</v>
      </c>
      <c r="O1403" t="s">
        <v>150</v>
      </c>
      <c r="P1403">
        <v>2025</v>
      </c>
    </row>
    <row r="1404" spans="1:16" hidden="1" x14ac:dyDescent="0.25">
      <c r="A1404" s="96" t="s">
        <v>2</v>
      </c>
      <c r="B1404" s="96" t="s">
        <v>213</v>
      </c>
      <c r="C1404" s="96" t="s">
        <v>1443</v>
      </c>
      <c r="D1404" s="96" t="s">
        <v>203</v>
      </c>
      <c r="E1404" s="43">
        <v>45970</v>
      </c>
      <c r="F1404" s="43">
        <v>46017</v>
      </c>
      <c r="G1404" s="96" t="s">
        <v>90</v>
      </c>
      <c r="H1404" s="96" t="s">
        <v>4929</v>
      </c>
      <c r="I1404" s="96" t="s">
        <v>209</v>
      </c>
      <c r="J1404" s="96" t="s">
        <v>229</v>
      </c>
      <c r="K1404" s="96" t="s">
        <v>205</v>
      </c>
      <c r="L1404">
        <v>47</v>
      </c>
      <c r="M1404" t="s">
        <v>24</v>
      </c>
      <c r="N1404" t="s">
        <v>20</v>
      </c>
      <c r="O1404" t="s">
        <v>149</v>
      </c>
      <c r="P1404">
        <v>2025</v>
      </c>
    </row>
    <row r="1405" spans="1:16" hidden="1" x14ac:dyDescent="0.25">
      <c r="A1405" s="96" t="s">
        <v>2</v>
      </c>
      <c r="B1405" s="96" t="s">
        <v>231</v>
      </c>
      <c r="C1405" s="96" t="s">
        <v>1444</v>
      </c>
      <c r="D1405" s="96" t="s">
        <v>237</v>
      </c>
      <c r="E1405" s="43">
        <v>45904</v>
      </c>
      <c r="F1405" s="43">
        <v>45942</v>
      </c>
      <c r="G1405" s="96" t="s">
        <v>95</v>
      </c>
      <c r="H1405" s="96" t="s">
        <v>4930</v>
      </c>
      <c r="I1405" s="96" t="s">
        <v>194</v>
      </c>
      <c r="J1405" s="96" t="s">
        <v>229</v>
      </c>
      <c r="K1405" s="96" t="s">
        <v>205</v>
      </c>
      <c r="L1405">
        <v>38</v>
      </c>
      <c r="M1405" t="s">
        <v>24</v>
      </c>
      <c r="N1405" t="s">
        <v>12</v>
      </c>
      <c r="O1405" t="s">
        <v>170</v>
      </c>
      <c r="P1405">
        <v>2025</v>
      </c>
    </row>
    <row r="1406" spans="1:16" hidden="1" x14ac:dyDescent="0.25">
      <c r="A1406" s="96" t="s">
        <v>2</v>
      </c>
      <c r="B1406" s="96" t="s">
        <v>213</v>
      </c>
      <c r="C1406" s="96" t="s">
        <v>1445</v>
      </c>
      <c r="D1406" s="96" t="s">
        <v>203</v>
      </c>
      <c r="E1406" s="43">
        <v>45986</v>
      </c>
      <c r="F1406" s="43">
        <v>46104</v>
      </c>
      <c r="G1406" s="96" t="s">
        <v>90</v>
      </c>
      <c r="H1406" s="96" t="s">
        <v>4931</v>
      </c>
      <c r="I1406" s="96" t="s">
        <v>228</v>
      </c>
      <c r="J1406" s="96" t="s">
        <v>173</v>
      </c>
      <c r="K1406" s="96" t="s">
        <v>230</v>
      </c>
      <c r="L1406">
        <v>118</v>
      </c>
      <c r="M1406" t="s">
        <v>28</v>
      </c>
      <c r="N1406" t="s">
        <v>20</v>
      </c>
      <c r="O1406" t="s">
        <v>149</v>
      </c>
      <c r="P1406">
        <v>2025</v>
      </c>
    </row>
    <row r="1407" spans="1:16" x14ac:dyDescent="0.25">
      <c r="A1407" s="96" t="s">
        <v>2</v>
      </c>
      <c r="B1407" s="96" t="s">
        <v>269</v>
      </c>
      <c r="C1407" s="96" t="s">
        <v>1446</v>
      </c>
      <c r="D1407" s="96" t="s">
        <v>237</v>
      </c>
      <c r="E1407" s="43">
        <v>46120</v>
      </c>
      <c r="F1407" s="43">
        <v>46149</v>
      </c>
      <c r="G1407" s="96" t="s">
        <v>90</v>
      </c>
      <c r="H1407" s="96" t="s">
        <v>4932</v>
      </c>
      <c r="I1407" s="96" t="s">
        <v>225</v>
      </c>
      <c r="J1407" s="96" t="s">
        <v>94</v>
      </c>
      <c r="K1407" s="96" t="s">
        <v>210</v>
      </c>
      <c r="L1407">
        <v>29</v>
      </c>
      <c r="M1407" t="s">
        <v>19</v>
      </c>
      <c r="N1407" t="s">
        <v>37</v>
      </c>
      <c r="O1407" t="s">
        <v>152</v>
      </c>
      <c r="P1407">
        <v>2026</v>
      </c>
    </row>
    <row r="1408" spans="1:16" hidden="1" x14ac:dyDescent="0.25">
      <c r="A1408" s="96" t="s">
        <v>2</v>
      </c>
      <c r="B1408" s="96" t="s">
        <v>257</v>
      </c>
      <c r="C1408" s="96" t="s">
        <v>1447</v>
      </c>
      <c r="D1408" s="96" t="s">
        <v>34</v>
      </c>
      <c r="E1408" s="43">
        <v>45731</v>
      </c>
      <c r="F1408" s="43">
        <v>45760</v>
      </c>
      <c r="G1408" s="96" t="s">
        <v>92</v>
      </c>
      <c r="H1408" s="96" t="s">
        <v>4933</v>
      </c>
      <c r="I1408" s="96" t="s">
        <v>225</v>
      </c>
      <c r="J1408" s="96" t="s">
        <v>94</v>
      </c>
      <c r="K1408" s="96" t="s">
        <v>246</v>
      </c>
      <c r="L1408">
        <v>29</v>
      </c>
      <c r="M1408" t="s">
        <v>19</v>
      </c>
      <c r="N1408" t="s">
        <v>186</v>
      </c>
      <c r="O1408" t="s">
        <v>151</v>
      </c>
      <c r="P1408">
        <v>2025</v>
      </c>
    </row>
    <row r="1409" spans="1:16" hidden="1" x14ac:dyDescent="0.25">
      <c r="A1409" s="96" t="s">
        <v>2</v>
      </c>
      <c r="B1409" s="96" t="s">
        <v>251</v>
      </c>
      <c r="C1409" s="96" t="s">
        <v>4934</v>
      </c>
      <c r="D1409" s="96" t="s">
        <v>10</v>
      </c>
      <c r="E1409" s="43">
        <v>45951</v>
      </c>
      <c r="F1409" s="43">
        <v>45959</v>
      </c>
      <c r="G1409" s="96" t="s">
        <v>92</v>
      </c>
      <c r="H1409" s="96" t="s">
        <v>4935</v>
      </c>
      <c r="I1409" s="96" t="s">
        <v>209</v>
      </c>
      <c r="J1409" s="96" t="s">
        <v>98</v>
      </c>
      <c r="K1409" s="96" t="s">
        <v>230</v>
      </c>
      <c r="L1409">
        <v>8</v>
      </c>
      <c r="M1409" t="s">
        <v>15</v>
      </c>
      <c r="N1409" t="s">
        <v>16</v>
      </c>
      <c r="O1409" t="s">
        <v>170</v>
      </c>
      <c r="P1409">
        <v>2025</v>
      </c>
    </row>
    <row r="1410" spans="1:16" x14ac:dyDescent="0.25">
      <c r="A1410" s="96" t="s">
        <v>2</v>
      </c>
      <c r="B1410" s="96" t="s">
        <v>218</v>
      </c>
      <c r="C1410" s="96" t="s">
        <v>1448</v>
      </c>
      <c r="D1410" s="96" t="s">
        <v>223</v>
      </c>
      <c r="E1410" s="43">
        <v>46137</v>
      </c>
      <c r="F1410" s="43">
        <v>46149</v>
      </c>
      <c r="G1410" s="96" t="s">
        <v>92</v>
      </c>
      <c r="H1410" s="96" t="s">
        <v>4936</v>
      </c>
      <c r="I1410" s="96" t="s">
        <v>225</v>
      </c>
      <c r="J1410" s="96" t="s">
        <v>169</v>
      </c>
      <c r="K1410" s="96" t="s">
        <v>233</v>
      </c>
      <c r="L1410">
        <v>12</v>
      </c>
      <c r="M1410" t="s">
        <v>15</v>
      </c>
      <c r="N1410" t="s">
        <v>37</v>
      </c>
      <c r="O1410" t="s">
        <v>152</v>
      </c>
      <c r="P1410">
        <v>2026</v>
      </c>
    </row>
    <row r="1411" spans="1:16" x14ac:dyDescent="0.25">
      <c r="A1411" s="96" t="s">
        <v>2</v>
      </c>
      <c r="B1411" s="96" t="s">
        <v>226</v>
      </c>
      <c r="C1411" s="96" t="s">
        <v>1449</v>
      </c>
      <c r="D1411" s="96" t="s">
        <v>223</v>
      </c>
      <c r="E1411" s="43">
        <v>46033</v>
      </c>
      <c r="F1411" s="43">
        <v>46141</v>
      </c>
      <c r="G1411" s="96" t="s">
        <v>92</v>
      </c>
      <c r="H1411" s="96" t="s">
        <v>4937</v>
      </c>
      <c r="I1411" s="96" t="s">
        <v>194</v>
      </c>
      <c r="J1411" s="96" t="s">
        <v>177</v>
      </c>
      <c r="K1411" s="96" t="s">
        <v>157</v>
      </c>
      <c r="L1411">
        <v>108</v>
      </c>
      <c r="M1411" t="s">
        <v>28</v>
      </c>
      <c r="N1411" t="s">
        <v>29</v>
      </c>
      <c r="O1411" t="s">
        <v>151</v>
      </c>
      <c r="P1411">
        <v>2026</v>
      </c>
    </row>
    <row r="1412" spans="1:16" hidden="1" x14ac:dyDescent="0.25">
      <c r="A1412" s="96" t="s">
        <v>2</v>
      </c>
      <c r="B1412" s="96" t="s">
        <v>280</v>
      </c>
      <c r="C1412" s="96" t="s">
        <v>4938</v>
      </c>
      <c r="D1412" s="96" t="s">
        <v>40</v>
      </c>
      <c r="E1412" s="43">
        <v>45847</v>
      </c>
      <c r="F1412" s="43">
        <v>45913</v>
      </c>
      <c r="G1412" s="96" t="s">
        <v>90</v>
      </c>
      <c r="H1412" s="96" t="s">
        <v>4939</v>
      </c>
      <c r="I1412" s="96" t="s">
        <v>228</v>
      </c>
      <c r="J1412" s="96" t="s">
        <v>169</v>
      </c>
      <c r="K1412" s="96" t="s">
        <v>246</v>
      </c>
      <c r="L1412">
        <v>66</v>
      </c>
      <c r="M1412" t="s">
        <v>28</v>
      </c>
      <c r="N1412" t="s">
        <v>187</v>
      </c>
      <c r="O1412" t="s">
        <v>170</v>
      </c>
      <c r="P1412">
        <v>2025</v>
      </c>
    </row>
    <row r="1413" spans="1:16" hidden="1" x14ac:dyDescent="0.25">
      <c r="A1413" s="96" t="s">
        <v>2</v>
      </c>
      <c r="B1413" s="96" t="s">
        <v>322</v>
      </c>
      <c r="C1413" s="96" t="s">
        <v>4940</v>
      </c>
      <c r="D1413" s="96" t="s">
        <v>192</v>
      </c>
      <c r="E1413" s="43">
        <v>45926</v>
      </c>
      <c r="F1413" s="43">
        <v>45929</v>
      </c>
      <c r="G1413" s="96" t="s">
        <v>92</v>
      </c>
      <c r="H1413" s="96" t="s">
        <v>4941</v>
      </c>
      <c r="I1413" s="96" t="s">
        <v>194</v>
      </c>
      <c r="J1413" s="96" t="s">
        <v>199</v>
      </c>
      <c r="K1413" s="96" t="s">
        <v>210</v>
      </c>
      <c r="L1413">
        <v>3</v>
      </c>
      <c r="M1413" t="s">
        <v>11</v>
      </c>
      <c r="N1413" t="s">
        <v>12</v>
      </c>
      <c r="O1413" t="s">
        <v>150</v>
      </c>
      <c r="P1413">
        <v>2025</v>
      </c>
    </row>
    <row r="1414" spans="1:16" hidden="1" x14ac:dyDescent="0.25">
      <c r="A1414" s="96" t="s">
        <v>175</v>
      </c>
      <c r="B1414" s="96" t="s">
        <v>211</v>
      </c>
      <c r="C1414" s="96" t="s">
        <v>1450</v>
      </c>
      <c r="D1414" s="96" t="s">
        <v>237</v>
      </c>
      <c r="E1414" s="43">
        <v>45993</v>
      </c>
      <c r="F1414" s="43">
        <v>46094</v>
      </c>
      <c r="G1414" s="96" t="s">
        <v>92</v>
      </c>
      <c r="H1414" s="96" t="s">
        <v>1420</v>
      </c>
      <c r="I1414" s="96" t="s">
        <v>194</v>
      </c>
      <c r="J1414" s="96" t="s">
        <v>177</v>
      </c>
      <c r="K1414" s="96" t="s">
        <v>233</v>
      </c>
      <c r="L1414">
        <v>101</v>
      </c>
      <c r="M1414" t="s">
        <v>28</v>
      </c>
      <c r="N1414" t="s">
        <v>25</v>
      </c>
      <c r="O1414" t="s">
        <v>170</v>
      </c>
      <c r="P1414">
        <v>2025</v>
      </c>
    </row>
    <row r="1415" spans="1:16" hidden="1" x14ac:dyDescent="0.25">
      <c r="A1415" s="96" t="s">
        <v>171</v>
      </c>
      <c r="B1415" s="96" t="s">
        <v>257</v>
      </c>
      <c r="C1415" s="96" t="s">
        <v>4942</v>
      </c>
      <c r="D1415" s="96" t="s">
        <v>10</v>
      </c>
      <c r="E1415" s="43">
        <v>45919</v>
      </c>
      <c r="F1415" s="43">
        <v>45998</v>
      </c>
      <c r="G1415" s="96" t="s">
        <v>92</v>
      </c>
      <c r="H1415" s="96" t="s">
        <v>4943</v>
      </c>
      <c r="I1415" s="96" t="s">
        <v>157</v>
      </c>
      <c r="J1415" s="96" t="s">
        <v>216</v>
      </c>
      <c r="K1415" s="96" t="s">
        <v>246</v>
      </c>
      <c r="L1415">
        <v>79</v>
      </c>
      <c r="M1415" t="s">
        <v>28</v>
      </c>
      <c r="N1415" t="s">
        <v>12</v>
      </c>
      <c r="O1415" t="s">
        <v>151</v>
      </c>
      <c r="P1415">
        <v>2025</v>
      </c>
    </row>
    <row r="1416" spans="1:16" hidden="1" x14ac:dyDescent="0.25">
      <c r="A1416" s="96" t="s">
        <v>2</v>
      </c>
      <c r="B1416" s="96" t="s">
        <v>206</v>
      </c>
      <c r="C1416" s="96" t="s">
        <v>4944</v>
      </c>
      <c r="D1416" s="96" t="s">
        <v>34</v>
      </c>
      <c r="E1416" s="43">
        <v>45711</v>
      </c>
      <c r="F1416" s="43">
        <v>45721</v>
      </c>
      <c r="G1416" s="96" t="s">
        <v>92</v>
      </c>
      <c r="H1416" s="96" t="s">
        <v>4945</v>
      </c>
      <c r="I1416" s="96" t="s">
        <v>225</v>
      </c>
      <c r="J1416" s="96" t="s">
        <v>174</v>
      </c>
      <c r="K1416" s="96" t="s">
        <v>195</v>
      </c>
      <c r="L1416">
        <v>10</v>
      </c>
      <c r="M1416" t="s">
        <v>15</v>
      </c>
      <c r="N1416" t="s">
        <v>188</v>
      </c>
      <c r="O1416" t="s">
        <v>152</v>
      </c>
      <c r="P1416">
        <v>2025</v>
      </c>
    </row>
    <row r="1417" spans="1:16" hidden="1" x14ac:dyDescent="0.25">
      <c r="A1417" s="96" t="s">
        <v>2</v>
      </c>
      <c r="B1417" s="96" t="s">
        <v>190</v>
      </c>
      <c r="C1417" s="96" t="s">
        <v>1451</v>
      </c>
      <c r="D1417" s="96" t="s">
        <v>223</v>
      </c>
      <c r="E1417" s="43">
        <v>45933</v>
      </c>
      <c r="F1417" s="43">
        <v>45940</v>
      </c>
      <c r="G1417" s="96" t="s">
        <v>92</v>
      </c>
      <c r="H1417" s="96" t="s">
        <v>4946</v>
      </c>
      <c r="I1417" s="96" t="s">
        <v>194</v>
      </c>
      <c r="J1417" s="96" t="s">
        <v>169</v>
      </c>
      <c r="K1417" s="96" t="s">
        <v>230</v>
      </c>
      <c r="L1417">
        <v>7</v>
      </c>
      <c r="M1417" t="s">
        <v>11</v>
      </c>
      <c r="N1417" t="s">
        <v>16</v>
      </c>
      <c r="O1417" t="s">
        <v>150</v>
      </c>
      <c r="P1417">
        <v>2025</v>
      </c>
    </row>
    <row r="1418" spans="1:16" hidden="1" x14ac:dyDescent="0.25">
      <c r="A1418" s="96" t="s">
        <v>2</v>
      </c>
      <c r="B1418" s="96" t="s">
        <v>264</v>
      </c>
      <c r="C1418" s="96" t="s">
        <v>1452</v>
      </c>
      <c r="D1418" s="96" t="s">
        <v>14</v>
      </c>
      <c r="E1418" s="43">
        <v>45726</v>
      </c>
      <c r="F1418" s="43">
        <v>45805</v>
      </c>
      <c r="G1418" s="96" t="s">
        <v>92</v>
      </c>
      <c r="H1418" s="96" t="s">
        <v>4947</v>
      </c>
      <c r="I1418" s="96" t="s">
        <v>204</v>
      </c>
      <c r="J1418" s="96" t="s">
        <v>216</v>
      </c>
      <c r="K1418" s="96" t="s">
        <v>200</v>
      </c>
      <c r="L1418">
        <v>79</v>
      </c>
      <c r="M1418" t="s">
        <v>28</v>
      </c>
      <c r="N1418" t="s">
        <v>186</v>
      </c>
      <c r="O1418" t="s">
        <v>152</v>
      </c>
      <c r="P1418">
        <v>2025</v>
      </c>
    </row>
    <row r="1419" spans="1:16" hidden="1" x14ac:dyDescent="0.25">
      <c r="A1419" s="96" t="s">
        <v>2</v>
      </c>
      <c r="B1419" s="96" t="s">
        <v>247</v>
      </c>
      <c r="C1419" s="96" t="s">
        <v>4948</v>
      </c>
      <c r="D1419" s="96" t="s">
        <v>10</v>
      </c>
      <c r="E1419" s="43">
        <v>45740</v>
      </c>
      <c r="F1419" s="43">
        <v>45817</v>
      </c>
      <c r="G1419" s="96" t="s">
        <v>92</v>
      </c>
      <c r="H1419" s="96" t="s">
        <v>4949</v>
      </c>
      <c r="I1419" s="96" t="s">
        <v>225</v>
      </c>
      <c r="J1419" s="96" t="s">
        <v>165</v>
      </c>
      <c r="K1419" s="96" t="s">
        <v>200</v>
      </c>
      <c r="L1419">
        <v>77</v>
      </c>
      <c r="M1419" t="s">
        <v>28</v>
      </c>
      <c r="N1419" t="s">
        <v>186</v>
      </c>
      <c r="O1419" t="s">
        <v>150</v>
      </c>
      <c r="P1419">
        <v>2025</v>
      </c>
    </row>
    <row r="1420" spans="1:16" hidden="1" x14ac:dyDescent="0.25">
      <c r="A1420" s="96" t="s">
        <v>2</v>
      </c>
      <c r="B1420" s="96" t="s">
        <v>253</v>
      </c>
      <c r="C1420" s="96" t="s">
        <v>4950</v>
      </c>
      <c r="D1420" s="96" t="s">
        <v>40</v>
      </c>
      <c r="E1420" s="43">
        <v>46019</v>
      </c>
      <c r="F1420" s="43">
        <v>46104</v>
      </c>
      <c r="G1420" s="96" t="s">
        <v>90</v>
      </c>
      <c r="H1420" s="96" t="s">
        <v>4951</v>
      </c>
      <c r="I1420" s="96" t="s">
        <v>9</v>
      </c>
      <c r="J1420" s="96" t="s">
        <v>176</v>
      </c>
      <c r="K1420" s="96" t="s">
        <v>200</v>
      </c>
      <c r="L1420">
        <v>85</v>
      </c>
      <c r="M1420" t="s">
        <v>28</v>
      </c>
      <c r="N1420" t="s">
        <v>25</v>
      </c>
      <c r="O1420" t="s">
        <v>152</v>
      </c>
      <c r="P1420">
        <v>2025</v>
      </c>
    </row>
    <row r="1421" spans="1:16" x14ac:dyDescent="0.25">
      <c r="A1421" s="96" t="s">
        <v>2</v>
      </c>
      <c r="B1421" s="96" t="s">
        <v>226</v>
      </c>
      <c r="C1421" s="96" t="s">
        <v>4952</v>
      </c>
      <c r="D1421" s="96" t="s">
        <v>203</v>
      </c>
      <c r="E1421" s="43">
        <v>46143</v>
      </c>
      <c r="F1421" s="43">
        <v>46149</v>
      </c>
      <c r="G1421" s="96" t="s">
        <v>92</v>
      </c>
      <c r="H1421" s="96" t="s">
        <v>4953</v>
      </c>
      <c r="I1421" s="96" t="s">
        <v>204</v>
      </c>
      <c r="J1421" s="96" t="s">
        <v>165</v>
      </c>
      <c r="K1421" s="96" t="s">
        <v>246</v>
      </c>
      <c r="L1421">
        <v>6</v>
      </c>
      <c r="M1421" t="s">
        <v>11</v>
      </c>
      <c r="N1421" t="s">
        <v>183</v>
      </c>
      <c r="O1421" t="s">
        <v>151</v>
      </c>
      <c r="P1421">
        <v>2026</v>
      </c>
    </row>
    <row r="1422" spans="1:16" hidden="1" x14ac:dyDescent="0.25">
      <c r="A1422" s="96" t="s">
        <v>2</v>
      </c>
      <c r="B1422" s="96" t="s">
        <v>206</v>
      </c>
      <c r="C1422" s="96" t="s">
        <v>4954</v>
      </c>
      <c r="D1422" s="96" t="s">
        <v>237</v>
      </c>
      <c r="E1422" s="43">
        <v>45694</v>
      </c>
      <c r="F1422" s="43">
        <v>45777</v>
      </c>
      <c r="G1422" s="96" t="s">
        <v>90</v>
      </c>
      <c r="H1422" s="96" t="s">
        <v>4955</v>
      </c>
      <c r="I1422" s="96" t="s">
        <v>209</v>
      </c>
      <c r="J1422" s="96" t="s">
        <v>177</v>
      </c>
      <c r="K1422" s="96" t="s">
        <v>230</v>
      </c>
      <c r="L1422">
        <v>83</v>
      </c>
      <c r="M1422" t="s">
        <v>28</v>
      </c>
      <c r="N1422" t="s">
        <v>188</v>
      </c>
      <c r="O1422" t="s">
        <v>152</v>
      </c>
      <c r="P1422">
        <v>2025</v>
      </c>
    </row>
    <row r="1423" spans="1:16" x14ac:dyDescent="0.25">
      <c r="A1423" s="96" t="s">
        <v>2</v>
      </c>
      <c r="B1423" s="96" t="s">
        <v>261</v>
      </c>
      <c r="C1423" s="96" t="s">
        <v>1453</v>
      </c>
      <c r="D1423" s="96" t="s">
        <v>203</v>
      </c>
      <c r="E1423" s="43">
        <v>46075</v>
      </c>
      <c r="F1423" s="43">
        <v>46148</v>
      </c>
      <c r="G1423" s="96" t="s">
        <v>95</v>
      </c>
      <c r="H1423" s="96" t="s">
        <v>4956</v>
      </c>
      <c r="I1423" s="96" t="s">
        <v>194</v>
      </c>
      <c r="J1423" s="96" t="s">
        <v>96</v>
      </c>
      <c r="K1423" s="96" t="s">
        <v>205</v>
      </c>
      <c r="L1423">
        <v>73</v>
      </c>
      <c r="M1423" t="s">
        <v>28</v>
      </c>
      <c r="N1423" t="s">
        <v>32</v>
      </c>
      <c r="O1423" t="s">
        <v>151</v>
      </c>
      <c r="P1423">
        <v>2026</v>
      </c>
    </row>
    <row r="1424" spans="1:16" x14ac:dyDescent="0.25">
      <c r="A1424" s="96" t="s">
        <v>171</v>
      </c>
      <c r="B1424" s="96" t="s">
        <v>302</v>
      </c>
      <c r="C1424" s="96" t="s">
        <v>1454</v>
      </c>
      <c r="D1424" s="96" t="s">
        <v>192</v>
      </c>
      <c r="E1424" s="43">
        <v>46030</v>
      </c>
      <c r="F1424" s="43">
        <v>46134</v>
      </c>
      <c r="G1424" s="96" t="s">
        <v>90</v>
      </c>
      <c r="H1424" s="96" t="s">
        <v>4957</v>
      </c>
      <c r="I1424" s="96" t="s">
        <v>209</v>
      </c>
      <c r="J1424" s="96" t="s">
        <v>176</v>
      </c>
      <c r="K1424" s="96" t="s">
        <v>210</v>
      </c>
      <c r="L1424">
        <v>104</v>
      </c>
      <c r="M1424" t="s">
        <v>28</v>
      </c>
      <c r="N1424" t="s">
        <v>29</v>
      </c>
      <c r="O1424" t="s">
        <v>150</v>
      </c>
      <c r="P1424">
        <v>2026</v>
      </c>
    </row>
    <row r="1425" spans="1:16" hidden="1" x14ac:dyDescent="0.25">
      <c r="A1425" s="96" t="s">
        <v>2</v>
      </c>
      <c r="B1425" s="96" t="s">
        <v>211</v>
      </c>
      <c r="C1425" s="96" t="s">
        <v>1456</v>
      </c>
      <c r="D1425" s="96" t="s">
        <v>237</v>
      </c>
      <c r="E1425" s="43">
        <v>45936</v>
      </c>
      <c r="F1425" s="43">
        <v>45942</v>
      </c>
      <c r="G1425" s="96" t="s">
        <v>95</v>
      </c>
      <c r="H1425" s="96" t="s">
        <v>4958</v>
      </c>
      <c r="I1425" s="96" t="s">
        <v>194</v>
      </c>
      <c r="J1425" s="96" t="s">
        <v>97</v>
      </c>
      <c r="K1425" s="96" t="s">
        <v>195</v>
      </c>
      <c r="L1425">
        <v>6</v>
      </c>
      <c r="M1425" t="s">
        <v>11</v>
      </c>
      <c r="N1425" t="s">
        <v>16</v>
      </c>
      <c r="O1425" t="s">
        <v>170</v>
      </c>
      <c r="P1425">
        <v>2025</v>
      </c>
    </row>
    <row r="1426" spans="1:16" hidden="1" x14ac:dyDescent="0.25">
      <c r="A1426" s="96" t="s">
        <v>2</v>
      </c>
      <c r="B1426" s="96" t="s">
        <v>247</v>
      </c>
      <c r="C1426" s="96" t="s">
        <v>1457</v>
      </c>
      <c r="D1426" s="96" t="s">
        <v>40</v>
      </c>
      <c r="E1426" s="43">
        <v>45738</v>
      </c>
      <c r="F1426" s="43">
        <v>45820</v>
      </c>
      <c r="G1426" s="96" t="s">
        <v>92</v>
      </c>
      <c r="H1426" s="96" t="s">
        <v>4959</v>
      </c>
      <c r="I1426" s="96" t="s">
        <v>228</v>
      </c>
      <c r="J1426" s="96" t="s">
        <v>177</v>
      </c>
      <c r="K1426" s="96" t="s">
        <v>195</v>
      </c>
      <c r="L1426">
        <v>82</v>
      </c>
      <c r="M1426" t="s">
        <v>28</v>
      </c>
      <c r="N1426" t="s">
        <v>186</v>
      </c>
      <c r="O1426" t="s">
        <v>150</v>
      </c>
      <c r="P1426">
        <v>2025</v>
      </c>
    </row>
    <row r="1427" spans="1:16" x14ac:dyDescent="0.25">
      <c r="A1427" s="96" t="s">
        <v>2</v>
      </c>
      <c r="B1427" s="96" t="s">
        <v>234</v>
      </c>
      <c r="C1427" s="96" t="s">
        <v>4960</v>
      </c>
      <c r="D1427" s="96" t="s">
        <v>14</v>
      </c>
      <c r="E1427" s="43">
        <v>46125</v>
      </c>
      <c r="F1427" s="43">
        <v>46150</v>
      </c>
      <c r="G1427" s="96" t="s">
        <v>92</v>
      </c>
      <c r="H1427" s="96" t="s">
        <v>1429</v>
      </c>
      <c r="I1427" s="96" t="s">
        <v>204</v>
      </c>
      <c r="J1427" s="96" t="s">
        <v>97</v>
      </c>
      <c r="K1427" s="96" t="s">
        <v>230</v>
      </c>
      <c r="L1427">
        <v>25</v>
      </c>
      <c r="M1427" t="s">
        <v>19</v>
      </c>
      <c r="N1427" t="s">
        <v>37</v>
      </c>
      <c r="O1427" t="s">
        <v>150</v>
      </c>
      <c r="P1427">
        <v>2026</v>
      </c>
    </row>
    <row r="1428" spans="1:16" hidden="1" x14ac:dyDescent="0.25">
      <c r="A1428" s="96" t="s">
        <v>2</v>
      </c>
      <c r="B1428" s="96" t="s">
        <v>253</v>
      </c>
      <c r="C1428" s="96" t="s">
        <v>4961</v>
      </c>
      <c r="D1428" s="96" t="s">
        <v>223</v>
      </c>
      <c r="E1428" s="43">
        <v>46014</v>
      </c>
      <c r="F1428" s="43">
        <v>46025</v>
      </c>
      <c r="G1428" s="96" t="s">
        <v>92</v>
      </c>
      <c r="H1428" s="96" t="s">
        <v>1431</v>
      </c>
      <c r="I1428" s="96" t="s">
        <v>9</v>
      </c>
      <c r="J1428" s="96" t="s">
        <v>199</v>
      </c>
      <c r="K1428" s="96" t="s">
        <v>230</v>
      </c>
      <c r="L1428">
        <v>11</v>
      </c>
      <c r="M1428" t="s">
        <v>15</v>
      </c>
      <c r="N1428" t="s">
        <v>25</v>
      </c>
      <c r="O1428" t="s">
        <v>152</v>
      </c>
      <c r="P1428">
        <v>2025</v>
      </c>
    </row>
    <row r="1429" spans="1:16" hidden="1" x14ac:dyDescent="0.25">
      <c r="A1429" s="96" t="s">
        <v>2</v>
      </c>
      <c r="B1429" s="96" t="s">
        <v>280</v>
      </c>
      <c r="C1429" s="96" t="s">
        <v>1458</v>
      </c>
      <c r="D1429" s="96" t="s">
        <v>10</v>
      </c>
      <c r="E1429" s="43">
        <v>45959</v>
      </c>
      <c r="F1429" s="43">
        <v>46018</v>
      </c>
      <c r="G1429" s="96" t="s">
        <v>92</v>
      </c>
      <c r="H1429" s="96" t="s">
        <v>1433</v>
      </c>
      <c r="I1429" s="96" t="s">
        <v>204</v>
      </c>
      <c r="J1429" s="96" t="s">
        <v>172</v>
      </c>
      <c r="K1429" s="96" t="s">
        <v>200</v>
      </c>
      <c r="L1429">
        <v>59</v>
      </c>
      <c r="M1429" t="s">
        <v>24</v>
      </c>
      <c r="N1429" t="s">
        <v>16</v>
      </c>
      <c r="O1429" t="s">
        <v>170</v>
      </c>
      <c r="P1429">
        <v>2025</v>
      </c>
    </row>
    <row r="1430" spans="1:16" hidden="1" x14ac:dyDescent="0.25">
      <c r="A1430" s="96" t="s">
        <v>189</v>
      </c>
      <c r="B1430" s="96" t="s">
        <v>322</v>
      </c>
      <c r="C1430" s="96" t="s">
        <v>4962</v>
      </c>
      <c r="D1430" s="96" t="s">
        <v>203</v>
      </c>
      <c r="E1430" s="43">
        <v>45931</v>
      </c>
      <c r="F1430" s="43">
        <v>45984</v>
      </c>
      <c r="G1430" s="96" t="s">
        <v>92</v>
      </c>
      <c r="H1430" s="96" t="s">
        <v>4963</v>
      </c>
      <c r="I1430" s="96" t="s">
        <v>194</v>
      </c>
      <c r="J1430" s="96" t="s">
        <v>199</v>
      </c>
      <c r="K1430" s="96" t="s">
        <v>195</v>
      </c>
      <c r="L1430">
        <v>53</v>
      </c>
      <c r="M1430" t="s">
        <v>24</v>
      </c>
      <c r="N1430" t="s">
        <v>16</v>
      </c>
      <c r="O1430" t="s">
        <v>150</v>
      </c>
      <c r="P1430">
        <v>2025</v>
      </c>
    </row>
    <row r="1431" spans="1:16" hidden="1" x14ac:dyDescent="0.25">
      <c r="A1431" s="96" t="s">
        <v>2</v>
      </c>
      <c r="B1431" s="96" t="s">
        <v>238</v>
      </c>
      <c r="C1431" s="96" t="s">
        <v>1460</v>
      </c>
      <c r="D1431" s="96" t="s">
        <v>237</v>
      </c>
      <c r="E1431" s="43">
        <v>45865</v>
      </c>
      <c r="F1431" s="43">
        <v>45946</v>
      </c>
      <c r="G1431" s="96" t="s">
        <v>92</v>
      </c>
      <c r="H1431" s="96" t="s">
        <v>4964</v>
      </c>
      <c r="I1431" s="96" t="s">
        <v>209</v>
      </c>
      <c r="J1431" s="96" t="s">
        <v>98</v>
      </c>
      <c r="K1431" s="96" t="s">
        <v>195</v>
      </c>
      <c r="L1431">
        <v>81</v>
      </c>
      <c r="M1431" t="s">
        <v>28</v>
      </c>
      <c r="N1431" t="s">
        <v>187</v>
      </c>
      <c r="O1431" t="s">
        <v>170</v>
      </c>
      <c r="P1431">
        <v>2025</v>
      </c>
    </row>
    <row r="1432" spans="1:16" hidden="1" x14ac:dyDescent="0.25">
      <c r="A1432" s="96" t="s">
        <v>2</v>
      </c>
      <c r="B1432" s="96" t="s">
        <v>322</v>
      </c>
      <c r="C1432" s="96" t="s">
        <v>4965</v>
      </c>
      <c r="D1432" s="96" t="s">
        <v>10</v>
      </c>
      <c r="E1432" s="43">
        <v>45685</v>
      </c>
      <c r="F1432" s="43">
        <v>45709</v>
      </c>
      <c r="G1432" s="96" t="s">
        <v>92</v>
      </c>
      <c r="H1432" s="96" t="s">
        <v>4966</v>
      </c>
      <c r="I1432" s="96" t="s">
        <v>209</v>
      </c>
      <c r="J1432" s="96" t="s">
        <v>174</v>
      </c>
      <c r="K1432" s="96" t="s">
        <v>210</v>
      </c>
      <c r="L1432">
        <v>24</v>
      </c>
      <c r="M1432" t="s">
        <v>19</v>
      </c>
      <c r="N1432" t="s">
        <v>181</v>
      </c>
      <c r="O1432" t="s">
        <v>150</v>
      </c>
      <c r="P1432">
        <v>2025</v>
      </c>
    </row>
    <row r="1433" spans="1:16" hidden="1" x14ac:dyDescent="0.25">
      <c r="A1433" s="96" t="s">
        <v>171</v>
      </c>
      <c r="B1433" s="96" t="s">
        <v>240</v>
      </c>
      <c r="C1433" s="96" t="s">
        <v>4967</v>
      </c>
      <c r="D1433" s="96" t="s">
        <v>203</v>
      </c>
      <c r="E1433" s="43">
        <v>45947</v>
      </c>
      <c r="F1433" s="43">
        <v>45966</v>
      </c>
      <c r="G1433" s="96" t="s">
        <v>92</v>
      </c>
      <c r="H1433" s="96" t="s">
        <v>4968</v>
      </c>
      <c r="I1433" s="96" t="s">
        <v>225</v>
      </c>
      <c r="J1433" s="96" t="s">
        <v>173</v>
      </c>
      <c r="K1433" s="96" t="s">
        <v>210</v>
      </c>
      <c r="L1433">
        <v>19</v>
      </c>
      <c r="M1433" t="s">
        <v>19</v>
      </c>
      <c r="N1433" t="s">
        <v>16</v>
      </c>
      <c r="O1433" t="s">
        <v>149</v>
      </c>
      <c r="P1433">
        <v>2025</v>
      </c>
    </row>
    <row r="1434" spans="1:16" x14ac:dyDescent="0.25">
      <c r="A1434" s="96" t="s">
        <v>2</v>
      </c>
      <c r="B1434" s="96" t="s">
        <v>290</v>
      </c>
      <c r="C1434" s="96" t="s">
        <v>4969</v>
      </c>
      <c r="D1434" s="96" t="s">
        <v>34</v>
      </c>
      <c r="E1434" s="43">
        <v>46094</v>
      </c>
      <c r="F1434" s="43">
        <v>46099</v>
      </c>
      <c r="G1434" s="96" t="s">
        <v>95</v>
      </c>
      <c r="H1434" s="96" t="s">
        <v>4970</v>
      </c>
      <c r="I1434" s="96" t="s">
        <v>9</v>
      </c>
      <c r="J1434" s="96" t="s">
        <v>97</v>
      </c>
      <c r="K1434" s="96" t="s">
        <v>217</v>
      </c>
      <c r="L1434">
        <v>5</v>
      </c>
      <c r="M1434" t="s">
        <v>11</v>
      </c>
      <c r="N1434" t="s">
        <v>35</v>
      </c>
      <c r="O1434" t="s">
        <v>149</v>
      </c>
      <c r="P1434">
        <v>2026</v>
      </c>
    </row>
    <row r="1435" spans="1:16" hidden="1" x14ac:dyDescent="0.25">
      <c r="A1435" s="96" t="s">
        <v>2</v>
      </c>
      <c r="B1435" s="96" t="s">
        <v>255</v>
      </c>
      <c r="C1435" s="96" t="s">
        <v>4971</v>
      </c>
      <c r="D1435" s="96" t="s">
        <v>34</v>
      </c>
      <c r="E1435" s="43">
        <v>45756</v>
      </c>
      <c r="F1435" s="43">
        <v>45786</v>
      </c>
      <c r="G1435" s="96" t="s">
        <v>92</v>
      </c>
      <c r="H1435" s="96" t="s">
        <v>4972</v>
      </c>
      <c r="I1435" s="96" t="s">
        <v>225</v>
      </c>
      <c r="J1435" s="96" t="s">
        <v>168</v>
      </c>
      <c r="K1435" s="96" t="s">
        <v>200</v>
      </c>
      <c r="L1435">
        <v>30</v>
      </c>
      <c r="M1435" t="s">
        <v>19</v>
      </c>
      <c r="N1435" t="s">
        <v>185</v>
      </c>
      <c r="O1435" t="s">
        <v>150</v>
      </c>
      <c r="P1435">
        <v>2025</v>
      </c>
    </row>
    <row r="1436" spans="1:16" x14ac:dyDescent="0.25">
      <c r="A1436" s="96" t="s">
        <v>2</v>
      </c>
      <c r="B1436" s="96" t="s">
        <v>218</v>
      </c>
      <c r="C1436" s="96" t="s">
        <v>1462</v>
      </c>
      <c r="D1436" s="96" t="s">
        <v>40</v>
      </c>
      <c r="E1436" s="43">
        <v>46128</v>
      </c>
      <c r="F1436" s="43">
        <v>46149</v>
      </c>
      <c r="G1436" s="96" t="s">
        <v>92</v>
      </c>
      <c r="H1436" s="96" t="s">
        <v>4973</v>
      </c>
      <c r="I1436" s="96" t="s">
        <v>228</v>
      </c>
      <c r="J1436" s="96" t="s">
        <v>93</v>
      </c>
      <c r="K1436" s="96" t="s">
        <v>217</v>
      </c>
      <c r="L1436">
        <v>21</v>
      </c>
      <c r="M1436" t="s">
        <v>19</v>
      </c>
      <c r="N1436" t="s">
        <v>37</v>
      </c>
      <c r="O1436" t="s">
        <v>152</v>
      </c>
      <c r="P1436">
        <v>2026</v>
      </c>
    </row>
    <row r="1437" spans="1:16" x14ac:dyDescent="0.25">
      <c r="A1437" s="96" t="s">
        <v>2</v>
      </c>
      <c r="B1437" s="96" t="s">
        <v>274</v>
      </c>
      <c r="C1437" s="96" t="s">
        <v>1463</v>
      </c>
      <c r="D1437" s="96" t="s">
        <v>192</v>
      </c>
      <c r="E1437" s="43">
        <v>46067</v>
      </c>
      <c r="F1437" s="43">
        <v>46101</v>
      </c>
      <c r="G1437" s="96" t="s">
        <v>92</v>
      </c>
      <c r="H1437" s="96" t="s">
        <v>4974</v>
      </c>
      <c r="I1437" s="96" t="s">
        <v>204</v>
      </c>
      <c r="J1437" s="96" t="s">
        <v>94</v>
      </c>
      <c r="K1437" s="96" t="s">
        <v>217</v>
      </c>
      <c r="L1437">
        <v>34</v>
      </c>
      <c r="M1437" t="s">
        <v>24</v>
      </c>
      <c r="N1437" t="s">
        <v>32</v>
      </c>
      <c r="O1437" t="s">
        <v>170</v>
      </c>
      <c r="P1437">
        <v>2026</v>
      </c>
    </row>
    <row r="1438" spans="1:16" x14ac:dyDescent="0.25">
      <c r="A1438" s="96" t="s">
        <v>2</v>
      </c>
      <c r="B1438" s="96" t="s">
        <v>269</v>
      </c>
      <c r="C1438" s="96" t="s">
        <v>1464</v>
      </c>
      <c r="D1438" s="96" t="s">
        <v>192</v>
      </c>
      <c r="E1438" s="43">
        <v>46144</v>
      </c>
      <c r="F1438" s="43">
        <v>46150</v>
      </c>
      <c r="G1438" s="96" t="s">
        <v>90</v>
      </c>
      <c r="H1438" s="96" t="s">
        <v>4975</v>
      </c>
      <c r="I1438" s="96" t="s">
        <v>194</v>
      </c>
      <c r="J1438" s="96" t="s">
        <v>94</v>
      </c>
      <c r="K1438" s="96" t="s">
        <v>200</v>
      </c>
      <c r="L1438">
        <v>6</v>
      </c>
      <c r="M1438" t="s">
        <v>11</v>
      </c>
      <c r="N1438" t="s">
        <v>183</v>
      </c>
      <c r="O1438" t="s">
        <v>152</v>
      </c>
      <c r="P1438">
        <v>2026</v>
      </c>
    </row>
    <row r="1439" spans="1:16" hidden="1" x14ac:dyDescent="0.25">
      <c r="A1439" s="96" t="s">
        <v>171</v>
      </c>
      <c r="B1439" s="96" t="s">
        <v>247</v>
      </c>
      <c r="C1439" s="96" t="s">
        <v>1465</v>
      </c>
      <c r="D1439" s="96" t="s">
        <v>40</v>
      </c>
      <c r="E1439" s="43">
        <v>45705</v>
      </c>
      <c r="F1439" s="43">
        <v>45748</v>
      </c>
      <c r="G1439" s="96" t="s">
        <v>92</v>
      </c>
      <c r="H1439" s="96" t="s">
        <v>4976</v>
      </c>
      <c r="I1439" s="96" t="s">
        <v>194</v>
      </c>
      <c r="J1439" s="96" t="s">
        <v>176</v>
      </c>
      <c r="K1439" s="96" t="s">
        <v>210</v>
      </c>
      <c r="L1439">
        <v>43</v>
      </c>
      <c r="M1439" t="s">
        <v>24</v>
      </c>
      <c r="N1439" t="s">
        <v>188</v>
      </c>
      <c r="O1439" t="s">
        <v>150</v>
      </c>
      <c r="P1439">
        <v>2025</v>
      </c>
    </row>
    <row r="1440" spans="1:16" hidden="1" x14ac:dyDescent="0.25">
      <c r="A1440" s="96" t="s">
        <v>2</v>
      </c>
      <c r="B1440" s="96" t="s">
        <v>221</v>
      </c>
      <c r="C1440" s="96" t="s">
        <v>1467</v>
      </c>
      <c r="D1440" s="96" t="s">
        <v>40</v>
      </c>
      <c r="E1440" s="43">
        <v>45784</v>
      </c>
      <c r="F1440" s="43">
        <v>45896</v>
      </c>
      <c r="G1440" s="96" t="s">
        <v>92</v>
      </c>
      <c r="H1440" s="96" t="s">
        <v>4977</v>
      </c>
      <c r="I1440" s="96" t="s">
        <v>194</v>
      </c>
      <c r="J1440" s="96" t="s">
        <v>97</v>
      </c>
      <c r="K1440" s="96" t="s">
        <v>205</v>
      </c>
      <c r="L1440">
        <v>112</v>
      </c>
      <c r="M1440" t="s">
        <v>28</v>
      </c>
      <c r="N1440" t="s">
        <v>182</v>
      </c>
      <c r="O1440" t="s">
        <v>170</v>
      </c>
      <c r="P1440">
        <v>2025</v>
      </c>
    </row>
    <row r="1441" spans="1:16" hidden="1" x14ac:dyDescent="0.25">
      <c r="A1441" s="96" t="s">
        <v>2</v>
      </c>
      <c r="B1441" s="96" t="s">
        <v>257</v>
      </c>
      <c r="C1441" s="96" t="s">
        <v>1470</v>
      </c>
      <c r="D1441" s="96" t="s">
        <v>215</v>
      </c>
      <c r="E1441" s="43">
        <v>45945</v>
      </c>
      <c r="F1441" s="43">
        <v>46020</v>
      </c>
      <c r="G1441" s="96" t="s">
        <v>90</v>
      </c>
      <c r="H1441" s="96" t="s">
        <v>4978</v>
      </c>
      <c r="I1441" s="96" t="s">
        <v>225</v>
      </c>
      <c r="J1441" s="96" t="s">
        <v>96</v>
      </c>
      <c r="K1441" s="96" t="s">
        <v>205</v>
      </c>
      <c r="L1441">
        <v>75</v>
      </c>
      <c r="M1441" t="s">
        <v>28</v>
      </c>
      <c r="N1441" t="s">
        <v>16</v>
      </c>
      <c r="O1441" t="s">
        <v>151</v>
      </c>
      <c r="P1441">
        <v>2025</v>
      </c>
    </row>
    <row r="1442" spans="1:16" x14ac:dyDescent="0.25">
      <c r="A1442" s="96" t="s">
        <v>2</v>
      </c>
      <c r="B1442" s="96" t="s">
        <v>244</v>
      </c>
      <c r="C1442" s="96" t="s">
        <v>1472</v>
      </c>
      <c r="D1442" s="96" t="s">
        <v>237</v>
      </c>
      <c r="E1442" s="43">
        <v>46122</v>
      </c>
      <c r="F1442" s="43">
        <v>46147</v>
      </c>
      <c r="G1442" s="96" t="s">
        <v>92</v>
      </c>
      <c r="H1442" s="96" t="s">
        <v>4979</v>
      </c>
      <c r="I1442" s="96" t="s">
        <v>225</v>
      </c>
      <c r="J1442" s="96" t="s">
        <v>98</v>
      </c>
      <c r="K1442" s="96" t="s">
        <v>205</v>
      </c>
      <c r="L1442">
        <v>25</v>
      </c>
      <c r="M1442" t="s">
        <v>19</v>
      </c>
      <c r="N1442" t="s">
        <v>37</v>
      </c>
      <c r="O1442" t="s">
        <v>150</v>
      </c>
      <c r="P1442">
        <v>2026</v>
      </c>
    </row>
    <row r="1443" spans="1:16" hidden="1" x14ac:dyDescent="0.25">
      <c r="A1443" s="96" t="s">
        <v>2</v>
      </c>
      <c r="B1443" s="96" t="s">
        <v>264</v>
      </c>
      <c r="C1443" s="96" t="s">
        <v>1473</v>
      </c>
      <c r="D1443" s="96" t="s">
        <v>192</v>
      </c>
      <c r="E1443" s="43">
        <v>45766</v>
      </c>
      <c r="F1443" s="43">
        <v>45851</v>
      </c>
      <c r="G1443" s="96" t="s">
        <v>92</v>
      </c>
      <c r="H1443" s="96" t="s">
        <v>4980</v>
      </c>
      <c r="I1443" s="96" t="s">
        <v>9</v>
      </c>
      <c r="J1443" s="96" t="s">
        <v>283</v>
      </c>
      <c r="K1443" s="96" t="s">
        <v>233</v>
      </c>
      <c r="L1443">
        <v>85</v>
      </c>
      <c r="M1443" t="s">
        <v>28</v>
      </c>
      <c r="N1443" t="s">
        <v>185</v>
      </c>
      <c r="O1443" t="s">
        <v>152</v>
      </c>
      <c r="P1443">
        <v>2025</v>
      </c>
    </row>
    <row r="1444" spans="1:16" hidden="1" x14ac:dyDescent="0.25">
      <c r="A1444" s="96" t="s">
        <v>2</v>
      </c>
      <c r="B1444" s="96" t="s">
        <v>253</v>
      </c>
      <c r="C1444" s="96" t="s">
        <v>4981</v>
      </c>
      <c r="D1444" s="96" t="s">
        <v>237</v>
      </c>
      <c r="E1444" s="43">
        <v>45933</v>
      </c>
      <c r="F1444" s="43">
        <v>45952</v>
      </c>
      <c r="G1444" s="96" t="s">
        <v>90</v>
      </c>
      <c r="H1444" s="96" t="s">
        <v>4982</v>
      </c>
      <c r="I1444" s="96" t="s">
        <v>9</v>
      </c>
      <c r="J1444" s="96" t="s">
        <v>97</v>
      </c>
      <c r="K1444" s="96" t="s">
        <v>205</v>
      </c>
      <c r="L1444">
        <v>19</v>
      </c>
      <c r="M1444" t="s">
        <v>19</v>
      </c>
      <c r="N1444" t="s">
        <v>16</v>
      </c>
      <c r="O1444" t="s">
        <v>152</v>
      </c>
      <c r="P1444">
        <v>2025</v>
      </c>
    </row>
    <row r="1445" spans="1:16" hidden="1" x14ac:dyDescent="0.25">
      <c r="A1445" s="96" t="s">
        <v>21</v>
      </c>
      <c r="B1445" s="96" t="s">
        <v>251</v>
      </c>
      <c r="C1445" s="96" t="s">
        <v>1474</v>
      </c>
      <c r="D1445" s="96" t="s">
        <v>14</v>
      </c>
      <c r="E1445" s="43">
        <v>45914</v>
      </c>
      <c r="F1445" s="43">
        <v>45925</v>
      </c>
      <c r="G1445" s="96" t="s">
        <v>92</v>
      </c>
      <c r="H1445" s="96" t="s">
        <v>4983</v>
      </c>
      <c r="I1445" s="96" t="s">
        <v>9</v>
      </c>
      <c r="J1445" s="96" t="s">
        <v>94</v>
      </c>
      <c r="K1445" s="96" t="s">
        <v>195</v>
      </c>
      <c r="L1445">
        <v>11</v>
      </c>
      <c r="M1445" t="s">
        <v>15</v>
      </c>
      <c r="N1445" t="s">
        <v>12</v>
      </c>
      <c r="O1445" t="s">
        <v>170</v>
      </c>
      <c r="P1445">
        <v>2025</v>
      </c>
    </row>
    <row r="1446" spans="1:16" hidden="1" x14ac:dyDescent="0.25">
      <c r="A1446" s="96" t="s">
        <v>2</v>
      </c>
      <c r="B1446" s="96" t="s">
        <v>247</v>
      </c>
      <c r="C1446" s="96" t="s">
        <v>1475</v>
      </c>
      <c r="D1446" s="96" t="s">
        <v>40</v>
      </c>
      <c r="E1446" s="43">
        <v>45764</v>
      </c>
      <c r="F1446" s="43">
        <v>45825</v>
      </c>
      <c r="G1446" s="96" t="s">
        <v>90</v>
      </c>
      <c r="H1446" s="96" t="s">
        <v>4984</v>
      </c>
      <c r="I1446" s="96" t="s">
        <v>228</v>
      </c>
      <c r="J1446" s="96" t="s">
        <v>283</v>
      </c>
      <c r="K1446" s="96" t="s">
        <v>246</v>
      </c>
      <c r="L1446">
        <v>61</v>
      </c>
      <c r="M1446" t="s">
        <v>28</v>
      </c>
      <c r="N1446" t="s">
        <v>185</v>
      </c>
      <c r="O1446" t="s">
        <v>150</v>
      </c>
      <c r="P1446">
        <v>2025</v>
      </c>
    </row>
    <row r="1447" spans="1:16" x14ac:dyDescent="0.25">
      <c r="A1447" s="96" t="s">
        <v>2</v>
      </c>
      <c r="B1447" s="96" t="s">
        <v>302</v>
      </c>
      <c r="C1447" s="96" t="s">
        <v>1477</v>
      </c>
      <c r="D1447" s="96" t="s">
        <v>14</v>
      </c>
      <c r="E1447" s="43">
        <v>46027</v>
      </c>
      <c r="F1447" s="43">
        <v>46099</v>
      </c>
      <c r="G1447" s="96" t="s">
        <v>92</v>
      </c>
      <c r="H1447" s="96" t="s">
        <v>4985</v>
      </c>
      <c r="I1447" s="96" t="s">
        <v>204</v>
      </c>
      <c r="J1447" s="96" t="s">
        <v>176</v>
      </c>
      <c r="K1447" s="96" t="s">
        <v>205</v>
      </c>
      <c r="L1447">
        <v>72</v>
      </c>
      <c r="M1447" t="s">
        <v>28</v>
      </c>
      <c r="N1447" t="s">
        <v>29</v>
      </c>
      <c r="O1447" t="s">
        <v>150</v>
      </c>
      <c r="P1447">
        <v>2026</v>
      </c>
    </row>
    <row r="1448" spans="1:16" hidden="1" x14ac:dyDescent="0.25">
      <c r="A1448" s="96" t="s">
        <v>2</v>
      </c>
      <c r="B1448" s="96" t="s">
        <v>272</v>
      </c>
      <c r="C1448" s="96" t="s">
        <v>4986</v>
      </c>
      <c r="D1448" s="96" t="s">
        <v>237</v>
      </c>
      <c r="E1448" s="43">
        <v>45810</v>
      </c>
      <c r="F1448" s="43">
        <v>45911</v>
      </c>
      <c r="G1448" s="96" t="s">
        <v>90</v>
      </c>
      <c r="H1448" s="96" t="s">
        <v>4987</v>
      </c>
      <c r="I1448" s="96" t="s">
        <v>157</v>
      </c>
      <c r="J1448" s="96" t="s">
        <v>96</v>
      </c>
      <c r="K1448" s="96" t="s">
        <v>200</v>
      </c>
      <c r="L1448">
        <v>101</v>
      </c>
      <c r="M1448" t="s">
        <v>28</v>
      </c>
      <c r="N1448" t="s">
        <v>184</v>
      </c>
      <c r="O1448" t="s">
        <v>151</v>
      </c>
      <c r="P1448">
        <v>2025</v>
      </c>
    </row>
    <row r="1449" spans="1:16" x14ac:dyDescent="0.25">
      <c r="A1449" s="96" t="s">
        <v>2</v>
      </c>
      <c r="B1449" s="96" t="s">
        <v>317</v>
      </c>
      <c r="C1449" s="96" t="s">
        <v>4988</v>
      </c>
      <c r="D1449" s="96" t="s">
        <v>10</v>
      </c>
      <c r="E1449" s="43">
        <v>46075</v>
      </c>
      <c r="F1449" s="43">
        <v>46150</v>
      </c>
      <c r="G1449" s="96" t="s">
        <v>90</v>
      </c>
      <c r="H1449" s="96" t="s">
        <v>4989</v>
      </c>
      <c r="I1449" s="96" t="s">
        <v>225</v>
      </c>
      <c r="J1449" s="96" t="s">
        <v>176</v>
      </c>
      <c r="K1449" s="96" t="s">
        <v>230</v>
      </c>
      <c r="L1449">
        <v>75</v>
      </c>
      <c r="M1449" t="s">
        <v>28</v>
      </c>
      <c r="N1449" t="s">
        <v>32</v>
      </c>
      <c r="O1449" t="s">
        <v>170</v>
      </c>
      <c r="P1449">
        <v>2026</v>
      </c>
    </row>
    <row r="1450" spans="1:16" hidden="1" x14ac:dyDescent="0.25">
      <c r="A1450" s="96" t="s">
        <v>2</v>
      </c>
      <c r="B1450" s="96" t="s">
        <v>211</v>
      </c>
      <c r="C1450" s="96" t="s">
        <v>4990</v>
      </c>
      <c r="D1450" s="96" t="s">
        <v>192</v>
      </c>
      <c r="E1450" s="43">
        <v>45998</v>
      </c>
      <c r="F1450" s="43">
        <v>46009</v>
      </c>
      <c r="G1450" s="96" t="s">
        <v>90</v>
      </c>
      <c r="H1450" s="96" t="s">
        <v>4991</v>
      </c>
      <c r="I1450" s="96" t="s">
        <v>194</v>
      </c>
      <c r="J1450" s="96" t="s">
        <v>165</v>
      </c>
      <c r="K1450" s="96" t="s">
        <v>217</v>
      </c>
      <c r="L1450">
        <v>11</v>
      </c>
      <c r="M1450" t="s">
        <v>15</v>
      </c>
      <c r="N1450" t="s">
        <v>25</v>
      </c>
      <c r="O1450" t="s">
        <v>170</v>
      </c>
      <c r="P1450">
        <v>2025</v>
      </c>
    </row>
    <row r="1451" spans="1:16" hidden="1" x14ac:dyDescent="0.25">
      <c r="A1451" s="96" t="s">
        <v>2</v>
      </c>
      <c r="B1451" s="96" t="s">
        <v>257</v>
      </c>
      <c r="C1451" s="96" t="s">
        <v>4992</v>
      </c>
      <c r="D1451" s="96" t="s">
        <v>14</v>
      </c>
      <c r="E1451" s="43">
        <v>46002</v>
      </c>
      <c r="F1451" s="43">
        <v>46006</v>
      </c>
      <c r="G1451" s="96" t="s">
        <v>92</v>
      </c>
      <c r="H1451" s="96" t="s">
        <v>4993</v>
      </c>
      <c r="I1451" s="96" t="s">
        <v>194</v>
      </c>
      <c r="J1451" s="96" t="s">
        <v>199</v>
      </c>
      <c r="K1451" s="96" t="s">
        <v>210</v>
      </c>
      <c r="L1451">
        <v>4</v>
      </c>
      <c r="M1451" t="s">
        <v>11</v>
      </c>
      <c r="N1451" t="s">
        <v>25</v>
      </c>
      <c r="O1451" t="s">
        <v>151</v>
      </c>
      <c r="P1451">
        <v>2025</v>
      </c>
    </row>
    <row r="1452" spans="1:16" hidden="1" x14ac:dyDescent="0.25">
      <c r="A1452" s="96" t="s">
        <v>2</v>
      </c>
      <c r="B1452" s="96" t="s">
        <v>251</v>
      </c>
      <c r="C1452" s="96" t="s">
        <v>1478</v>
      </c>
      <c r="D1452" s="96" t="s">
        <v>192</v>
      </c>
      <c r="E1452" s="43">
        <v>45950</v>
      </c>
      <c r="F1452" s="43">
        <v>45954</v>
      </c>
      <c r="G1452" s="96" t="s">
        <v>92</v>
      </c>
      <c r="H1452" s="96" t="s">
        <v>4994</v>
      </c>
      <c r="I1452" s="96" t="s">
        <v>9</v>
      </c>
      <c r="J1452" s="96" t="s">
        <v>165</v>
      </c>
      <c r="K1452" s="96" t="s">
        <v>205</v>
      </c>
      <c r="L1452">
        <v>4</v>
      </c>
      <c r="M1452" t="s">
        <v>11</v>
      </c>
      <c r="N1452" t="s">
        <v>16</v>
      </c>
      <c r="O1452" t="s">
        <v>170</v>
      </c>
      <c r="P1452">
        <v>2025</v>
      </c>
    </row>
    <row r="1453" spans="1:16" x14ac:dyDescent="0.25">
      <c r="A1453" s="96" t="s">
        <v>171</v>
      </c>
      <c r="B1453" s="96" t="s">
        <v>226</v>
      </c>
      <c r="C1453" s="96" t="s">
        <v>1479</v>
      </c>
      <c r="D1453" s="96" t="s">
        <v>10</v>
      </c>
      <c r="E1453" s="43">
        <v>46046</v>
      </c>
      <c r="F1453" s="43">
        <v>46060</v>
      </c>
      <c r="G1453" s="96" t="s">
        <v>92</v>
      </c>
      <c r="H1453" s="96" t="s">
        <v>4995</v>
      </c>
      <c r="I1453" s="96" t="s">
        <v>9</v>
      </c>
      <c r="J1453" s="96" t="s">
        <v>96</v>
      </c>
      <c r="K1453" s="96" t="s">
        <v>210</v>
      </c>
      <c r="L1453">
        <v>14</v>
      </c>
      <c r="M1453" t="s">
        <v>15</v>
      </c>
      <c r="N1453" t="s">
        <v>29</v>
      </c>
      <c r="O1453" t="s">
        <v>151</v>
      </c>
      <c r="P1453">
        <v>2026</v>
      </c>
    </row>
    <row r="1454" spans="1:16" x14ac:dyDescent="0.25">
      <c r="A1454" s="96" t="s">
        <v>175</v>
      </c>
      <c r="B1454" s="96" t="s">
        <v>274</v>
      </c>
      <c r="C1454" s="96" t="s">
        <v>1480</v>
      </c>
      <c r="D1454" s="96" t="s">
        <v>14</v>
      </c>
      <c r="E1454" s="43">
        <v>46032</v>
      </c>
      <c r="F1454" s="43">
        <v>46052</v>
      </c>
      <c r="G1454" s="96" t="s">
        <v>95</v>
      </c>
      <c r="H1454" s="96" t="s">
        <v>4996</v>
      </c>
      <c r="I1454" s="96" t="s">
        <v>228</v>
      </c>
      <c r="J1454" s="96" t="s">
        <v>177</v>
      </c>
      <c r="K1454" s="96" t="s">
        <v>205</v>
      </c>
      <c r="L1454">
        <v>20</v>
      </c>
      <c r="M1454" t="s">
        <v>19</v>
      </c>
      <c r="N1454" t="s">
        <v>29</v>
      </c>
      <c r="O1454" t="s">
        <v>170</v>
      </c>
      <c r="P1454">
        <v>2026</v>
      </c>
    </row>
    <row r="1455" spans="1:16" x14ac:dyDescent="0.25">
      <c r="A1455" s="96" t="s">
        <v>175</v>
      </c>
      <c r="B1455" s="96" t="s">
        <v>290</v>
      </c>
      <c r="C1455" s="96" t="s">
        <v>1481</v>
      </c>
      <c r="D1455" s="96" t="s">
        <v>208</v>
      </c>
      <c r="E1455" s="43">
        <v>46120</v>
      </c>
      <c r="F1455" s="43">
        <v>46128</v>
      </c>
      <c r="G1455" s="96" t="s">
        <v>92</v>
      </c>
      <c r="H1455" s="96" t="s">
        <v>4997</v>
      </c>
      <c r="I1455" s="96" t="s">
        <v>9</v>
      </c>
      <c r="J1455" s="96" t="s">
        <v>91</v>
      </c>
      <c r="K1455" s="96" t="s">
        <v>210</v>
      </c>
      <c r="L1455">
        <v>8</v>
      </c>
      <c r="M1455" t="s">
        <v>15</v>
      </c>
      <c r="N1455" t="s">
        <v>37</v>
      </c>
      <c r="O1455" t="s">
        <v>149</v>
      </c>
      <c r="P1455">
        <v>2026</v>
      </c>
    </row>
    <row r="1456" spans="1:16" x14ac:dyDescent="0.25">
      <c r="A1456" s="96" t="s">
        <v>171</v>
      </c>
      <c r="B1456" s="96" t="s">
        <v>218</v>
      </c>
      <c r="C1456" s="96" t="s">
        <v>1483</v>
      </c>
      <c r="D1456" s="96" t="s">
        <v>34</v>
      </c>
      <c r="E1456" s="43">
        <v>46048</v>
      </c>
      <c r="F1456" s="43">
        <v>46123</v>
      </c>
      <c r="G1456" s="96" t="s">
        <v>92</v>
      </c>
      <c r="H1456" s="96" t="s">
        <v>4998</v>
      </c>
      <c r="I1456" s="96" t="s">
        <v>228</v>
      </c>
      <c r="J1456" s="96" t="s">
        <v>98</v>
      </c>
      <c r="K1456" s="96" t="s">
        <v>233</v>
      </c>
      <c r="L1456">
        <v>75</v>
      </c>
      <c r="M1456" t="s">
        <v>28</v>
      </c>
      <c r="N1456" t="s">
        <v>29</v>
      </c>
      <c r="O1456" t="s">
        <v>152</v>
      </c>
      <c r="P1456">
        <v>2026</v>
      </c>
    </row>
    <row r="1457" spans="1:16" hidden="1" x14ac:dyDescent="0.25">
      <c r="A1457" s="96" t="s">
        <v>2</v>
      </c>
      <c r="B1457" s="96" t="s">
        <v>272</v>
      </c>
      <c r="C1457" s="96" t="s">
        <v>1486</v>
      </c>
      <c r="D1457" s="96" t="s">
        <v>215</v>
      </c>
      <c r="E1457" s="43">
        <v>45919</v>
      </c>
      <c r="F1457" s="43">
        <v>45967</v>
      </c>
      <c r="G1457" s="96" t="s">
        <v>92</v>
      </c>
      <c r="H1457" s="96" t="s">
        <v>4999</v>
      </c>
      <c r="I1457" s="96" t="s">
        <v>228</v>
      </c>
      <c r="J1457" s="96" t="s">
        <v>165</v>
      </c>
      <c r="K1457" s="96" t="s">
        <v>195</v>
      </c>
      <c r="L1457">
        <v>48</v>
      </c>
      <c r="M1457" t="s">
        <v>24</v>
      </c>
      <c r="N1457" t="s">
        <v>12</v>
      </c>
      <c r="O1457" t="s">
        <v>151</v>
      </c>
      <c r="P1457">
        <v>2025</v>
      </c>
    </row>
    <row r="1458" spans="1:16" x14ac:dyDescent="0.25">
      <c r="A1458" s="96" t="s">
        <v>2</v>
      </c>
      <c r="B1458" s="96" t="s">
        <v>201</v>
      </c>
      <c r="C1458" s="96" t="s">
        <v>5000</v>
      </c>
      <c r="D1458" s="96" t="s">
        <v>215</v>
      </c>
      <c r="E1458" s="43">
        <v>46150</v>
      </c>
      <c r="F1458" s="43">
        <v>46147</v>
      </c>
      <c r="G1458" s="96" t="s">
        <v>92</v>
      </c>
      <c r="H1458" s="96" t="s">
        <v>5001</v>
      </c>
      <c r="I1458" s="96" t="s">
        <v>209</v>
      </c>
      <c r="J1458" s="96" t="s">
        <v>173</v>
      </c>
      <c r="K1458" s="96" t="s">
        <v>233</v>
      </c>
      <c r="L1458">
        <v>-3</v>
      </c>
      <c r="M1458" t="s">
        <v>11</v>
      </c>
      <c r="N1458" t="s">
        <v>183</v>
      </c>
      <c r="O1458" t="s">
        <v>170</v>
      </c>
      <c r="P1458">
        <v>2026</v>
      </c>
    </row>
    <row r="1459" spans="1:16" hidden="1" x14ac:dyDescent="0.25">
      <c r="A1459" s="96" t="s">
        <v>189</v>
      </c>
      <c r="B1459" s="96" t="s">
        <v>322</v>
      </c>
      <c r="C1459" s="96" t="s">
        <v>1488</v>
      </c>
      <c r="D1459" s="96" t="s">
        <v>192</v>
      </c>
      <c r="E1459" s="43">
        <v>45682</v>
      </c>
      <c r="F1459" s="43">
        <v>45692</v>
      </c>
      <c r="G1459" s="96" t="s">
        <v>92</v>
      </c>
      <c r="H1459" s="96" t="s">
        <v>5002</v>
      </c>
      <c r="I1459" s="96" t="s">
        <v>209</v>
      </c>
      <c r="J1459" s="96" t="s">
        <v>283</v>
      </c>
      <c r="K1459" s="96" t="s">
        <v>210</v>
      </c>
      <c r="L1459">
        <v>10</v>
      </c>
      <c r="M1459" t="s">
        <v>15</v>
      </c>
      <c r="N1459" t="s">
        <v>181</v>
      </c>
      <c r="O1459" t="s">
        <v>150</v>
      </c>
      <c r="P1459">
        <v>2025</v>
      </c>
    </row>
    <row r="1460" spans="1:16" hidden="1" x14ac:dyDescent="0.25">
      <c r="A1460" s="96" t="s">
        <v>2</v>
      </c>
      <c r="B1460" s="96" t="s">
        <v>264</v>
      </c>
      <c r="C1460" s="96" t="s">
        <v>5003</v>
      </c>
      <c r="D1460" s="96" t="s">
        <v>40</v>
      </c>
      <c r="E1460" s="43">
        <v>45866</v>
      </c>
      <c r="F1460" s="43">
        <v>45937</v>
      </c>
      <c r="G1460" s="96" t="s">
        <v>95</v>
      </c>
      <c r="H1460" s="96" t="s">
        <v>5004</v>
      </c>
      <c r="I1460" s="96" t="s">
        <v>9</v>
      </c>
      <c r="J1460" s="96" t="s">
        <v>172</v>
      </c>
      <c r="K1460" s="96" t="s">
        <v>210</v>
      </c>
      <c r="L1460">
        <v>71</v>
      </c>
      <c r="M1460" t="s">
        <v>28</v>
      </c>
      <c r="N1460" t="s">
        <v>187</v>
      </c>
      <c r="O1460" t="s">
        <v>152</v>
      </c>
      <c r="P1460">
        <v>2025</v>
      </c>
    </row>
    <row r="1461" spans="1:16" hidden="1" x14ac:dyDescent="0.25">
      <c r="A1461" s="96" t="s">
        <v>2</v>
      </c>
      <c r="B1461" s="96" t="s">
        <v>251</v>
      </c>
      <c r="C1461" s="96" t="s">
        <v>5005</v>
      </c>
      <c r="D1461" s="96" t="s">
        <v>203</v>
      </c>
      <c r="E1461" s="43">
        <v>45802</v>
      </c>
      <c r="F1461" s="43">
        <v>45865</v>
      </c>
      <c r="G1461" s="96" t="s">
        <v>92</v>
      </c>
      <c r="H1461" s="96" t="s">
        <v>5006</v>
      </c>
      <c r="I1461" s="96" t="s">
        <v>228</v>
      </c>
      <c r="J1461" s="96" t="s">
        <v>97</v>
      </c>
      <c r="K1461" s="96" t="s">
        <v>217</v>
      </c>
      <c r="L1461">
        <v>63</v>
      </c>
      <c r="M1461" t="s">
        <v>28</v>
      </c>
      <c r="N1461" t="s">
        <v>182</v>
      </c>
      <c r="O1461" t="s">
        <v>170</v>
      </c>
      <c r="P1461">
        <v>2025</v>
      </c>
    </row>
    <row r="1462" spans="1:16" hidden="1" x14ac:dyDescent="0.25">
      <c r="A1462" s="96" t="s">
        <v>171</v>
      </c>
      <c r="B1462" s="96" t="s">
        <v>231</v>
      </c>
      <c r="C1462" s="96" t="s">
        <v>1489</v>
      </c>
      <c r="D1462" s="96" t="s">
        <v>237</v>
      </c>
      <c r="E1462" s="43">
        <v>45802</v>
      </c>
      <c r="F1462" s="43">
        <v>45867</v>
      </c>
      <c r="G1462" s="96" t="s">
        <v>92</v>
      </c>
      <c r="H1462" s="96" t="s">
        <v>5007</v>
      </c>
      <c r="I1462" s="96" t="s">
        <v>194</v>
      </c>
      <c r="J1462" s="96" t="s">
        <v>97</v>
      </c>
      <c r="K1462" s="96" t="s">
        <v>217</v>
      </c>
      <c r="L1462">
        <v>65</v>
      </c>
      <c r="M1462" t="s">
        <v>28</v>
      </c>
      <c r="N1462" t="s">
        <v>182</v>
      </c>
      <c r="O1462" t="s">
        <v>170</v>
      </c>
      <c r="P1462">
        <v>2025</v>
      </c>
    </row>
    <row r="1463" spans="1:16" hidden="1" x14ac:dyDescent="0.25">
      <c r="A1463" s="96" t="s">
        <v>2</v>
      </c>
      <c r="B1463" s="96" t="s">
        <v>272</v>
      </c>
      <c r="C1463" s="96" t="s">
        <v>5008</v>
      </c>
      <c r="D1463" s="96" t="s">
        <v>10</v>
      </c>
      <c r="E1463" s="43">
        <v>45992</v>
      </c>
      <c r="F1463" s="43">
        <v>46039</v>
      </c>
      <c r="G1463" s="96" t="s">
        <v>92</v>
      </c>
      <c r="H1463" s="96" t="s">
        <v>5009</v>
      </c>
      <c r="I1463" s="96" t="s">
        <v>209</v>
      </c>
      <c r="J1463" s="96" t="s">
        <v>177</v>
      </c>
      <c r="K1463" s="96" t="s">
        <v>233</v>
      </c>
      <c r="L1463">
        <v>47</v>
      </c>
      <c r="M1463" t="s">
        <v>24</v>
      </c>
      <c r="N1463" t="s">
        <v>25</v>
      </c>
      <c r="O1463" t="s">
        <v>151</v>
      </c>
      <c r="P1463">
        <v>2025</v>
      </c>
    </row>
    <row r="1464" spans="1:16" x14ac:dyDescent="0.25">
      <c r="A1464" s="96" t="s">
        <v>2</v>
      </c>
      <c r="B1464" s="96" t="s">
        <v>234</v>
      </c>
      <c r="C1464" s="96" t="s">
        <v>1490</v>
      </c>
      <c r="D1464" s="96" t="s">
        <v>14</v>
      </c>
      <c r="E1464" s="43">
        <v>46048</v>
      </c>
      <c r="F1464" s="43">
        <v>46111</v>
      </c>
      <c r="G1464" s="96" t="s">
        <v>92</v>
      </c>
      <c r="H1464" s="96" t="s">
        <v>5010</v>
      </c>
      <c r="I1464" s="96" t="s">
        <v>9</v>
      </c>
      <c r="J1464" s="96" t="s">
        <v>97</v>
      </c>
      <c r="K1464" s="96" t="s">
        <v>210</v>
      </c>
      <c r="L1464">
        <v>63</v>
      </c>
      <c r="M1464" t="s">
        <v>28</v>
      </c>
      <c r="N1464" t="s">
        <v>29</v>
      </c>
      <c r="O1464" t="s">
        <v>150</v>
      </c>
      <c r="P1464">
        <v>2026</v>
      </c>
    </row>
    <row r="1465" spans="1:16" hidden="1" x14ac:dyDescent="0.25">
      <c r="A1465" s="96" t="s">
        <v>2</v>
      </c>
      <c r="B1465" s="96" t="s">
        <v>238</v>
      </c>
      <c r="C1465" s="96" t="s">
        <v>5011</v>
      </c>
      <c r="D1465" s="96" t="s">
        <v>208</v>
      </c>
      <c r="E1465" s="43">
        <v>45841</v>
      </c>
      <c r="F1465" s="43">
        <v>45919</v>
      </c>
      <c r="G1465" s="96" t="s">
        <v>92</v>
      </c>
      <c r="H1465" s="96" t="s">
        <v>5012</v>
      </c>
      <c r="I1465" s="96" t="s">
        <v>228</v>
      </c>
      <c r="J1465" s="96" t="s">
        <v>199</v>
      </c>
      <c r="K1465" s="96" t="s">
        <v>205</v>
      </c>
      <c r="L1465">
        <v>78</v>
      </c>
      <c r="M1465" t="s">
        <v>28</v>
      </c>
      <c r="N1465" t="s">
        <v>187</v>
      </c>
      <c r="O1465" t="s">
        <v>170</v>
      </c>
      <c r="P1465">
        <v>2025</v>
      </c>
    </row>
    <row r="1466" spans="1:16" hidden="1" x14ac:dyDescent="0.25">
      <c r="A1466" s="96" t="s">
        <v>2</v>
      </c>
      <c r="B1466" s="96" t="s">
        <v>211</v>
      </c>
      <c r="C1466" s="96" t="s">
        <v>1491</v>
      </c>
      <c r="D1466" s="96" t="s">
        <v>223</v>
      </c>
      <c r="E1466" s="43">
        <v>45710</v>
      </c>
      <c r="F1466" s="43">
        <v>45801</v>
      </c>
      <c r="G1466" s="96" t="s">
        <v>92</v>
      </c>
      <c r="H1466" s="96" t="s">
        <v>5013</v>
      </c>
      <c r="I1466" s="96" t="s">
        <v>157</v>
      </c>
      <c r="J1466" s="96" t="s">
        <v>93</v>
      </c>
      <c r="K1466" s="96" t="s">
        <v>210</v>
      </c>
      <c r="L1466">
        <v>91</v>
      </c>
      <c r="M1466" t="s">
        <v>28</v>
      </c>
      <c r="N1466" t="s">
        <v>188</v>
      </c>
      <c r="O1466" t="s">
        <v>170</v>
      </c>
      <c r="P1466">
        <v>2025</v>
      </c>
    </row>
    <row r="1467" spans="1:16" hidden="1" x14ac:dyDescent="0.25">
      <c r="A1467" s="96" t="s">
        <v>2</v>
      </c>
      <c r="B1467" s="96" t="s">
        <v>257</v>
      </c>
      <c r="C1467" s="96" t="s">
        <v>1494</v>
      </c>
      <c r="D1467" s="96" t="s">
        <v>10</v>
      </c>
      <c r="E1467" s="43">
        <v>45678</v>
      </c>
      <c r="F1467" s="43">
        <v>45755</v>
      </c>
      <c r="G1467" s="96" t="s">
        <v>95</v>
      </c>
      <c r="H1467" s="96" t="s">
        <v>5014</v>
      </c>
      <c r="I1467" s="96" t="s">
        <v>204</v>
      </c>
      <c r="J1467" s="96" t="s">
        <v>199</v>
      </c>
      <c r="K1467" s="96" t="s">
        <v>230</v>
      </c>
      <c r="L1467">
        <v>77</v>
      </c>
      <c r="M1467" t="s">
        <v>28</v>
      </c>
      <c r="N1467" t="s">
        <v>181</v>
      </c>
      <c r="O1467" t="s">
        <v>151</v>
      </c>
      <c r="P1467">
        <v>2025</v>
      </c>
    </row>
    <row r="1468" spans="1:16" x14ac:dyDescent="0.25">
      <c r="A1468" s="96" t="s">
        <v>2</v>
      </c>
      <c r="B1468" s="96" t="s">
        <v>218</v>
      </c>
      <c r="C1468" s="96" t="s">
        <v>5015</v>
      </c>
      <c r="D1468" s="96" t="s">
        <v>14</v>
      </c>
      <c r="E1468" s="43">
        <v>46107</v>
      </c>
      <c r="F1468" s="43">
        <v>46139</v>
      </c>
      <c r="G1468" s="96" t="s">
        <v>90</v>
      </c>
      <c r="H1468" s="96" t="s">
        <v>5016</v>
      </c>
      <c r="I1468" s="96" t="s">
        <v>209</v>
      </c>
      <c r="J1468" s="96" t="s">
        <v>168</v>
      </c>
      <c r="K1468" s="96" t="s">
        <v>230</v>
      </c>
      <c r="L1468">
        <v>32</v>
      </c>
      <c r="M1468" t="s">
        <v>24</v>
      </c>
      <c r="N1468" t="s">
        <v>35</v>
      </c>
      <c r="O1468" t="s">
        <v>152</v>
      </c>
      <c r="P1468">
        <v>2026</v>
      </c>
    </row>
    <row r="1469" spans="1:16" hidden="1" x14ac:dyDescent="0.25">
      <c r="A1469" s="96" t="s">
        <v>2</v>
      </c>
      <c r="B1469" s="96" t="s">
        <v>272</v>
      </c>
      <c r="C1469" s="96" t="s">
        <v>5017</v>
      </c>
      <c r="D1469" s="96" t="s">
        <v>34</v>
      </c>
      <c r="E1469" s="43">
        <v>45867</v>
      </c>
      <c r="F1469" s="43">
        <v>45970</v>
      </c>
      <c r="G1469" s="96" t="s">
        <v>90</v>
      </c>
      <c r="H1469" s="96" t="s">
        <v>5018</v>
      </c>
      <c r="I1469" s="96" t="s">
        <v>9</v>
      </c>
      <c r="J1469" s="96" t="s">
        <v>169</v>
      </c>
      <c r="K1469" s="96" t="s">
        <v>157</v>
      </c>
      <c r="L1469">
        <v>103</v>
      </c>
      <c r="M1469" t="s">
        <v>28</v>
      </c>
      <c r="N1469" t="s">
        <v>187</v>
      </c>
      <c r="O1469" t="s">
        <v>151</v>
      </c>
      <c r="P1469">
        <v>2025</v>
      </c>
    </row>
    <row r="1470" spans="1:16" x14ac:dyDescent="0.25">
      <c r="A1470" s="96" t="s">
        <v>2</v>
      </c>
      <c r="B1470" s="96" t="s">
        <v>226</v>
      </c>
      <c r="C1470" s="96" t="s">
        <v>1496</v>
      </c>
      <c r="D1470" s="96" t="s">
        <v>215</v>
      </c>
      <c r="E1470" s="43">
        <v>46080</v>
      </c>
      <c r="F1470" s="43">
        <v>46083</v>
      </c>
      <c r="G1470" s="96" t="s">
        <v>92</v>
      </c>
      <c r="H1470" s="96" t="s">
        <v>5019</v>
      </c>
      <c r="I1470" s="96" t="s">
        <v>194</v>
      </c>
      <c r="J1470" s="96" t="s">
        <v>98</v>
      </c>
      <c r="K1470" s="96" t="s">
        <v>233</v>
      </c>
      <c r="L1470">
        <v>3</v>
      </c>
      <c r="M1470" t="s">
        <v>11</v>
      </c>
      <c r="N1470" t="s">
        <v>32</v>
      </c>
      <c r="O1470" t="s">
        <v>151</v>
      </c>
      <c r="P1470">
        <v>2026</v>
      </c>
    </row>
    <row r="1471" spans="1:16" hidden="1" x14ac:dyDescent="0.25">
      <c r="A1471" s="96" t="s">
        <v>2</v>
      </c>
      <c r="B1471" s="96" t="s">
        <v>280</v>
      </c>
      <c r="C1471" s="96" t="s">
        <v>1498</v>
      </c>
      <c r="D1471" s="96" t="s">
        <v>192</v>
      </c>
      <c r="E1471" s="43">
        <v>45707</v>
      </c>
      <c r="F1471" s="43">
        <v>45736</v>
      </c>
      <c r="G1471" s="96" t="s">
        <v>90</v>
      </c>
      <c r="H1471" s="96" t="s">
        <v>5020</v>
      </c>
      <c r="I1471" s="96" t="s">
        <v>228</v>
      </c>
      <c r="J1471" s="96" t="s">
        <v>172</v>
      </c>
      <c r="K1471" s="96" t="s">
        <v>200</v>
      </c>
      <c r="L1471">
        <v>29</v>
      </c>
      <c r="M1471" t="s">
        <v>19</v>
      </c>
      <c r="N1471" t="s">
        <v>188</v>
      </c>
      <c r="O1471" t="s">
        <v>170</v>
      </c>
      <c r="P1471">
        <v>2025</v>
      </c>
    </row>
    <row r="1472" spans="1:16" x14ac:dyDescent="0.25">
      <c r="A1472" s="96" t="s">
        <v>2</v>
      </c>
      <c r="B1472" s="96" t="s">
        <v>261</v>
      </c>
      <c r="C1472" s="96" t="s">
        <v>1499</v>
      </c>
      <c r="D1472" s="96" t="s">
        <v>34</v>
      </c>
      <c r="E1472" s="43">
        <v>46105</v>
      </c>
      <c r="F1472" s="43">
        <v>46150</v>
      </c>
      <c r="G1472" s="96" t="s">
        <v>92</v>
      </c>
      <c r="H1472" s="96" t="s">
        <v>5021</v>
      </c>
      <c r="I1472" s="96" t="s">
        <v>228</v>
      </c>
      <c r="J1472" s="96" t="s">
        <v>172</v>
      </c>
      <c r="K1472" s="96" t="s">
        <v>217</v>
      </c>
      <c r="L1472">
        <v>45</v>
      </c>
      <c r="M1472" t="s">
        <v>24</v>
      </c>
      <c r="N1472" t="s">
        <v>35</v>
      </c>
      <c r="O1472" t="s">
        <v>151</v>
      </c>
      <c r="P1472">
        <v>2026</v>
      </c>
    </row>
    <row r="1473" spans="1:16" hidden="1" x14ac:dyDescent="0.25">
      <c r="A1473" s="96" t="s">
        <v>2</v>
      </c>
      <c r="B1473" s="96" t="s">
        <v>213</v>
      </c>
      <c r="C1473" s="96" t="s">
        <v>1500</v>
      </c>
      <c r="D1473" s="96" t="s">
        <v>10</v>
      </c>
      <c r="E1473" s="43">
        <v>45878</v>
      </c>
      <c r="F1473" s="43">
        <v>45951</v>
      </c>
      <c r="G1473" s="96" t="s">
        <v>92</v>
      </c>
      <c r="H1473" s="96" t="s">
        <v>5022</v>
      </c>
      <c r="I1473" s="96" t="s">
        <v>194</v>
      </c>
      <c r="J1473" s="96" t="s">
        <v>165</v>
      </c>
      <c r="K1473" s="96" t="s">
        <v>195</v>
      </c>
      <c r="L1473">
        <v>73</v>
      </c>
      <c r="M1473" t="s">
        <v>28</v>
      </c>
      <c r="N1473" t="s">
        <v>8</v>
      </c>
      <c r="O1473" t="s">
        <v>149</v>
      </c>
      <c r="P1473">
        <v>2025</v>
      </c>
    </row>
    <row r="1474" spans="1:16" hidden="1" x14ac:dyDescent="0.25">
      <c r="A1474" s="96" t="s">
        <v>2</v>
      </c>
      <c r="B1474" s="96" t="s">
        <v>190</v>
      </c>
      <c r="C1474" s="96" t="s">
        <v>1501</v>
      </c>
      <c r="D1474" s="96" t="s">
        <v>14</v>
      </c>
      <c r="E1474" s="43">
        <v>45873</v>
      </c>
      <c r="F1474" s="43">
        <v>45932</v>
      </c>
      <c r="G1474" s="96" t="s">
        <v>92</v>
      </c>
      <c r="H1474" s="96" t="s">
        <v>5023</v>
      </c>
      <c r="I1474" s="96" t="s">
        <v>194</v>
      </c>
      <c r="J1474" s="96" t="s">
        <v>174</v>
      </c>
      <c r="K1474" s="96" t="s">
        <v>210</v>
      </c>
      <c r="L1474">
        <v>59</v>
      </c>
      <c r="M1474" t="s">
        <v>24</v>
      </c>
      <c r="N1474" t="s">
        <v>8</v>
      </c>
      <c r="O1474" t="s">
        <v>150</v>
      </c>
      <c r="P1474">
        <v>2025</v>
      </c>
    </row>
    <row r="1475" spans="1:16" hidden="1" x14ac:dyDescent="0.25">
      <c r="A1475" s="96" t="s">
        <v>2</v>
      </c>
      <c r="B1475" s="96" t="s">
        <v>247</v>
      </c>
      <c r="C1475" s="96" t="s">
        <v>1502</v>
      </c>
      <c r="D1475" s="96" t="s">
        <v>34</v>
      </c>
      <c r="E1475" s="43">
        <v>45705</v>
      </c>
      <c r="F1475" s="43">
        <v>45824</v>
      </c>
      <c r="G1475" s="96" t="s">
        <v>92</v>
      </c>
      <c r="H1475" s="96" t="s">
        <v>5024</v>
      </c>
      <c r="I1475" s="96" t="s">
        <v>204</v>
      </c>
      <c r="J1475" s="96" t="s">
        <v>94</v>
      </c>
      <c r="K1475" s="96" t="s">
        <v>195</v>
      </c>
      <c r="L1475">
        <v>119</v>
      </c>
      <c r="M1475" t="s">
        <v>28</v>
      </c>
      <c r="N1475" t="s">
        <v>188</v>
      </c>
      <c r="O1475" t="s">
        <v>150</v>
      </c>
      <c r="P1475">
        <v>2025</v>
      </c>
    </row>
    <row r="1476" spans="1:16" hidden="1" x14ac:dyDescent="0.25">
      <c r="A1476" s="96" t="s">
        <v>2</v>
      </c>
      <c r="B1476" s="96" t="s">
        <v>257</v>
      </c>
      <c r="C1476" s="96" t="s">
        <v>1503</v>
      </c>
      <c r="D1476" s="96" t="s">
        <v>40</v>
      </c>
      <c r="E1476" s="43">
        <v>45757</v>
      </c>
      <c r="F1476" s="43">
        <v>45819</v>
      </c>
      <c r="G1476" s="96" t="s">
        <v>90</v>
      </c>
      <c r="H1476" s="96" t="s">
        <v>1455</v>
      </c>
      <c r="I1476" s="96" t="s">
        <v>194</v>
      </c>
      <c r="J1476" s="96" t="s">
        <v>216</v>
      </c>
      <c r="K1476" s="96" t="s">
        <v>210</v>
      </c>
      <c r="L1476">
        <v>62</v>
      </c>
      <c r="M1476" t="s">
        <v>28</v>
      </c>
      <c r="N1476" t="s">
        <v>185</v>
      </c>
      <c r="O1476" t="s">
        <v>151</v>
      </c>
      <c r="P1476">
        <v>2025</v>
      </c>
    </row>
    <row r="1477" spans="1:16" hidden="1" x14ac:dyDescent="0.25">
      <c r="A1477" s="96" t="s">
        <v>2</v>
      </c>
      <c r="B1477" s="96" t="s">
        <v>253</v>
      </c>
      <c r="C1477" s="96" t="s">
        <v>1504</v>
      </c>
      <c r="D1477" s="96" t="s">
        <v>215</v>
      </c>
      <c r="E1477" s="43">
        <v>45662</v>
      </c>
      <c r="F1477" s="43">
        <v>45731</v>
      </c>
      <c r="G1477" s="96" t="s">
        <v>90</v>
      </c>
      <c r="H1477" s="96" t="s">
        <v>5025</v>
      </c>
      <c r="I1477" s="96" t="s">
        <v>204</v>
      </c>
      <c r="J1477" s="96" t="s">
        <v>169</v>
      </c>
      <c r="K1477" s="96" t="s">
        <v>195</v>
      </c>
      <c r="L1477">
        <v>69</v>
      </c>
      <c r="M1477" t="s">
        <v>28</v>
      </c>
      <c r="N1477" t="s">
        <v>181</v>
      </c>
      <c r="O1477" t="s">
        <v>152</v>
      </c>
      <c r="P1477">
        <v>2025</v>
      </c>
    </row>
    <row r="1478" spans="1:16" x14ac:dyDescent="0.25">
      <c r="A1478" s="96" t="s">
        <v>2</v>
      </c>
      <c r="B1478" s="96" t="s">
        <v>226</v>
      </c>
      <c r="C1478" s="96" t="s">
        <v>1505</v>
      </c>
      <c r="D1478" s="96" t="s">
        <v>237</v>
      </c>
      <c r="E1478" s="43">
        <v>46093</v>
      </c>
      <c r="F1478" s="43">
        <v>46104</v>
      </c>
      <c r="G1478" s="96" t="s">
        <v>90</v>
      </c>
      <c r="H1478" s="96" t="s">
        <v>5026</v>
      </c>
      <c r="I1478" s="96" t="s">
        <v>228</v>
      </c>
      <c r="J1478" s="96" t="s">
        <v>199</v>
      </c>
      <c r="K1478" s="96" t="s">
        <v>200</v>
      </c>
      <c r="L1478">
        <v>11</v>
      </c>
      <c r="M1478" t="s">
        <v>15</v>
      </c>
      <c r="N1478" t="s">
        <v>35</v>
      </c>
      <c r="O1478" t="s">
        <v>151</v>
      </c>
      <c r="P1478">
        <v>2026</v>
      </c>
    </row>
    <row r="1479" spans="1:16" hidden="1" x14ac:dyDescent="0.25">
      <c r="A1479" s="96" t="s">
        <v>189</v>
      </c>
      <c r="B1479" s="96" t="s">
        <v>253</v>
      </c>
      <c r="C1479" s="96" t="s">
        <v>1506</v>
      </c>
      <c r="D1479" s="96" t="s">
        <v>10</v>
      </c>
      <c r="E1479" s="43">
        <v>45819</v>
      </c>
      <c r="F1479" s="43">
        <v>45878</v>
      </c>
      <c r="G1479" s="96" t="s">
        <v>92</v>
      </c>
      <c r="H1479" s="96" t="s">
        <v>5027</v>
      </c>
      <c r="I1479" s="96" t="s">
        <v>225</v>
      </c>
      <c r="J1479" s="96" t="s">
        <v>168</v>
      </c>
      <c r="K1479" s="96" t="s">
        <v>210</v>
      </c>
      <c r="L1479">
        <v>59</v>
      </c>
      <c r="M1479" t="s">
        <v>24</v>
      </c>
      <c r="N1479" t="s">
        <v>184</v>
      </c>
      <c r="O1479" t="s">
        <v>152</v>
      </c>
      <c r="P1479">
        <v>2025</v>
      </c>
    </row>
    <row r="1480" spans="1:16" hidden="1" x14ac:dyDescent="0.25">
      <c r="A1480" s="96" t="s">
        <v>2</v>
      </c>
      <c r="B1480" s="96" t="s">
        <v>190</v>
      </c>
      <c r="C1480" s="96" t="s">
        <v>1507</v>
      </c>
      <c r="D1480" s="96" t="s">
        <v>223</v>
      </c>
      <c r="E1480" s="43">
        <v>45689</v>
      </c>
      <c r="F1480" s="43">
        <v>45720</v>
      </c>
      <c r="G1480" s="96" t="s">
        <v>90</v>
      </c>
      <c r="H1480" s="96" t="s">
        <v>5028</v>
      </c>
      <c r="I1480" s="96" t="s">
        <v>225</v>
      </c>
      <c r="J1480" s="96" t="s">
        <v>94</v>
      </c>
      <c r="K1480" s="96" t="s">
        <v>233</v>
      </c>
      <c r="L1480">
        <v>31</v>
      </c>
      <c r="M1480" t="s">
        <v>24</v>
      </c>
      <c r="N1480" t="s">
        <v>188</v>
      </c>
      <c r="O1480" t="s">
        <v>150</v>
      </c>
      <c r="P1480">
        <v>2025</v>
      </c>
    </row>
    <row r="1481" spans="1:16" hidden="1" x14ac:dyDescent="0.25">
      <c r="A1481" s="96" t="s">
        <v>2</v>
      </c>
      <c r="B1481" s="96" t="s">
        <v>247</v>
      </c>
      <c r="C1481" s="96" t="s">
        <v>1508</v>
      </c>
      <c r="D1481" s="96" t="s">
        <v>237</v>
      </c>
      <c r="E1481" s="43">
        <v>45933</v>
      </c>
      <c r="F1481" s="43">
        <v>46051</v>
      </c>
      <c r="G1481" s="96" t="s">
        <v>92</v>
      </c>
      <c r="H1481" s="96" t="s">
        <v>5029</v>
      </c>
      <c r="I1481" s="96" t="s">
        <v>225</v>
      </c>
      <c r="J1481" s="96" t="s">
        <v>165</v>
      </c>
      <c r="K1481" s="96" t="s">
        <v>246</v>
      </c>
      <c r="L1481">
        <v>118</v>
      </c>
      <c r="M1481" t="s">
        <v>28</v>
      </c>
      <c r="N1481" t="s">
        <v>16</v>
      </c>
      <c r="O1481" t="s">
        <v>150</v>
      </c>
      <c r="P1481">
        <v>2025</v>
      </c>
    </row>
    <row r="1482" spans="1:16" hidden="1" x14ac:dyDescent="0.25">
      <c r="A1482" s="96" t="s">
        <v>2</v>
      </c>
      <c r="B1482" s="96" t="s">
        <v>247</v>
      </c>
      <c r="C1482" s="96" t="s">
        <v>5030</v>
      </c>
      <c r="D1482" s="96" t="s">
        <v>215</v>
      </c>
      <c r="E1482" s="43">
        <v>45781</v>
      </c>
      <c r="F1482" s="43">
        <v>45857</v>
      </c>
      <c r="G1482" s="96" t="s">
        <v>92</v>
      </c>
      <c r="H1482" s="96" t="s">
        <v>5031</v>
      </c>
      <c r="I1482" s="96" t="s">
        <v>225</v>
      </c>
      <c r="J1482" s="96" t="s">
        <v>97</v>
      </c>
      <c r="K1482" s="96" t="s">
        <v>195</v>
      </c>
      <c r="L1482">
        <v>76</v>
      </c>
      <c r="M1482" t="s">
        <v>28</v>
      </c>
      <c r="N1482" t="s">
        <v>182</v>
      </c>
      <c r="O1482" t="s">
        <v>150</v>
      </c>
      <c r="P1482">
        <v>2025</v>
      </c>
    </row>
    <row r="1483" spans="1:16" x14ac:dyDescent="0.25">
      <c r="A1483" s="96" t="s">
        <v>2</v>
      </c>
      <c r="B1483" s="96" t="s">
        <v>288</v>
      </c>
      <c r="C1483" s="96" t="s">
        <v>1509</v>
      </c>
      <c r="D1483" s="96" t="s">
        <v>34</v>
      </c>
      <c r="E1483" s="43">
        <v>46054</v>
      </c>
      <c r="F1483" s="43">
        <v>46150</v>
      </c>
      <c r="G1483" s="96" t="s">
        <v>92</v>
      </c>
      <c r="H1483" s="96" t="s">
        <v>5032</v>
      </c>
      <c r="I1483" s="96" t="s">
        <v>225</v>
      </c>
      <c r="J1483" s="96" t="s">
        <v>177</v>
      </c>
      <c r="K1483" s="96" t="s">
        <v>217</v>
      </c>
      <c r="L1483">
        <v>96</v>
      </c>
      <c r="M1483" t="s">
        <v>28</v>
      </c>
      <c r="N1483" t="s">
        <v>32</v>
      </c>
      <c r="O1483" t="s">
        <v>170</v>
      </c>
      <c r="P1483">
        <v>2026</v>
      </c>
    </row>
    <row r="1484" spans="1:16" hidden="1" x14ac:dyDescent="0.25">
      <c r="A1484" s="96" t="s">
        <v>2</v>
      </c>
      <c r="B1484" s="96" t="s">
        <v>211</v>
      </c>
      <c r="C1484" s="96" t="s">
        <v>1510</v>
      </c>
      <c r="D1484" s="96" t="s">
        <v>237</v>
      </c>
      <c r="E1484" s="43">
        <v>45659</v>
      </c>
      <c r="F1484" s="43">
        <v>45667</v>
      </c>
      <c r="G1484" s="96" t="s">
        <v>90</v>
      </c>
      <c r="H1484" s="96" t="s">
        <v>5033</v>
      </c>
      <c r="I1484" s="96" t="s">
        <v>225</v>
      </c>
      <c r="J1484" s="96" t="s">
        <v>229</v>
      </c>
      <c r="K1484" s="96" t="s">
        <v>200</v>
      </c>
      <c r="L1484">
        <v>8</v>
      </c>
      <c r="M1484" t="s">
        <v>15</v>
      </c>
      <c r="N1484" t="s">
        <v>181</v>
      </c>
      <c r="O1484" t="s">
        <v>170</v>
      </c>
      <c r="P1484">
        <v>2025</v>
      </c>
    </row>
    <row r="1485" spans="1:16" hidden="1" x14ac:dyDescent="0.25">
      <c r="A1485" s="96" t="s">
        <v>2</v>
      </c>
      <c r="B1485" s="96" t="s">
        <v>257</v>
      </c>
      <c r="C1485" s="96" t="s">
        <v>1511</v>
      </c>
      <c r="D1485" s="96" t="s">
        <v>10</v>
      </c>
      <c r="E1485" s="43">
        <v>46004</v>
      </c>
      <c r="F1485" s="43">
        <v>46040</v>
      </c>
      <c r="G1485" s="96" t="s">
        <v>92</v>
      </c>
      <c r="H1485" s="96" t="s">
        <v>5034</v>
      </c>
      <c r="I1485" s="96" t="s">
        <v>209</v>
      </c>
      <c r="J1485" s="96" t="s">
        <v>93</v>
      </c>
      <c r="K1485" s="96" t="s">
        <v>210</v>
      </c>
      <c r="L1485">
        <v>36</v>
      </c>
      <c r="M1485" t="s">
        <v>24</v>
      </c>
      <c r="N1485" t="s">
        <v>25</v>
      </c>
      <c r="O1485" t="s">
        <v>151</v>
      </c>
      <c r="P1485">
        <v>2025</v>
      </c>
    </row>
    <row r="1486" spans="1:16" x14ac:dyDescent="0.25">
      <c r="A1486" s="96" t="s">
        <v>2</v>
      </c>
      <c r="B1486" s="96" t="s">
        <v>196</v>
      </c>
      <c r="C1486" s="96" t="s">
        <v>1513</v>
      </c>
      <c r="D1486" s="96" t="s">
        <v>10</v>
      </c>
      <c r="E1486" s="43">
        <v>46042</v>
      </c>
      <c r="F1486" s="43">
        <v>46079</v>
      </c>
      <c r="G1486" s="96" t="s">
        <v>90</v>
      </c>
      <c r="H1486" s="96" t="s">
        <v>5035</v>
      </c>
      <c r="I1486" s="96" t="s">
        <v>157</v>
      </c>
      <c r="J1486" s="96" t="s">
        <v>199</v>
      </c>
      <c r="K1486" s="96" t="s">
        <v>230</v>
      </c>
      <c r="L1486">
        <v>37</v>
      </c>
      <c r="M1486" t="s">
        <v>24</v>
      </c>
      <c r="N1486" t="s">
        <v>29</v>
      </c>
      <c r="O1486" t="s">
        <v>152</v>
      </c>
      <c r="P1486">
        <v>2026</v>
      </c>
    </row>
    <row r="1487" spans="1:16" x14ac:dyDescent="0.25">
      <c r="A1487" s="96" t="s">
        <v>21</v>
      </c>
      <c r="B1487" s="96" t="s">
        <v>317</v>
      </c>
      <c r="C1487" s="96" t="s">
        <v>1514</v>
      </c>
      <c r="D1487" s="96" t="s">
        <v>237</v>
      </c>
      <c r="E1487" s="43">
        <v>46113</v>
      </c>
      <c r="F1487" s="43">
        <v>46139</v>
      </c>
      <c r="G1487" s="96" t="s">
        <v>90</v>
      </c>
      <c r="H1487" s="96" t="s">
        <v>1459</v>
      </c>
      <c r="I1487" s="96" t="s">
        <v>209</v>
      </c>
      <c r="J1487" s="96" t="s">
        <v>283</v>
      </c>
      <c r="K1487" s="96" t="s">
        <v>200</v>
      </c>
      <c r="L1487">
        <v>26</v>
      </c>
      <c r="M1487" t="s">
        <v>19</v>
      </c>
      <c r="N1487" t="s">
        <v>37</v>
      </c>
      <c r="O1487" t="s">
        <v>170</v>
      </c>
      <c r="P1487">
        <v>2026</v>
      </c>
    </row>
    <row r="1488" spans="1:16" hidden="1" x14ac:dyDescent="0.25">
      <c r="A1488" s="96" t="s">
        <v>2</v>
      </c>
      <c r="B1488" s="96" t="s">
        <v>240</v>
      </c>
      <c r="C1488" s="96" t="s">
        <v>1517</v>
      </c>
      <c r="D1488" s="96" t="s">
        <v>237</v>
      </c>
      <c r="E1488" s="43">
        <v>45866</v>
      </c>
      <c r="F1488" s="43">
        <v>45951</v>
      </c>
      <c r="G1488" s="96" t="s">
        <v>92</v>
      </c>
      <c r="H1488" s="96" t="s">
        <v>1461</v>
      </c>
      <c r="I1488" s="96" t="s">
        <v>194</v>
      </c>
      <c r="J1488" s="96" t="s">
        <v>98</v>
      </c>
      <c r="K1488" s="96" t="s">
        <v>246</v>
      </c>
      <c r="L1488">
        <v>85</v>
      </c>
      <c r="M1488" t="s">
        <v>28</v>
      </c>
      <c r="N1488" t="s">
        <v>187</v>
      </c>
      <c r="O1488" t="s">
        <v>149</v>
      </c>
      <c r="P1488">
        <v>2025</v>
      </c>
    </row>
    <row r="1489" spans="1:16" hidden="1" x14ac:dyDescent="0.25">
      <c r="A1489" s="96" t="s">
        <v>175</v>
      </c>
      <c r="B1489" s="96" t="s">
        <v>247</v>
      </c>
      <c r="C1489" s="96" t="s">
        <v>1518</v>
      </c>
      <c r="D1489" s="96" t="s">
        <v>223</v>
      </c>
      <c r="E1489" s="43">
        <v>45694</v>
      </c>
      <c r="F1489" s="43">
        <v>45806</v>
      </c>
      <c r="G1489" s="96" t="s">
        <v>92</v>
      </c>
      <c r="H1489" s="96" t="s">
        <v>5036</v>
      </c>
      <c r="I1489" s="96" t="s">
        <v>194</v>
      </c>
      <c r="J1489" s="96" t="s">
        <v>94</v>
      </c>
      <c r="K1489" s="96" t="s">
        <v>246</v>
      </c>
      <c r="L1489">
        <v>112</v>
      </c>
      <c r="M1489" t="s">
        <v>28</v>
      </c>
      <c r="N1489" t="s">
        <v>188</v>
      </c>
      <c r="O1489" t="s">
        <v>150</v>
      </c>
      <c r="P1489">
        <v>2025</v>
      </c>
    </row>
    <row r="1490" spans="1:16" hidden="1" x14ac:dyDescent="0.25">
      <c r="A1490" s="96" t="s">
        <v>2</v>
      </c>
      <c r="B1490" s="96" t="s">
        <v>190</v>
      </c>
      <c r="C1490" s="96" t="s">
        <v>1520</v>
      </c>
      <c r="D1490" s="96" t="s">
        <v>237</v>
      </c>
      <c r="E1490" s="43">
        <v>45933</v>
      </c>
      <c r="F1490" s="43">
        <v>46006</v>
      </c>
      <c r="G1490" s="96" t="s">
        <v>92</v>
      </c>
      <c r="H1490" s="96" t="s">
        <v>5037</v>
      </c>
      <c r="I1490" s="96" t="s">
        <v>204</v>
      </c>
      <c r="J1490" s="96" t="s">
        <v>169</v>
      </c>
      <c r="K1490" s="96" t="s">
        <v>217</v>
      </c>
      <c r="L1490">
        <v>73</v>
      </c>
      <c r="M1490" t="s">
        <v>28</v>
      </c>
      <c r="N1490" t="s">
        <v>16</v>
      </c>
      <c r="O1490" t="s">
        <v>150</v>
      </c>
      <c r="P1490">
        <v>2025</v>
      </c>
    </row>
    <row r="1491" spans="1:16" hidden="1" x14ac:dyDescent="0.25">
      <c r="A1491" s="96" t="s">
        <v>2</v>
      </c>
      <c r="B1491" s="96" t="s">
        <v>272</v>
      </c>
      <c r="C1491" s="96" t="s">
        <v>1522</v>
      </c>
      <c r="D1491" s="96" t="s">
        <v>237</v>
      </c>
      <c r="E1491" s="43">
        <v>45764</v>
      </c>
      <c r="F1491" s="43">
        <v>45781</v>
      </c>
      <c r="G1491" s="96" t="s">
        <v>90</v>
      </c>
      <c r="H1491" s="96" t="s">
        <v>5038</v>
      </c>
      <c r="I1491" s="96" t="s">
        <v>204</v>
      </c>
      <c r="J1491" s="96" t="s">
        <v>165</v>
      </c>
      <c r="K1491" s="96" t="s">
        <v>200</v>
      </c>
      <c r="L1491">
        <v>17</v>
      </c>
      <c r="M1491" t="s">
        <v>19</v>
      </c>
      <c r="N1491" t="s">
        <v>185</v>
      </c>
      <c r="O1491" t="s">
        <v>151</v>
      </c>
      <c r="P1491">
        <v>2025</v>
      </c>
    </row>
    <row r="1492" spans="1:16" x14ac:dyDescent="0.25">
      <c r="A1492" s="96" t="s">
        <v>2</v>
      </c>
      <c r="B1492" s="96" t="s">
        <v>219</v>
      </c>
      <c r="C1492" s="96" t="s">
        <v>1524</v>
      </c>
      <c r="D1492" s="96" t="s">
        <v>223</v>
      </c>
      <c r="E1492" s="43">
        <v>46058</v>
      </c>
      <c r="F1492" s="43">
        <v>46064</v>
      </c>
      <c r="G1492" s="96" t="s">
        <v>90</v>
      </c>
      <c r="H1492" s="96" t="s">
        <v>5039</v>
      </c>
      <c r="I1492" s="96" t="s">
        <v>225</v>
      </c>
      <c r="J1492" s="96" t="s">
        <v>283</v>
      </c>
      <c r="K1492" s="96" t="s">
        <v>217</v>
      </c>
      <c r="L1492">
        <v>6</v>
      </c>
      <c r="M1492" t="s">
        <v>11</v>
      </c>
      <c r="N1492" t="s">
        <v>32</v>
      </c>
      <c r="O1492" t="s">
        <v>149</v>
      </c>
      <c r="P1492">
        <v>2026</v>
      </c>
    </row>
    <row r="1493" spans="1:16" hidden="1" x14ac:dyDescent="0.25">
      <c r="A1493" s="96" t="s">
        <v>189</v>
      </c>
      <c r="B1493" s="96" t="s">
        <v>272</v>
      </c>
      <c r="C1493" s="96" t="s">
        <v>1525</v>
      </c>
      <c r="D1493" s="96" t="s">
        <v>40</v>
      </c>
      <c r="E1493" s="43">
        <v>45845</v>
      </c>
      <c r="F1493" s="43">
        <v>45932</v>
      </c>
      <c r="G1493" s="96" t="s">
        <v>92</v>
      </c>
      <c r="H1493" s="96" t="s">
        <v>5040</v>
      </c>
      <c r="I1493" s="96" t="s">
        <v>228</v>
      </c>
      <c r="J1493" s="96" t="s">
        <v>93</v>
      </c>
      <c r="K1493" s="96" t="s">
        <v>157</v>
      </c>
      <c r="L1493">
        <v>87</v>
      </c>
      <c r="M1493" t="s">
        <v>28</v>
      </c>
      <c r="N1493" t="s">
        <v>187</v>
      </c>
      <c r="O1493" t="s">
        <v>151</v>
      </c>
      <c r="P1493">
        <v>2025</v>
      </c>
    </row>
    <row r="1494" spans="1:16" hidden="1" x14ac:dyDescent="0.25">
      <c r="A1494" s="96" t="s">
        <v>171</v>
      </c>
      <c r="B1494" s="96" t="s">
        <v>257</v>
      </c>
      <c r="C1494" s="96" t="s">
        <v>5041</v>
      </c>
      <c r="D1494" s="96" t="s">
        <v>223</v>
      </c>
      <c r="E1494" s="43">
        <v>45819</v>
      </c>
      <c r="F1494" s="43">
        <v>45820</v>
      </c>
      <c r="G1494" s="96" t="s">
        <v>92</v>
      </c>
      <c r="H1494" s="96" t="s">
        <v>5042</v>
      </c>
      <c r="I1494" s="96" t="s">
        <v>157</v>
      </c>
      <c r="J1494" s="96" t="s">
        <v>199</v>
      </c>
      <c r="K1494" s="96" t="s">
        <v>210</v>
      </c>
      <c r="L1494">
        <v>1</v>
      </c>
      <c r="M1494" t="s">
        <v>11</v>
      </c>
      <c r="N1494" t="s">
        <v>184</v>
      </c>
      <c r="O1494" t="s">
        <v>151</v>
      </c>
      <c r="P1494">
        <v>2025</v>
      </c>
    </row>
    <row r="1495" spans="1:16" x14ac:dyDescent="0.25">
      <c r="A1495" s="96" t="s">
        <v>2</v>
      </c>
      <c r="B1495" s="96" t="s">
        <v>226</v>
      </c>
      <c r="C1495" s="96" t="s">
        <v>1528</v>
      </c>
      <c r="D1495" s="96" t="s">
        <v>34</v>
      </c>
      <c r="E1495" s="43">
        <v>46036</v>
      </c>
      <c r="F1495" s="43">
        <v>46147</v>
      </c>
      <c r="G1495" s="96" t="s">
        <v>90</v>
      </c>
      <c r="H1495" s="96" t="s">
        <v>5043</v>
      </c>
      <c r="I1495" s="96" t="s">
        <v>228</v>
      </c>
      <c r="J1495" s="96" t="s">
        <v>94</v>
      </c>
      <c r="K1495" s="96" t="s">
        <v>200</v>
      </c>
      <c r="L1495">
        <v>111</v>
      </c>
      <c r="M1495" t="s">
        <v>28</v>
      </c>
      <c r="N1495" t="s">
        <v>29</v>
      </c>
      <c r="O1495" t="s">
        <v>151</v>
      </c>
      <c r="P1495">
        <v>2026</v>
      </c>
    </row>
    <row r="1496" spans="1:16" hidden="1" x14ac:dyDescent="0.25">
      <c r="A1496" s="96" t="s">
        <v>2</v>
      </c>
      <c r="B1496" s="96" t="s">
        <v>231</v>
      </c>
      <c r="C1496" s="96" t="s">
        <v>1529</v>
      </c>
      <c r="D1496" s="96" t="s">
        <v>34</v>
      </c>
      <c r="E1496" s="43">
        <v>45972</v>
      </c>
      <c r="F1496" s="43">
        <v>46029</v>
      </c>
      <c r="G1496" s="96" t="s">
        <v>90</v>
      </c>
      <c r="H1496" s="96" t="s">
        <v>1466</v>
      </c>
      <c r="I1496" s="96" t="s">
        <v>228</v>
      </c>
      <c r="J1496" s="96" t="s">
        <v>199</v>
      </c>
      <c r="K1496" s="96" t="s">
        <v>230</v>
      </c>
      <c r="L1496">
        <v>57</v>
      </c>
      <c r="M1496" t="s">
        <v>24</v>
      </c>
      <c r="N1496" t="s">
        <v>20</v>
      </c>
      <c r="O1496" t="s">
        <v>170</v>
      </c>
      <c r="P1496">
        <v>2025</v>
      </c>
    </row>
    <row r="1497" spans="1:16" hidden="1" x14ac:dyDescent="0.25">
      <c r="A1497" s="96" t="s">
        <v>2</v>
      </c>
      <c r="B1497" s="96" t="s">
        <v>211</v>
      </c>
      <c r="C1497" s="96" t="s">
        <v>5044</v>
      </c>
      <c r="D1497" s="96" t="s">
        <v>203</v>
      </c>
      <c r="E1497" s="43">
        <v>45994</v>
      </c>
      <c r="F1497" s="43">
        <v>46042</v>
      </c>
      <c r="G1497" s="96" t="s">
        <v>92</v>
      </c>
      <c r="H1497" s="96" t="s">
        <v>1468</v>
      </c>
      <c r="I1497" s="96" t="s">
        <v>157</v>
      </c>
      <c r="J1497" s="96" t="s">
        <v>172</v>
      </c>
      <c r="K1497" s="96" t="s">
        <v>230</v>
      </c>
      <c r="L1497">
        <v>48</v>
      </c>
      <c r="M1497" t="s">
        <v>24</v>
      </c>
      <c r="N1497" t="s">
        <v>25</v>
      </c>
      <c r="O1497" t="s">
        <v>170</v>
      </c>
      <c r="P1497">
        <v>2025</v>
      </c>
    </row>
    <row r="1498" spans="1:16" x14ac:dyDescent="0.25">
      <c r="A1498" s="96" t="s">
        <v>2</v>
      </c>
      <c r="B1498" s="96" t="s">
        <v>226</v>
      </c>
      <c r="C1498" s="96" t="s">
        <v>5045</v>
      </c>
      <c r="D1498" s="96" t="s">
        <v>208</v>
      </c>
      <c r="E1498" s="43">
        <v>46149</v>
      </c>
      <c r="F1498" s="43">
        <v>46147</v>
      </c>
      <c r="G1498" s="96" t="s">
        <v>90</v>
      </c>
      <c r="H1498" s="96" t="s">
        <v>1469</v>
      </c>
      <c r="I1498" s="96" t="s">
        <v>9</v>
      </c>
      <c r="J1498" s="96" t="s">
        <v>91</v>
      </c>
      <c r="K1498" s="96" t="s">
        <v>205</v>
      </c>
      <c r="L1498">
        <v>-2</v>
      </c>
      <c r="M1498" t="s">
        <v>11</v>
      </c>
      <c r="N1498" t="s">
        <v>183</v>
      </c>
      <c r="O1498" t="s">
        <v>151</v>
      </c>
      <c r="P1498">
        <v>2026</v>
      </c>
    </row>
    <row r="1499" spans="1:16" hidden="1" x14ac:dyDescent="0.25">
      <c r="A1499" s="96" t="s">
        <v>2</v>
      </c>
      <c r="B1499" s="96" t="s">
        <v>213</v>
      </c>
      <c r="C1499" s="96" t="s">
        <v>1530</v>
      </c>
      <c r="D1499" s="96" t="s">
        <v>215</v>
      </c>
      <c r="E1499" s="43">
        <v>45929</v>
      </c>
      <c r="F1499" s="43">
        <v>45947</v>
      </c>
      <c r="G1499" s="96" t="s">
        <v>90</v>
      </c>
      <c r="H1499" s="96" t="s">
        <v>1471</v>
      </c>
      <c r="I1499" s="96" t="s">
        <v>194</v>
      </c>
      <c r="J1499" s="96" t="s">
        <v>173</v>
      </c>
      <c r="K1499" s="96" t="s">
        <v>195</v>
      </c>
      <c r="L1499">
        <v>18</v>
      </c>
      <c r="M1499" t="s">
        <v>19</v>
      </c>
      <c r="N1499" t="s">
        <v>12</v>
      </c>
      <c r="O1499" t="s">
        <v>149</v>
      </c>
      <c r="P1499">
        <v>2025</v>
      </c>
    </row>
    <row r="1500" spans="1:16" x14ac:dyDescent="0.25">
      <c r="A1500" s="96" t="s">
        <v>2</v>
      </c>
      <c r="B1500" s="96" t="s">
        <v>201</v>
      </c>
      <c r="C1500" s="96" t="s">
        <v>1531</v>
      </c>
      <c r="D1500" s="96" t="s">
        <v>237</v>
      </c>
      <c r="E1500" s="43">
        <v>46092</v>
      </c>
      <c r="F1500" s="43">
        <v>46133</v>
      </c>
      <c r="G1500" s="96" t="s">
        <v>90</v>
      </c>
      <c r="H1500" s="96" t="s">
        <v>5046</v>
      </c>
      <c r="I1500" s="96" t="s">
        <v>225</v>
      </c>
      <c r="J1500" s="96" t="s">
        <v>283</v>
      </c>
      <c r="K1500" s="96" t="s">
        <v>205</v>
      </c>
      <c r="L1500">
        <v>41</v>
      </c>
      <c r="M1500" t="s">
        <v>24</v>
      </c>
      <c r="N1500" t="s">
        <v>35</v>
      </c>
      <c r="O1500" t="s">
        <v>170</v>
      </c>
      <c r="P1500">
        <v>2026</v>
      </c>
    </row>
    <row r="1501" spans="1:16" hidden="1" x14ac:dyDescent="0.25">
      <c r="A1501" s="96" t="s">
        <v>2</v>
      </c>
      <c r="B1501" s="96" t="s">
        <v>322</v>
      </c>
      <c r="C1501" s="96" t="s">
        <v>1532</v>
      </c>
      <c r="D1501" s="96" t="s">
        <v>10</v>
      </c>
      <c r="E1501" s="43">
        <v>45924</v>
      </c>
      <c r="F1501" s="43">
        <v>45979</v>
      </c>
      <c r="G1501" s="96" t="s">
        <v>95</v>
      </c>
      <c r="H1501" s="96" t="s">
        <v>5047</v>
      </c>
      <c r="I1501" s="96" t="s">
        <v>209</v>
      </c>
      <c r="J1501" s="96" t="s">
        <v>169</v>
      </c>
      <c r="K1501" s="96" t="s">
        <v>230</v>
      </c>
      <c r="L1501">
        <v>55</v>
      </c>
      <c r="M1501" t="s">
        <v>24</v>
      </c>
      <c r="N1501" t="s">
        <v>12</v>
      </c>
      <c r="O1501" t="s">
        <v>150</v>
      </c>
      <c r="P1501">
        <v>2025</v>
      </c>
    </row>
    <row r="1502" spans="1:16" hidden="1" x14ac:dyDescent="0.25">
      <c r="A1502" s="96" t="s">
        <v>2</v>
      </c>
      <c r="B1502" s="96" t="s">
        <v>272</v>
      </c>
      <c r="C1502" s="96" t="s">
        <v>1533</v>
      </c>
      <c r="D1502" s="96" t="s">
        <v>215</v>
      </c>
      <c r="E1502" s="43">
        <v>45795</v>
      </c>
      <c r="F1502" s="43">
        <v>45812</v>
      </c>
      <c r="G1502" s="96" t="s">
        <v>90</v>
      </c>
      <c r="H1502" s="96" t="s">
        <v>5048</v>
      </c>
      <c r="I1502" s="96" t="s">
        <v>194</v>
      </c>
      <c r="J1502" s="96" t="s">
        <v>93</v>
      </c>
      <c r="K1502" s="96" t="s">
        <v>217</v>
      </c>
      <c r="L1502">
        <v>17</v>
      </c>
      <c r="M1502" t="s">
        <v>19</v>
      </c>
      <c r="N1502" t="s">
        <v>182</v>
      </c>
      <c r="O1502" t="s">
        <v>151</v>
      </c>
      <c r="P1502">
        <v>2025</v>
      </c>
    </row>
    <row r="1503" spans="1:16" hidden="1" x14ac:dyDescent="0.25">
      <c r="A1503" s="96" t="s">
        <v>2</v>
      </c>
      <c r="B1503" s="96" t="s">
        <v>257</v>
      </c>
      <c r="C1503" s="96" t="s">
        <v>1534</v>
      </c>
      <c r="D1503" s="96" t="s">
        <v>192</v>
      </c>
      <c r="E1503" s="43">
        <v>45804</v>
      </c>
      <c r="F1503" s="43">
        <v>45919</v>
      </c>
      <c r="G1503" s="96" t="s">
        <v>95</v>
      </c>
      <c r="H1503" s="96" t="s">
        <v>1476</v>
      </c>
      <c r="I1503" s="96" t="s">
        <v>209</v>
      </c>
      <c r="J1503" s="96" t="s">
        <v>177</v>
      </c>
      <c r="K1503" s="96" t="s">
        <v>233</v>
      </c>
      <c r="L1503">
        <v>115</v>
      </c>
      <c r="M1503" t="s">
        <v>28</v>
      </c>
      <c r="N1503" t="s">
        <v>182</v>
      </c>
      <c r="O1503" t="s">
        <v>151</v>
      </c>
      <c r="P1503">
        <v>2025</v>
      </c>
    </row>
    <row r="1504" spans="1:16" x14ac:dyDescent="0.25">
      <c r="A1504" s="96" t="s">
        <v>2</v>
      </c>
      <c r="B1504" s="96" t="s">
        <v>249</v>
      </c>
      <c r="C1504" s="96" t="s">
        <v>5049</v>
      </c>
      <c r="D1504" s="96" t="s">
        <v>223</v>
      </c>
      <c r="E1504" s="43">
        <v>46060</v>
      </c>
      <c r="F1504" s="43">
        <v>46094</v>
      </c>
      <c r="G1504" s="96" t="s">
        <v>92</v>
      </c>
      <c r="H1504" s="96" t="s">
        <v>5050</v>
      </c>
      <c r="I1504" s="96" t="s">
        <v>9</v>
      </c>
      <c r="J1504" s="96" t="s">
        <v>172</v>
      </c>
      <c r="K1504" s="96" t="s">
        <v>233</v>
      </c>
      <c r="L1504">
        <v>34</v>
      </c>
      <c r="M1504" t="s">
        <v>24</v>
      </c>
      <c r="N1504" t="s">
        <v>32</v>
      </c>
      <c r="O1504" t="s">
        <v>170</v>
      </c>
      <c r="P1504">
        <v>2026</v>
      </c>
    </row>
    <row r="1505" spans="1:16" hidden="1" x14ac:dyDescent="0.25">
      <c r="A1505" s="96" t="s">
        <v>2</v>
      </c>
      <c r="B1505" s="96" t="s">
        <v>213</v>
      </c>
      <c r="C1505" s="96" t="s">
        <v>1535</v>
      </c>
      <c r="D1505" s="96" t="s">
        <v>40</v>
      </c>
      <c r="E1505" s="43">
        <v>45953</v>
      </c>
      <c r="F1505" s="43">
        <v>46035</v>
      </c>
      <c r="G1505" s="96" t="s">
        <v>92</v>
      </c>
      <c r="H1505" s="96" t="s">
        <v>5051</v>
      </c>
      <c r="I1505" s="96" t="s">
        <v>225</v>
      </c>
      <c r="J1505" s="96" t="s">
        <v>165</v>
      </c>
      <c r="K1505" s="96" t="s">
        <v>200</v>
      </c>
      <c r="L1505">
        <v>82</v>
      </c>
      <c r="M1505" t="s">
        <v>28</v>
      </c>
      <c r="N1505" t="s">
        <v>16</v>
      </c>
      <c r="O1505" t="s">
        <v>149</v>
      </c>
      <c r="P1505">
        <v>2025</v>
      </c>
    </row>
    <row r="1506" spans="1:16" hidden="1" x14ac:dyDescent="0.25">
      <c r="A1506" s="96" t="s">
        <v>175</v>
      </c>
      <c r="B1506" s="96" t="s">
        <v>211</v>
      </c>
      <c r="C1506" s="96" t="s">
        <v>5052</v>
      </c>
      <c r="D1506" s="96" t="s">
        <v>40</v>
      </c>
      <c r="E1506" s="43">
        <v>45918</v>
      </c>
      <c r="F1506" s="43">
        <v>45962</v>
      </c>
      <c r="G1506" s="96" t="s">
        <v>92</v>
      </c>
      <c r="H1506" s="96" t="s">
        <v>5053</v>
      </c>
      <c r="I1506" s="96" t="s">
        <v>228</v>
      </c>
      <c r="J1506" s="96" t="s">
        <v>91</v>
      </c>
      <c r="K1506" s="96" t="s">
        <v>246</v>
      </c>
      <c r="L1506">
        <v>44</v>
      </c>
      <c r="M1506" t="s">
        <v>24</v>
      </c>
      <c r="N1506" t="s">
        <v>12</v>
      </c>
      <c r="O1506" t="s">
        <v>170</v>
      </c>
      <c r="P1506">
        <v>2025</v>
      </c>
    </row>
    <row r="1507" spans="1:16" hidden="1" x14ac:dyDescent="0.25">
      <c r="A1507" s="96" t="s">
        <v>2</v>
      </c>
      <c r="B1507" s="96" t="s">
        <v>221</v>
      </c>
      <c r="C1507" s="96" t="s">
        <v>5054</v>
      </c>
      <c r="D1507" s="96" t="s">
        <v>237</v>
      </c>
      <c r="E1507" s="43">
        <v>45821</v>
      </c>
      <c r="F1507" s="43">
        <v>45867</v>
      </c>
      <c r="G1507" s="96" t="s">
        <v>90</v>
      </c>
      <c r="H1507" s="96" t="s">
        <v>5055</v>
      </c>
      <c r="I1507" s="96" t="s">
        <v>228</v>
      </c>
      <c r="J1507" s="96" t="s">
        <v>174</v>
      </c>
      <c r="K1507" s="96" t="s">
        <v>217</v>
      </c>
      <c r="L1507">
        <v>46</v>
      </c>
      <c r="M1507" t="s">
        <v>24</v>
      </c>
      <c r="N1507" t="s">
        <v>184</v>
      </c>
      <c r="O1507" t="s">
        <v>170</v>
      </c>
      <c r="P1507">
        <v>2025</v>
      </c>
    </row>
    <row r="1508" spans="1:16" x14ac:dyDescent="0.25">
      <c r="A1508" s="96" t="s">
        <v>2</v>
      </c>
      <c r="B1508" s="96" t="s">
        <v>201</v>
      </c>
      <c r="C1508" s="96" t="s">
        <v>1536</v>
      </c>
      <c r="D1508" s="96" t="s">
        <v>203</v>
      </c>
      <c r="E1508" s="43">
        <v>46075</v>
      </c>
      <c r="F1508" s="43">
        <v>46137</v>
      </c>
      <c r="G1508" s="96" t="s">
        <v>92</v>
      </c>
      <c r="H1508" s="96" t="s">
        <v>5056</v>
      </c>
      <c r="I1508" s="96" t="s">
        <v>194</v>
      </c>
      <c r="J1508" s="96" t="s">
        <v>199</v>
      </c>
      <c r="K1508" s="96" t="s">
        <v>233</v>
      </c>
      <c r="L1508">
        <v>62</v>
      </c>
      <c r="M1508" t="s">
        <v>28</v>
      </c>
      <c r="N1508" t="s">
        <v>32</v>
      </c>
      <c r="O1508" t="s">
        <v>170</v>
      </c>
      <c r="P1508">
        <v>2026</v>
      </c>
    </row>
    <row r="1509" spans="1:16" hidden="1" x14ac:dyDescent="0.25">
      <c r="A1509" s="96" t="s">
        <v>2</v>
      </c>
      <c r="B1509" s="96" t="s">
        <v>272</v>
      </c>
      <c r="C1509" s="96" t="s">
        <v>5057</v>
      </c>
      <c r="D1509" s="96" t="s">
        <v>215</v>
      </c>
      <c r="E1509" s="43">
        <v>45898</v>
      </c>
      <c r="F1509" s="43">
        <v>46004</v>
      </c>
      <c r="G1509" s="96" t="s">
        <v>90</v>
      </c>
      <c r="H1509" s="96" t="s">
        <v>5058</v>
      </c>
      <c r="I1509" s="96" t="s">
        <v>225</v>
      </c>
      <c r="J1509" s="96" t="s">
        <v>283</v>
      </c>
      <c r="K1509" s="96" t="s">
        <v>233</v>
      </c>
      <c r="L1509">
        <v>106</v>
      </c>
      <c r="M1509" t="s">
        <v>28</v>
      </c>
      <c r="N1509" t="s">
        <v>8</v>
      </c>
      <c r="O1509" t="s">
        <v>151</v>
      </c>
      <c r="P1509">
        <v>2025</v>
      </c>
    </row>
    <row r="1510" spans="1:16" hidden="1" x14ac:dyDescent="0.25">
      <c r="A1510" s="96" t="s">
        <v>2</v>
      </c>
      <c r="B1510" s="96" t="s">
        <v>206</v>
      </c>
      <c r="C1510" s="96" t="s">
        <v>5059</v>
      </c>
      <c r="D1510" s="96" t="s">
        <v>215</v>
      </c>
      <c r="E1510" s="43">
        <v>45679</v>
      </c>
      <c r="F1510" s="43">
        <v>45772</v>
      </c>
      <c r="G1510" s="96" t="s">
        <v>95</v>
      </c>
      <c r="H1510" s="96" t="s">
        <v>5060</v>
      </c>
      <c r="I1510" s="96" t="s">
        <v>204</v>
      </c>
      <c r="J1510" s="96" t="s">
        <v>97</v>
      </c>
      <c r="K1510" s="96" t="s">
        <v>157</v>
      </c>
      <c r="L1510">
        <v>93</v>
      </c>
      <c r="M1510" t="s">
        <v>28</v>
      </c>
      <c r="N1510" t="s">
        <v>181</v>
      </c>
      <c r="O1510" t="s">
        <v>152</v>
      </c>
      <c r="P1510">
        <v>2025</v>
      </c>
    </row>
    <row r="1511" spans="1:16" hidden="1" x14ac:dyDescent="0.25">
      <c r="A1511" s="96" t="s">
        <v>2</v>
      </c>
      <c r="B1511" s="96" t="s">
        <v>272</v>
      </c>
      <c r="C1511" s="96" t="s">
        <v>5061</v>
      </c>
      <c r="D1511" s="96" t="s">
        <v>215</v>
      </c>
      <c r="E1511" s="43">
        <v>45795</v>
      </c>
      <c r="F1511" s="43">
        <v>45914</v>
      </c>
      <c r="G1511" s="96" t="s">
        <v>92</v>
      </c>
      <c r="H1511" s="96" t="s">
        <v>5062</v>
      </c>
      <c r="I1511" s="96" t="s">
        <v>9</v>
      </c>
      <c r="J1511" s="96" t="s">
        <v>173</v>
      </c>
      <c r="K1511" s="96" t="s">
        <v>157</v>
      </c>
      <c r="L1511">
        <v>119</v>
      </c>
      <c r="M1511" t="s">
        <v>28</v>
      </c>
      <c r="N1511" t="s">
        <v>182</v>
      </c>
      <c r="O1511" t="s">
        <v>151</v>
      </c>
      <c r="P1511">
        <v>2025</v>
      </c>
    </row>
    <row r="1512" spans="1:16" hidden="1" x14ac:dyDescent="0.25">
      <c r="A1512" s="96" t="s">
        <v>2</v>
      </c>
      <c r="B1512" s="96" t="s">
        <v>257</v>
      </c>
      <c r="C1512" s="96" t="s">
        <v>5063</v>
      </c>
      <c r="D1512" s="96" t="s">
        <v>40</v>
      </c>
      <c r="E1512" s="43">
        <v>45738</v>
      </c>
      <c r="F1512" s="43">
        <v>45854</v>
      </c>
      <c r="G1512" s="96" t="s">
        <v>92</v>
      </c>
      <c r="H1512" s="96" t="s">
        <v>5064</v>
      </c>
      <c r="I1512" s="96" t="s">
        <v>204</v>
      </c>
      <c r="J1512" s="96" t="s">
        <v>165</v>
      </c>
      <c r="K1512" s="96" t="s">
        <v>200</v>
      </c>
      <c r="L1512">
        <v>116</v>
      </c>
      <c r="M1512" t="s">
        <v>28</v>
      </c>
      <c r="N1512" t="s">
        <v>186</v>
      </c>
      <c r="O1512" t="s">
        <v>151</v>
      </c>
      <c r="P1512">
        <v>2025</v>
      </c>
    </row>
    <row r="1513" spans="1:16" x14ac:dyDescent="0.25">
      <c r="A1513" s="96" t="s">
        <v>21</v>
      </c>
      <c r="B1513" s="96" t="s">
        <v>218</v>
      </c>
      <c r="C1513" s="96" t="s">
        <v>5065</v>
      </c>
      <c r="D1513" s="96" t="s">
        <v>14</v>
      </c>
      <c r="E1513" s="43">
        <v>46038</v>
      </c>
      <c r="F1513" s="43">
        <v>46060</v>
      </c>
      <c r="G1513" s="96" t="s">
        <v>92</v>
      </c>
      <c r="H1513" s="96" t="s">
        <v>1482</v>
      </c>
      <c r="I1513" s="96" t="s">
        <v>225</v>
      </c>
      <c r="J1513" s="96" t="s">
        <v>172</v>
      </c>
      <c r="K1513" s="96" t="s">
        <v>157</v>
      </c>
      <c r="L1513">
        <v>22</v>
      </c>
      <c r="M1513" t="s">
        <v>19</v>
      </c>
      <c r="N1513" t="s">
        <v>29</v>
      </c>
      <c r="O1513" t="s">
        <v>152</v>
      </c>
      <c r="P1513">
        <v>2026</v>
      </c>
    </row>
    <row r="1514" spans="1:16" hidden="1" x14ac:dyDescent="0.25">
      <c r="A1514" s="96" t="s">
        <v>2</v>
      </c>
      <c r="B1514" s="96" t="s">
        <v>251</v>
      </c>
      <c r="C1514" s="96" t="s">
        <v>1537</v>
      </c>
      <c r="D1514" s="96" t="s">
        <v>215</v>
      </c>
      <c r="E1514" s="43">
        <v>45755</v>
      </c>
      <c r="F1514" s="43">
        <v>45873</v>
      </c>
      <c r="G1514" s="96" t="s">
        <v>90</v>
      </c>
      <c r="H1514" s="96" t="s">
        <v>1484</v>
      </c>
      <c r="I1514" s="96" t="s">
        <v>228</v>
      </c>
      <c r="J1514" s="96" t="s">
        <v>229</v>
      </c>
      <c r="K1514" s="96" t="s">
        <v>246</v>
      </c>
      <c r="L1514">
        <v>118</v>
      </c>
      <c r="M1514" t="s">
        <v>28</v>
      </c>
      <c r="N1514" t="s">
        <v>185</v>
      </c>
      <c r="O1514" t="s">
        <v>170</v>
      </c>
      <c r="P1514">
        <v>2025</v>
      </c>
    </row>
    <row r="1515" spans="1:16" x14ac:dyDescent="0.25">
      <c r="A1515" s="96" t="s">
        <v>21</v>
      </c>
      <c r="B1515" s="96" t="s">
        <v>219</v>
      </c>
      <c r="C1515" s="96" t="s">
        <v>1538</v>
      </c>
      <c r="D1515" s="96" t="s">
        <v>34</v>
      </c>
      <c r="E1515" s="43">
        <v>46143</v>
      </c>
      <c r="F1515" s="43">
        <v>46146</v>
      </c>
      <c r="G1515" s="96" t="s">
        <v>92</v>
      </c>
      <c r="H1515" s="96" t="s">
        <v>1485</v>
      </c>
      <c r="I1515" s="96" t="s">
        <v>209</v>
      </c>
      <c r="J1515" s="96" t="s">
        <v>216</v>
      </c>
      <c r="K1515" s="96" t="s">
        <v>157</v>
      </c>
      <c r="L1515">
        <v>3</v>
      </c>
      <c r="M1515" t="s">
        <v>11</v>
      </c>
      <c r="N1515" t="s">
        <v>183</v>
      </c>
      <c r="O1515" t="s">
        <v>149</v>
      </c>
      <c r="P1515">
        <v>2026</v>
      </c>
    </row>
    <row r="1516" spans="1:16" x14ac:dyDescent="0.25">
      <c r="A1516" s="96" t="s">
        <v>2</v>
      </c>
      <c r="B1516" s="96" t="s">
        <v>317</v>
      </c>
      <c r="C1516" s="96" t="s">
        <v>1539</v>
      </c>
      <c r="D1516" s="96" t="s">
        <v>10</v>
      </c>
      <c r="E1516" s="43">
        <v>46073</v>
      </c>
      <c r="F1516" s="43">
        <v>46074</v>
      </c>
      <c r="G1516" s="96" t="s">
        <v>90</v>
      </c>
      <c r="H1516" s="96" t="s">
        <v>1487</v>
      </c>
      <c r="I1516" s="96" t="s">
        <v>157</v>
      </c>
      <c r="J1516" s="96" t="s">
        <v>173</v>
      </c>
      <c r="K1516" s="96" t="s">
        <v>230</v>
      </c>
      <c r="L1516">
        <v>1</v>
      </c>
      <c r="M1516" t="s">
        <v>11</v>
      </c>
      <c r="N1516" t="s">
        <v>32</v>
      </c>
      <c r="O1516" t="s">
        <v>170</v>
      </c>
      <c r="P1516">
        <v>2026</v>
      </c>
    </row>
    <row r="1517" spans="1:16" x14ac:dyDescent="0.25">
      <c r="A1517" s="96" t="s">
        <v>2</v>
      </c>
      <c r="B1517" s="96" t="s">
        <v>261</v>
      </c>
      <c r="C1517" s="96" t="s">
        <v>1540</v>
      </c>
      <c r="D1517" s="96" t="s">
        <v>203</v>
      </c>
      <c r="E1517" s="43">
        <v>46126</v>
      </c>
      <c r="F1517" s="43">
        <v>46148</v>
      </c>
      <c r="G1517" s="96" t="s">
        <v>92</v>
      </c>
      <c r="H1517" s="96" t="s">
        <v>5066</v>
      </c>
      <c r="I1517" s="96" t="s">
        <v>157</v>
      </c>
      <c r="J1517" s="96" t="s">
        <v>94</v>
      </c>
      <c r="K1517" s="96" t="s">
        <v>205</v>
      </c>
      <c r="L1517">
        <v>22</v>
      </c>
      <c r="M1517" t="s">
        <v>19</v>
      </c>
      <c r="N1517" t="s">
        <v>37</v>
      </c>
      <c r="O1517" t="s">
        <v>151</v>
      </c>
      <c r="P1517">
        <v>2026</v>
      </c>
    </row>
    <row r="1518" spans="1:16" x14ac:dyDescent="0.25">
      <c r="A1518" s="96" t="s">
        <v>2</v>
      </c>
      <c r="B1518" s="96" t="s">
        <v>374</v>
      </c>
      <c r="C1518" s="96" t="s">
        <v>1541</v>
      </c>
      <c r="D1518" s="96" t="s">
        <v>208</v>
      </c>
      <c r="E1518" s="43">
        <v>46074</v>
      </c>
      <c r="F1518" s="43">
        <v>46150</v>
      </c>
      <c r="G1518" s="96" t="s">
        <v>90</v>
      </c>
      <c r="H1518" s="96" t="s">
        <v>5067</v>
      </c>
      <c r="I1518" s="96" t="s">
        <v>9</v>
      </c>
      <c r="J1518" s="96" t="s">
        <v>97</v>
      </c>
      <c r="K1518" s="96" t="s">
        <v>230</v>
      </c>
      <c r="L1518">
        <v>76</v>
      </c>
      <c r="M1518" t="s">
        <v>28</v>
      </c>
      <c r="N1518" t="s">
        <v>32</v>
      </c>
      <c r="O1518" t="s">
        <v>150</v>
      </c>
      <c r="P1518">
        <v>2026</v>
      </c>
    </row>
    <row r="1519" spans="1:16" hidden="1" x14ac:dyDescent="0.25">
      <c r="A1519" s="96" t="s">
        <v>2</v>
      </c>
      <c r="B1519" s="96" t="s">
        <v>240</v>
      </c>
      <c r="C1519" s="96" t="s">
        <v>1543</v>
      </c>
      <c r="D1519" s="96" t="s">
        <v>14</v>
      </c>
      <c r="E1519" s="43">
        <v>45782</v>
      </c>
      <c r="F1519" s="43">
        <v>45836</v>
      </c>
      <c r="G1519" s="96" t="s">
        <v>90</v>
      </c>
      <c r="H1519" s="96" t="s">
        <v>5068</v>
      </c>
      <c r="I1519" s="96" t="s">
        <v>204</v>
      </c>
      <c r="J1519" s="96" t="s">
        <v>177</v>
      </c>
      <c r="K1519" s="96" t="s">
        <v>233</v>
      </c>
      <c r="L1519">
        <v>54</v>
      </c>
      <c r="M1519" t="s">
        <v>24</v>
      </c>
      <c r="N1519" t="s">
        <v>182</v>
      </c>
      <c r="O1519" t="s">
        <v>149</v>
      </c>
      <c r="P1519">
        <v>2025</v>
      </c>
    </row>
    <row r="1520" spans="1:16" x14ac:dyDescent="0.25">
      <c r="A1520" s="96" t="s">
        <v>2</v>
      </c>
      <c r="B1520" s="96" t="s">
        <v>288</v>
      </c>
      <c r="C1520" s="96" t="s">
        <v>1544</v>
      </c>
      <c r="D1520" s="96" t="s">
        <v>223</v>
      </c>
      <c r="E1520" s="43">
        <v>46109</v>
      </c>
      <c r="F1520" s="43">
        <v>46148</v>
      </c>
      <c r="G1520" s="96" t="s">
        <v>92</v>
      </c>
      <c r="H1520" s="96" t="s">
        <v>5069</v>
      </c>
      <c r="I1520" s="96" t="s">
        <v>194</v>
      </c>
      <c r="J1520" s="96" t="s">
        <v>165</v>
      </c>
      <c r="K1520" s="96" t="s">
        <v>210</v>
      </c>
      <c r="L1520">
        <v>39</v>
      </c>
      <c r="M1520" t="s">
        <v>24</v>
      </c>
      <c r="N1520" t="s">
        <v>35</v>
      </c>
      <c r="O1520" t="s">
        <v>170</v>
      </c>
      <c r="P1520">
        <v>2026</v>
      </c>
    </row>
    <row r="1521" spans="1:16" hidden="1" x14ac:dyDescent="0.25">
      <c r="A1521" s="96" t="s">
        <v>21</v>
      </c>
      <c r="B1521" s="96" t="s">
        <v>322</v>
      </c>
      <c r="C1521" s="96" t="s">
        <v>1546</v>
      </c>
      <c r="D1521" s="96" t="s">
        <v>237</v>
      </c>
      <c r="E1521" s="43">
        <v>45780</v>
      </c>
      <c r="F1521" s="43">
        <v>45884</v>
      </c>
      <c r="G1521" s="96" t="s">
        <v>92</v>
      </c>
      <c r="H1521" s="96" t="s">
        <v>5070</v>
      </c>
      <c r="I1521" s="96" t="s">
        <v>194</v>
      </c>
      <c r="J1521" s="96" t="s">
        <v>97</v>
      </c>
      <c r="K1521" s="96" t="s">
        <v>210</v>
      </c>
      <c r="L1521">
        <v>104</v>
      </c>
      <c r="M1521" t="s">
        <v>28</v>
      </c>
      <c r="N1521" t="s">
        <v>182</v>
      </c>
      <c r="O1521" t="s">
        <v>150</v>
      </c>
      <c r="P1521">
        <v>2025</v>
      </c>
    </row>
    <row r="1522" spans="1:16" x14ac:dyDescent="0.25">
      <c r="A1522" s="96" t="s">
        <v>2</v>
      </c>
      <c r="B1522" s="96" t="s">
        <v>261</v>
      </c>
      <c r="C1522" s="96" t="s">
        <v>1548</v>
      </c>
      <c r="D1522" s="96" t="s">
        <v>34</v>
      </c>
      <c r="E1522" s="43">
        <v>46059</v>
      </c>
      <c r="F1522" s="43">
        <v>46099</v>
      </c>
      <c r="G1522" s="96" t="s">
        <v>90</v>
      </c>
      <c r="H1522" s="96" t="s">
        <v>5071</v>
      </c>
      <c r="I1522" s="96" t="s">
        <v>204</v>
      </c>
      <c r="J1522" s="96" t="s">
        <v>172</v>
      </c>
      <c r="K1522" s="96" t="s">
        <v>195</v>
      </c>
      <c r="L1522">
        <v>40</v>
      </c>
      <c r="M1522" t="s">
        <v>24</v>
      </c>
      <c r="N1522" t="s">
        <v>32</v>
      </c>
      <c r="O1522" t="s">
        <v>151</v>
      </c>
      <c r="P1522">
        <v>2026</v>
      </c>
    </row>
    <row r="1523" spans="1:16" x14ac:dyDescent="0.25">
      <c r="A1523" s="96" t="s">
        <v>2</v>
      </c>
      <c r="B1523" s="96" t="s">
        <v>274</v>
      </c>
      <c r="C1523" s="96" t="s">
        <v>5072</v>
      </c>
      <c r="D1523" s="96" t="s">
        <v>10</v>
      </c>
      <c r="E1523" s="43">
        <v>46059</v>
      </c>
      <c r="F1523" s="43">
        <v>46062</v>
      </c>
      <c r="G1523" s="96" t="s">
        <v>92</v>
      </c>
      <c r="H1523" s="96" t="s">
        <v>5073</v>
      </c>
      <c r="I1523" s="96" t="s">
        <v>204</v>
      </c>
      <c r="J1523" s="96" t="s">
        <v>165</v>
      </c>
      <c r="K1523" s="96" t="s">
        <v>195</v>
      </c>
      <c r="L1523">
        <v>3</v>
      </c>
      <c r="M1523" t="s">
        <v>11</v>
      </c>
      <c r="N1523" t="s">
        <v>32</v>
      </c>
      <c r="O1523" t="s">
        <v>170</v>
      </c>
      <c r="P1523">
        <v>2026</v>
      </c>
    </row>
    <row r="1524" spans="1:16" hidden="1" x14ac:dyDescent="0.25">
      <c r="A1524" s="96" t="s">
        <v>2</v>
      </c>
      <c r="B1524" s="96" t="s">
        <v>190</v>
      </c>
      <c r="C1524" s="96" t="s">
        <v>1550</v>
      </c>
      <c r="D1524" s="96" t="s">
        <v>10</v>
      </c>
      <c r="E1524" s="43">
        <v>45831</v>
      </c>
      <c r="F1524" s="43">
        <v>45867</v>
      </c>
      <c r="G1524" s="96" t="s">
        <v>92</v>
      </c>
      <c r="H1524" s="96" t="s">
        <v>1492</v>
      </c>
      <c r="I1524" s="96" t="s">
        <v>209</v>
      </c>
      <c r="J1524" s="96" t="s">
        <v>91</v>
      </c>
      <c r="K1524" s="96" t="s">
        <v>205</v>
      </c>
      <c r="L1524">
        <v>36</v>
      </c>
      <c r="M1524" t="s">
        <v>24</v>
      </c>
      <c r="N1524" t="s">
        <v>184</v>
      </c>
      <c r="O1524" t="s">
        <v>150</v>
      </c>
      <c r="P1524">
        <v>2025</v>
      </c>
    </row>
    <row r="1525" spans="1:16" hidden="1" x14ac:dyDescent="0.25">
      <c r="A1525" s="96" t="s">
        <v>2</v>
      </c>
      <c r="B1525" s="96" t="s">
        <v>247</v>
      </c>
      <c r="C1525" s="96" t="s">
        <v>1551</v>
      </c>
      <c r="D1525" s="96" t="s">
        <v>14</v>
      </c>
      <c r="E1525" s="43">
        <v>45873</v>
      </c>
      <c r="F1525" s="43">
        <v>45982</v>
      </c>
      <c r="G1525" s="96" t="s">
        <v>90</v>
      </c>
      <c r="H1525" s="96" t="s">
        <v>1493</v>
      </c>
      <c r="I1525" s="96" t="s">
        <v>9</v>
      </c>
      <c r="J1525" s="96" t="s">
        <v>177</v>
      </c>
      <c r="K1525" s="96" t="s">
        <v>195</v>
      </c>
      <c r="L1525">
        <v>109</v>
      </c>
      <c r="M1525" t="s">
        <v>28</v>
      </c>
      <c r="N1525" t="s">
        <v>8</v>
      </c>
      <c r="O1525" t="s">
        <v>150</v>
      </c>
      <c r="P1525">
        <v>2025</v>
      </c>
    </row>
    <row r="1526" spans="1:16" hidden="1" x14ac:dyDescent="0.25">
      <c r="A1526" s="96" t="s">
        <v>2</v>
      </c>
      <c r="B1526" s="96" t="s">
        <v>231</v>
      </c>
      <c r="C1526" s="96" t="s">
        <v>1552</v>
      </c>
      <c r="D1526" s="96" t="s">
        <v>40</v>
      </c>
      <c r="E1526" s="43">
        <v>45927</v>
      </c>
      <c r="F1526" s="43">
        <v>46033</v>
      </c>
      <c r="G1526" s="96" t="s">
        <v>92</v>
      </c>
      <c r="H1526" s="96" t="s">
        <v>1495</v>
      </c>
      <c r="I1526" s="96" t="s">
        <v>157</v>
      </c>
      <c r="J1526" s="96" t="s">
        <v>98</v>
      </c>
      <c r="K1526" s="96" t="s">
        <v>195</v>
      </c>
      <c r="L1526">
        <v>106</v>
      </c>
      <c r="M1526" t="s">
        <v>28</v>
      </c>
      <c r="N1526" t="s">
        <v>12</v>
      </c>
      <c r="O1526" t="s">
        <v>170</v>
      </c>
      <c r="P1526">
        <v>2025</v>
      </c>
    </row>
    <row r="1527" spans="1:16" x14ac:dyDescent="0.25">
      <c r="A1527" s="96" t="s">
        <v>2</v>
      </c>
      <c r="B1527" s="96" t="s">
        <v>302</v>
      </c>
      <c r="C1527" s="96" t="s">
        <v>1554</v>
      </c>
      <c r="D1527" s="96" t="s">
        <v>208</v>
      </c>
      <c r="E1527" s="43">
        <v>46044</v>
      </c>
      <c r="F1527" s="43">
        <v>46062</v>
      </c>
      <c r="G1527" s="96" t="s">
        <v>92</v>
      </c>
      <c r="H1527" s="96" t="s">
        <v>1497</v>
      </c>
      <c r="I1527" s="96" t="s">
        <v>209</v>
      </c>
      <c r="J1527" s="96" t="s">
        <v>168</v>
      </c>
      <c r="K1527" s="96" t="s">
        <v>246</v>
      </c>
      <c r="L1527">
        <v>18</v>
      </c>
      <c r="M1527" t="s">
        <v>19</v>
      </c>
      <c r="N1527" t="s">
        <v>29</v>
      </c>
      <c r="O1527" t="s">
        <v>150</v>
      </c>
      <c r="P1527">
        <v>2026</v>
      </c>
    </row>
    <row r="1528" spans="1:16" x14ac:dyDescent="0.25">
      <c r="A1528" s="96" t="s">
        <v>171</v>
      </c>
      <c r="B1528" s="96" t="s">
        <v>374</v>
      </c>
      <c r="C1528" s="96" t="s">
        <v>1556</v>
      </c>
      <c r="D1528" s="96" t="s">
        <v>223</v>
      </c>
      <c r="E1528" s="43">
        <v>46111</v>
      </c>
      <c r="F1528" s="43">
        <v>46146</v>
      </c>
      <c r="G1528" s="96" t="s">
        <v>90</v>
      </c>
      <c r="H1528" s="96" t="s">
        <v>5074</v>
      </c>
      <c r="I1528" s="96" t="s">
        <v>209</v>
      </c>
      <c r="J1528" s="96" t="s">
        <v>98</v>
      </c>
      <c r="K1528" s="96" t="s">
        <v>205</v>
      </c>
      <c r="L1528">
        <v>35</v>
      </c>
      <c r="M1528" t="s">
        <v>24</v>
      </c>
      <c r="N1528" t="s">
        <v>35</v>
      </c>
      <c r="O1528" t="s">
        <v>150</v>
      </c>
      <c r="P1528">
        <v>2026</v>
      </c>
    </row>
    <row r="1529" spans="1:16" hidden="1" x14ac:dyDescent="0.25">
      <c r="A1529" s="96" t="s">
        <v>2</v>
      </c>
      <c r="B1529" s="96" t="s">
        <v>280</v>
      </c>
      <c r="C1529" s="96" t="s">
        <v>5075</v>
      </c>
      <c r="D1529" s="96" t="s">
        <v>40</v>
      </c>
      <c r="E1529" s="43">
        <v>45783</v>
      </c>
      <c r="F1529" s="43">
        <v>45785</v>
      </c>
      <c r="G1529" s="96" t="s">
        <v>92</v>
      </c>
      <c r="H1529" s="96" t="s">
        <v>5076</v>
      </c>
      <c r="I1529" s="96" t="s">
        <v>225</v>
      </c>
      <c r="J1529" s="96" t="s">
        <v>199</v>
      </c>
      <c r="K1529" s="96" t="s">
        <v>157</v>
      </c>
      <c r="L1529">
        <v>2</v>
      </c>
      <c r="M1529" t="s">
        <v>11</v>
      </c>
      <c r="N1529" t="s">
        <v>182</v>
      </c>
      <c r="O1529" t="s">
        <v>170</v>
      </c>
      <c r="P1529">
        <v>2025</v>
      </c>
    </row>
    <row r="1530" spans="1:16" hidden="1" x14ac:dyDescent="0.25">
      <c r="A1530" s="96" t="s">
        <v>2</v>
      </c>
      <c r="B1530" s="96" t="s">
        <v>206</v>
      </c>
      <c r="C1530" s="96" t="s">
        <v>1558</v>
      </c>
      <c r="D1530" s="96" t="s">
        <v>223</v>
      </c>
      <c r="E1530" s="43">
        <v>45721</v>
      </c>
      <c r="F1530" s="43">
        <v>45817</v>
      </c>
      <c r="G1530" s="96" t="s">
        <v>92</v>
      </c>
      <c r="H1530" s="96" t="s">
        <v>5077</v>
      </c>
      <c r="I1530" s="96" t="s">
        <v>209</v>
      </c>
      <c r="J1530" s="96" t="s">
        <v>172</v>
      </c>
      <c r="K1530" s="96" t="s">
        <v>233</v>
      </c>
      <c r="L1530">
        <v>96</v>
      </c>
      <c r="M1530" t="s">
        <v>28</v>
      </c>
      <c r="N1530" t="s">
        <v>186</v>
      </c>
      <c r="O1530" t="s">
        <v>152</v>
      </c>
      <c r="P1530">
        <v>2025</v>
      </c>
    </row>
    <row r="1531" spans="1:16" hidden="1" x14ac:dyDescent="0.25">
      <c r="A1531" s="96" t="s">
        <v>2</v>
      </c>
      <c r="B1531" s="96" t="s">
        <v>257</v>
      </c>
      <c r="C1531" s="96" t="s">
        <v>1560</v>
      </c>
      <c r="D1531" s="96" t="s">
        <v>203</v>
      </c>
      <c r="E1531" s="43">
        <v>45906</v>
      </c>
      <c r="F1531" s="43">
        <v>45961</v>
      </c>
      <c r="G1531" s="96" t="s">
        <v>92</v>
      </c>
      <c r="H1531" s="96" t="s">
        <v>5078</v>
      </c>
      <c r="I1531" s="96" t="s">
        <v>157</v>
      </c>
      <c r="J1531" s="96" t="s">
        <v>91</v>
      </c>
      <c r="K1531" s="96" t="s">
        <v>217</v>
      </c>
      <c r="L1531">
        <v>55</v>
      </c>
      <c r="M1531" t="s">
        <v>24</v>
      </c>
      <c r="N1531" t="s">
        <v>12</v>
      </c>
      <c r="O1531" t="s">
        <v>151</v>
      </c>
      <c r="P1531">
        <v>2025</v>
      </c>
    </row>
    <row r="1532" spans="1:16" x14ac:dyDescent="0.25">
      <c r="A1532" s="96" t="s">
        <v>2</v>
      </c>
      <c r="B1532" s="96" t="s">
        <v>218</v>
      </c>
      <c r="C1532" s="96" t="s">
        <v>1561</v>
      </c>
      <c r="D1532" s="96" t="s">
        <v>208</v>
      </c>
      <c r="E1532" s="43">
        <v>46133</v>
      </c>
      <c r="F1532" s="43">
        <v>46147</v>
      </c>
      <c r="G1532" s="96" t="s">
        <v>90</v>
      </c>
      <c r="H1532" s="96" t="s">
        <v>5079</v>
      </c>
      <c r="I1532" s="96" t="s">
        <v>194</v>
      </c>
      <c r="J1532" s="96" t="s">
        <v>229</v>
      </c>
      <c r="K1532" s="96" t="s">
        <v>210</v>
      </c>
      <c r="L1532">
        <v>14</v>
      </c>
      <c r="M1532" t="s">
        <v>15</v>
      </c>
      <c r="N1532" t="s">
        <v>37</v>
      </c>
      <c r="O1532" t="s">
        <v>152</v>
      </c>
      <c r="P1532">
        <v>2026</v>
      </c>
    </row>
    <row r="1533" spans="1:16" hidden="1" x14ac:dyDescent="0.25">
      <c r="A1533" s="96" t="s">
        <v>2</v>
      </c>
      <c r="B1533" s="96" t="s">
        <v>272</v>
      </c>
      <c r="C1533" s="96" t="s">
        <v>1562</v>
      </c>
      <c r="D1533" s="96" t="s">
        <v>237</v>
      </c>
      <c r="E1533" s="43">
        <v>45976</v>
      </c>
      <c r="F1533" s="43">
        <v>46038</v>
      </c>
      <c r="G1533" s="96" t="s">
        <v>92</v>
      </c>
      <c r="H1533" s="96" t="s">
        <v>5080</v>
      </c>
      <c r="I1533" s="96" t="s">
        <v>204</v>
      </c>
      <c r="J1533" s="96" t="s">
        <v>172</v>
      </c>
      <c r="K1533" s="96" t="s">
        <v>157</v>
      </c>
      <c r="L1533">
        <v>62</v>
      </c>
      <c r="M1533" t="s">
        <v>28</v>
      </c>
      <c r="N1533" t="s">
        <v>20</v>
      </c>
      <c r="O1533" t="s">
        <v>151</v>
      </c>
      <c r="P1533">
        <v>2025</v>
      </c>
    </row>
    <row r="1534" spans="1:16" x14ac:dyDescent="0.25">
      <c r="A1534" s="96" t="s">
        <v>2</v>
      </c>
      <c r="B1534" s="96" t="s">
        <v>290</v>
      </c>
      <c r="C1534" s="96" t="s">
        <v>5081</v>
      </c>
      <c r="D1534" s="96" t="s">
        <v>14</v>
      </c>
      <c r="E1534" s="43">
        <v>46117</v>
      </c>
      <c r="F1534" s="43">
        <v>46147</v>
      </c>
      <c r="G1534" s="96" t="s">
        <v>92</v>
      </c>
      <c r="H1534" s="96" t="s">
        <v>5082</v>
      </c>
      <c r="I1534" s="96" t="s">
        <v>157</v>
      </c>
      <c r="J1534" s="96" t="s">
        <v>93</v>
      </c>
      <c r="K1534" s="96" t="s">
        <v>233</v>
      </c>
      <c r="L1534">
        <v>30</v>
      </c>
      <c r="M1534" t="s">
        <v>19</v>
      </c>
      <c r="N1534" t="s">
        <v>37</v>
      </c>
      <c r="O1534" t="s">
        <v>149</v>
      </c>
      <c r="P1534">
        <v>2026</v>
      </c>
    </row>
    <row r="1535" spans="1:16" x14ac:dyDescent="0.25">
      <c r="A1535" s="96" t="s">
        <v>2</v>
      </c>
      <c r="B1535" s="96" t="s">
        <v>288</v>
      </c>
      <c r="C1535" s="96" t="s">
        <v>5083</v>
      </c>
      <c r="D1535" s="96" t="s">
        <v>237</v>
      </c>
      <c r="E1535" s="43">
        <v>46122</v>
      </c>
      <c r="F1535" s="43">
        <v>46148</v>
      </c>
      <c r="G1535" s="96" t="s">
        <v>95</v>
      </c>
      <c r="H1535" s="96" t="s">
        <v>5084</v>
      </c>
      <c r="I1535" s="96" t="s">
        <v>204</v>
      </c>
      <c r="J1535" s="96" t="s">
        <v>165</v>
      </c>
      <c r="K1535" s="96" t="s">
        <v>157</v>
      </c>
      <c r="L1535">
        <v>26</v>
      </c>
      <c r="M1535" t="s">
        <v>19</v>
      </c>
      <c r="N1535" t="s">
        <v>37</v>
      </c>
      <c r="O1535" t="s">
        <v>170</v>
      </c>
      <c r="P1535">
        <v>2026</v>
      </c>
    </row>
    <row r="1536" spans="1:16" hidden="1" x14ac:dyDescent="0.25">
      <c r="A1536" s="96" t="s">
        <v>2</v>
      </c>
      <c r="B1536" s="96" t="s">
        <v>213</v>
      </c>
      <c r="C1536" s="96" t="s">
        <v>1563</v>
      </c>
      <c r="D1536" s="96" t="s">
        <v>10</v>
      </c>
      <c r="E1536" s="43">
        <v>45699</v>
      </c>
      <c r="F1536" s="43">
        <v>45782</v>
      </c>
      <c r="G1536" s="96" t="s">
        <v>92</v>
      </c>
      <c r="H1536" s="96" t="s">
        <v>5085</v>
      </c>
      <c r="I1536" s="96" t="s">
        <v>9</v>
      </c>
      <c r="J1536" s="96" t="s">
        <v>229</v>
      </c>
      <c r="K1536" s="96" t="s">
        <v>230</v>
      </c>
      <c r="L1536">
        <v>83</v>
      </c>
      <c r="M1536" t="s">
        <v>28</v>
      </c>
      <c r="N1536" t="s">
        <v>188</v>
      </c>
      <c r="O1536" t="s">
        <v>149</v>
      </c>
      <c r="P1536">
        <v>2025</v>
      </c>
    </row>
    <row r="1537" spans="1:16" x14ac:dyDescent="0.25">
      <c r="A1537" s="96" t="s">
        <v>2</v>
      </c>
      <c r="B1537" s="96" t="s">
        <v>219</v>
      </c>
      <c r="C1537" s="96" t="s">
        <v>5086</v>
      </c>
      <c r="D1537" s="96" t="s">
        <v>14</v>
      </c>
      <c r="E1537" s="43">
        <v>46073</v>
      </c>
      <c r="F1537" s="43">
        <v>46076</v>
      </c>
      <c r="G1537" s="96" t="s">
        <v>92</v>
      </c>
      <c r="H1537" s="96" t="s">
        <v>5087</v>
      </c>
      <c r="I1537" s="96" t="s">
        <v>209</v>
      </c>
      <c r="J1537" s="96" t="s">
        <v>169</v>
      </c>
      <c r="K1537" s="96" t="s">
        <v>217</v>
      </c>
      <c r="L1537">
        <v>3</v>
      </c>
      <c r="M1537" t="s">
        <v>11</v>
      </c>
      <c r="N1537" t="s">
        <v>32</v>
      </c>
      <c r="O1537" t="s">
        <v>149</v>
      </c>
      <c r="P1537">
        <v>2026</v>
      </c>
    </row>
    <row r="1538" spans="1:16" x14ac:dyDescent="0.25">
      <c r="A1538" s="96" t="s">
        <v>2</v>
      </c>
      <c r="B1538" s="96" t="s">
        <v>218</v>
      </c>
      <c r="C1538" s="96" t="s">
        <v>5088</v>
      </c>
      <c r="D1538" s="96" t="s">
        <v>34</v>
      </c>
      <c r="E1538" s="43">
        <v>46032</v>
      </c>
      <c r="F1538" s="43">
        <v>46096</v>
      </c>
      <c r="G1538" s="96" t="s">
        <v>95</v>
      </c>
      <c r="H1538" s="96" t="s">
        <v>5089</v>
      </c>
      <c r="I1538" s="96" t="s">
        <v>225</v>
      </c>
      <c r="J1538" s="96" t="s">
        <v>229</v>
      </c>
      <c r="K1538" s="96" t="s">
        <v>205</v>
      </c>
      <c r="L1538">
        <v>64</v>
      </c>
      <c r="M1538" t="s">
        <v>28</v>
      </c>
      <c r="N1538" t="s">
        <v>29</v>
      </c>
      <c r="O1538" t="s">
        <v>152</v>
      </c>
      <c r="P1538">
        <v>2026</v>
      </c>
    </row>
    <row r="1539" spans="1:16" x14ac:dyDescent="0.25">
      <c r="A1539" s="96" t="s">
        <v>2</v>
      </c>
      <c r="B1539" s="96" t="s">
        <v>219</v>
      </c>
      <c r="C1539" s="96" t="s">
        <v>5090</v>
      </c>
      <c r="D1539" s="96" t="s">
        <v>215</v>
      </c>
      <c r="E1539" s="43">
        <v>46127</v>
      </c>
      <c r="F1539" s="43">
        <v>46150</v>
      </c>
      <c r="G1539" s="96" t="s">
        <v>90</v>
      </c>
      <c r="H1539" s="96" t="s">
        <v>5091</v>
      </c>
      <c r="I1539" s="96" t="s">
        <v>9</v>
      </c>
      <c r="J1539" s="96" t="s">
        <v>173</v>
      </c>
      <c r="K1539" s="96" t="s">
        <v>230</v>
      </c>
      <c r="L1539">
        <v>23</v>
      </c>
      <c r="M1539" t="s">
        <v>19</v>
      </c>
      <c r="N1539" t="s">
        <v>37</v>
      </c>
      <c r="O1539" t="s">
        <v>149</v>
      </c>
      <c r="P1539">
        <v>2026</v>
      </c>
    </row>
    <row r="1540" spans="1:16" x14ac:dyDescent="0.25">
      <c r="A1540" s="96" t="s">
        <v>2</v>
      </c>
      <c r="B1540" s="96" t="s">
        <v>226</v>
      </c>
      <c r="C1540" s="96" t="s">
        <v>5092</v>
      </c>
      <c r="D1540" s="96" t="s">
        <v>215</v>
      </c>
      <c r="E1540" s="43">
        <v>46121</v>
      </c>
      <c r="F1540" s="43">
        <v>46146</v>
      </c>
      <c r="G1540" s="96" t="s">
        <v>90</v>
      </c>
      <c r="H1540" s="96" t="s">
        <v>5093</v>
      </c>
      <c r="I1540" s="96" t="s">
        <v>194</v>
      </c>
      <c r="J1540" s="96" t="s">
        <v>96</v>
      </c>
      <c r="K1540" s="96" t="s">
        <v>195</v>
      </c>
      <c r="L1540">
        <v>25</v>
      </c>
      <c r="M1540" t="s">
        <v>19</v>
      </c>
      <c r="N1540" t="s">
        <v>37</v>
      </c>
      <c r="O1540" t="s">
        <v>151</v>
      </c>
      <c r="P1540">
        <v>2026</v>
      </c>
    </row>
    <row r="1541" spans="1:16" hidden="1" x14ac:dyDescent="0.25">
      <c r="A1541" s="96" t="s">
        <v>2</v>
      </c>
      <c r="B1541" s="96" t="s">
        <v>213</v>
      </c>
      <c r="C1541" s="96" t="s">
        <v>1564</v>
      </c>
      <c r="D1541" s="96" t="s">
        <v>237</v>
      </c>
      <c r="E1541" s="43">
        <v>45825</v>
      </c>
      <c r="F1541" s="43">
        <v>45889</v>
      </c>
      <c r="G1541" s="96" t="s">
        <v>95</v>
      </c>
      <c r="H1541" s="96" t="s">
        <v>1512</v>
      </c>
      <c r="I1541" s="96" t="s">
        <v>209</v>
      </c>
      <c r="J1541" s="96" t="s">
        <v>216</v>
      </c>
      <c r="K1541" s="96" t="s">
        <v>230</v>
      </c>
      <c r="L1541">
        <v>64</v>
      </c>
      <c r="M1541" t="s">
        <v>28</v>
      </c>
      <c r="N1541" t="s">
        <v>184</v>
      </c>
      <c r="O1541" t="s">
        <v>149</v>
      </c>
      <c r="P1541">
        <v>2025</v>
      </c>
    </row>
    <row r="1542" spans="1:16" hidden="1" x14ac:dyDescent="0.25">
      <c r="A1542" s="96" t="s">
        <v>2</v>
      </c>
      <c r="B1542" s="96" t="s">
        <v>280</v>
      </c>
      <c r="C1542" s="96" t="s">
        <v>1565</v>
      </c>
      <c r="D1542" s="96" t="s">
        <v>203</v>
      </c>
      <c r="E1542" s="43">
        <v>45877</v>
      </c>
      <c r="F1542" s="43">
        <v>45992</v>
      </c>
      <c r="G1542" s="96" t="s">
        <v>90</v>
      </c>
      <c r="H1542" s="96" t="s">
        <v>5094</v>
      </c>
      <c r="I1542" s="96" t="s">
        <v>225</v>
      </c>
      <c r="J1542" s="96" t="s">
        <v>96</v>
      </c>
      <c r="K1542" s="96" t="s">
        <v>157</v>
      </c>
      <c r="L1542">
        <v>115</v>
      </c>
      <c r="M1542" t="s">
        <v>28</v>
      </c>
      <c r="N1542" t="s">
        <v>8</v>
      </c>
      <c r="O1542" t="s">
        <v>170</v>
      </c>
      <c r="P1542">
        <v>2025</v>
      </c>
    </row>
    <row r="1543" spans="1:16" hidden="1" x14ac:dyDescent="0.25">
      <c r="A1543" s="96" t="s">
        <v>2</v>
      </c>
      <c r="B1543" s="96" t="s">
        <v>253</v>
      </c>
      <c r="C1543" s="96" t="s">
        <v>1566</v>
      </c>
      <c r="D1543" s="96" t="s">
        <v>208</v>
      </c>
      <c r="E1543" s="43">
        <v>45775</v>
      </c>
      <c r="F1543" s="43">
        <v>45860</v>
      </c>
      <c r="G1543" s="96" t="s">
        <v>92</v>
      </c>
      <c r="H1543" s="96" t="s">
        <v>1515</v>
      </c>
      <c r="I1543" s="96" t="s">
        <v>225</v>
      </c>
      <c r="J1543" s="96" t="s">
        <v>283</v>
      </c>
      <c r="K1543" s="96" t="s">
        <v>217</v>
      </c>
      <c r="L1543">
        <v>85</v>
      </c>
      <c r="M1543" t="s">
        <v>28</v>
      </c>
      <c r="N1543" t="s">
        <v>185</v>
      </c>
      <c r="O1543" t="s">
        <v>152</v>
      </c>
      <c r="P1543">
        <v>2025</v>
      </c>
    </row>
    <row r="1544" spans="1:16" x14ac:dyDescent="0.25">
      <c r="A1544" s="96" t="s">
        <v>21</v>
      </c>
      <c r="B1544" s="96" t="s">
        <v>374</v>
      </c>
      <c r="C1544" s="96" t="s">
        <v>1567</v>
      </c>
      <c r="D1544" s="96" t="s">
        <v>203</v>
      </c>
      <c r="E1544" s="43">
        <v>46103</v>
      </c>
      <c r="F1544" s="43">
        <v>46134</v>
      </c>
      <c r="G1544" s="96" t="s">
        <v>90</v>
      </c>
      <c r="H1544" s="96" t="s">
        <v>1516</v>
      </c>
      <c r="I1544" s="96" t="s">
        <v>194</v>
      </c>
      <c r="J1544" s="96" t="s">
        <v>172</v>
      </c>
      <c r="K1544" s="96" t="s">
        <v>157</v>
      </c>
      <c r="L1544">
        <v>31</v>
      </c>
      <c r="M1544" t="s">
        <v>24</v>
      </c>
      <c r="N1544" t="s">
        <v>35</v>
      </c>
      <c r="O1544" t="s">
        <v>150</v>
      </c>
      <c r="P1544">
        <v>2026</v>
      </c>
    </row>
    <row r="1545" spans="1:16" x14ac:dyDescent="0.25">
      <c r="A1545" s="96" t="s">
        <v>2</v>
      </c>
      <c r="B1545" s="96" t="s">
        <v>302</v>
      </c>
      <c r="C1545" s="96" t="s">
        <v>1568</v>
      </c>
      <c r="D1545" s="96" t="s">
        <v>40</v>
      </c>
      <c r="E1545" s="43">
        <v>46097</v>
      </c>
      <c r="F1545" s="43">
        <v>46129</v>
      </c>
      <c r="G1545" s="96" t="s">
        <v>92</v>
      </c>
      <c r="H1545" s="96" t="s">
        <v>5095</v>
      </c>
      <c r="I1545" s="96" t="s">
        <v>225</v>
      </c>
      <c r="J1545" s="96" t="s">
        <v>283</v>
      </c>
      <c r="K1545" s="96" t="s">
        <v>200</v>
      </c>
      <c r="L1545">
        <v>32</v>
      </c>
      <c r="M1545" t="s">
        <v>24</v>
      </c>
      <c r="N1545" t="s">
        <v>35</v>
      </c>
      <c r="O1545" t="s">
        <v>150</v>
      </c>
      <c r="P1545">
        <v>2026</v>
      </c>
    </row>
    <row r="1546" spans="1:16" x14ac:dyDescent="0.25">
      <c r="A1546" s="96" t="s">
        <v>2</v>
      </c>
      <c r="B1546" s="96" t="s">
        <v>290</v>
      </c>
      <c r="C1546" s="96" t="s">
        <v>1569</v>
      </c>
      <c r="D1546" s="96" t="s">
        <v>192</v>
      </c>
      <c r="E1546" s="43">
        <v>46031</v>
      </c>
      <c r="F1546" s="43">
        <v>46077</v>
      </c>
      <c r="G1546" s="96" t="s">
        <v>92</v>
      </c>
      <c r="H1546" s="96" t="s">
        <v>5096</v>
      </c>
      <c r="I1546" s="96" t="s">
        <v>225</v>
      </c>
      <c r="J1546" s="96" t="s">
        <v>98</v>
      </c>
      <c r="K1546" s="96" t="s">
        <v>230</v>
      </c>
      <c r="L1546">
        <v>46</v>
      </c>
      <c r="M1546" t="s">
        <v>24</v>
      </c>
      <c r="N1546" t="s">
        <v>29</v>
      </c>
      <c r="O1546" t="s">
        <v>149</v>
      </c>
      <c r="P1546">
        <v>2026</v>
      </c>
    </row>
    <row r="1547" spans="1:16" hidden="1" x14ac:dyDescent="0.25">
      <c r="A1547" s="96" t="s">
        <v>2</v>
      </c>
      <c r="B1547" s="96" t="s">
        <v>240</v>
      </c>
      <c r="C1547" s="96" t="s">
        <v>1570</v>
      </c>
      <c r="D1547" s="96" t="s">
        <v>192</v>
      </c>
      <c r="E1547" s="43">
        <v>45742</v>
      </c>
      <c r="F1547" s="43">
        <v>45836</v>
      </c>
      <c r="G1547" s="96" t="s">
        <v>92</v>
      </c>
      <c r="H1547" s="96" t="s">
        <v>1519</v>
      </c>
      <c r="I1547" s="96" t="s">
        <v>9</v>
      </c>
      <c r="J1547" s="96" t="s">
        <v>93</v>
      </c>
      <c r="K1547" s="96" t="s">
        <v>246</v>
      </c>
      <c r="L1547">
        <v>94</v>
      </c>
      <c r="M1547" t="s">
        <v>28</v>
      </c>
      <c r="N1547" t="s">
        <v>186</v>
      </c>
      <c r="O1547" t="s">
        <v>149</v>
      </c>
      <c r="P1547">
        <v>2025</v>
      </c>
    </row>
    <row r="1548" spans="1:16" hidden="1" x14ac:dyDescent="0.25">
      <c r="A1548" s="96" t="s">
        <v>2</v>
      </c>
      <c r="B1548" s="96" t="s">
        <v>206</v>
      </c>
      <c r="C1548" s="96" t="s">
        <v>5097</v>
      </c>
      <c r="D1548" s="96" t="s">
        <v>40</v>
      </c>
      <c r="E1548" s="43">
        <v>45829</v>
      </c>
      <c r="F1548" s="43">
        <v>45901</v>
      </c>
      <c r="G1548" s="96" t="s">
        <v>90</v>
      </c>
      <c r="H1548" s="96" t="s">
        <v>1521</v>
      </c>
      <c r="I1548" s="96" t="s">
        <v>204</v>
      </c>
      <c r="J1548" s="96" t="s">
        <v>172</v>
      </c>
      <c r="K1548" s="96" t="s">
        <v>210</v>
      </c>
      <c r="L1548">
        <v>72</v>
      </c>
      <c r="M1548" t="s">
        <v>28</v>
      </c>
      <c r="N1548" t="s">
        <v>184</v>
      </c>
      <c r="O1548" t="s">
        <v>152</v>
      </c>
      <c r="P1548">
        <v>2025</v>
      </c>
    </row>
    <row r="1549" spans="1:16" x14ac:dyDescent="0.25">
      <c r="A1549" s="96" t="s">
        <v>2</v>
      </c>
      <c r="B1549" s="96" t="s">
        <v>244</v>
      </c>
      <c r="C1549" s="96" t="s">
        <v>1571</v>
      </c>
      <c r="D1549" s="96" t="s">
        <v>215</v>
      </c>
      <c r="E1549" s="43">
        <v>46047</v>
      </c>
      <c r="F1549" s="43">
        <v>46087</v>
      </c>
      <c r="G1549" s="96" t="s">
        <v>92</v>
      </c>
      <c r="H1549" s="96" t="s">
        <v>1523</v>
      </c>
      <c r="I1549" s="96" t="s">
        <v>157</v>
      </c>
      <c r="J1549" s="96" t="s">
        <v>94</v>
      </c>
      <c r="K1549" s="96" t="s">
        <v>246</v>
      </c>
      <c r="L1549">
        <v>40</v>
      </c>
      <c r="M1549" t="s">
        <v>24</v>
      </c>
      <c r="N1549" t="s">
        <v>29</v>
      </c>
      <c r="O1549" t="s">
        <v>150</v>
      </c>
      <c r="P1549">
        <v>2026</v>
      </c>
    </row>
    <row r="1550" spans="1:16" hidden="1" x14ac:dyDescent="0.25">
      <c r="A1550" s="96" t="s">
        <v>2</v>
      </c>
      <c r="B1550" s="96" t="s">
        <v>240</v>
      </c>
      <c r="C1550" s="96" t="s">
        <v>1572</v>
      </c>
      <c r="D1550" s="96" t="s">
        <v>40</v>
      </c>
      <c r="E1550" s="43">
        <v>45827</v>
      </c>
      <c r="F1550" s="43">
        <v>45852</v>
      </c>
      <c r="G1550" s="96" t="s">
        <v>92</v>
      </c>
      <c r="H1550" s="96" t="s">
        <v>5098</v>
      </c>
      <c r="I1550" s="96" t="s">
        <v>157</v>
      </c>
      <c r="J1550" s="96" t="s">
        <v>229</v>
      </c>
      <c r="K1550" s="96" t="s">
        <v>217</v>
      </c>
      <c r="L1550">
        <v>25</v>
      </c>
      <c r="M1550" t="s">
        <v>19</v>
      </c>
      <c r="N1550" t="s">
        <v>184</v>
      </c>
      <c r="O1550" t="s">
        <v>149</v>
      </c>
      <c r="P1550">
        <v>2025</v>
      </c>
    </row>
    <row r="1551" spans="1:16" hidden="1" x14ac:dyDescent="0.25">
      <c r="A1551" s="96" t="s">
        <v>2</v>
      </c>
      <c r="B1551" s="96" t="s">
        <v>206</v>
      </c>
      <c r="C1551" s="96" t="s">
        <v>1573</v>
      </c>
      <c r="D1551" s="96" t="s">
        <v>223</v>
      </c>
      <c r="E1551" s="43">
        <v>45893</v>
      </c>
      <c r="F1551" s="43">
        <v>45998</v>
      </c>
      <c r="G1551" s="96" t="s">
        <v>90</v>
      </c>
      <c r="H1551" s="96" t="s">
        <v>5099</v>
      </c>
      <c r="I1551" s="96" t="s">
        <v>9</v>
      </c>
      <c r="J1551" s="96" t="s">
        <v>177</v>
      </c>
      <c r="K1551" s="96" t="s">
        <v>157</v>
      </c>
      <c r="L1551">
        <v>105</v>
      </c>
      <c r="M1551" t="s">
        <v>28</v>
      </c>
      <c r="N1551" t="s">
        <v>8</v>
      </c>
      <c r="O1551" t="s">
        <v>152</v>
      </c>
      <c r="P1551">
        <v>2025</v>
      </c>
    </row>
    <row r="1552" spans="1:16" hidden="1" x14ac:dyDescent="0.25">
      <c r="A1552" s="96" t="s">
        <v>2</v>
      </c>
      <c r="B1552" s="96" t="s">
        <v>255</v>
      </c>
      <c r="C1552" s="96" t="s">
        <v>1574</v>
      </c>
      <c r="D1552" s="96" t="s">
        <v>237</v>
      </c>
      <c r="E1552" s="43">
        <v>45772</v>
      </c>
      <c r="F1552" s="43">
        <v>45840</v>
      </c>
      <c r="G1552" s="96" t="s">
        <v>92</v>
      </c>
      <c r="H1552" s="96" t="s">
        <v>1526</v>
      </c>
      <c r="I1552" s="96" t="s">
        <v>9</v>
      </c>
      <c r="J1552" s="96" t="s">
        <v>165</v>
      </c>
      <c r="K1552" s="96" t="s">
        <v>205</v>
      </c>
      <c r="L1552">
        <v>68</v>
      </c>
      <c r="M1552" t="s">
        <v>28</v>
      </c>
      <c r="N1552" t="s">
        <v>185</v>
      </c>
      <c r="O1552" t="s">
        <v>150</v>
      </c>
      <c r="P1552">
        <v>2025</v>
      </c>
    </row>
    <row r="1553" spans="1:16" hidden="1" x14ac:dyDescent="0.25">
      <c r="A1553" s="96" t="s">
        <v>175</v>
      </c>
      <c r="B1553" s="96" t="s">
        <v>264</v>
      </c>
      <c r="C1553" s="96" t="s">
        <v>1575</v>
      </c>
      <c r="D1553" s="96" t="s">
        <v>208</v>
      </c>
      <c r="E1553" s="43">
        <v>45698</v>
      </c>
      <c r="F1553" s="43">
        <v>45760</v>
      </c>
      <c r="G1553" s="96" t="s">
        <v>92</v>
      </c>
      <c r="H1553" s="96" t="s">
        <v>1527</v>
      </c>
      <c r="I1553" s="96" t="s">
        <v>209</v>
      </c>
      <c r="J1553" s="96" t="s">
        <v>177</v>
      </c>
      <c r="K1553" s="96" t="s">
        <v>217</v>
      </c>
      <c r="L1553">
        <v>62</v>
      </c>
      <c r="M1553" t="s">
        <v>28</v>
      </c>
      <c r="N1553" t="s">
        <v>188</v>
      </c>
      <c r="O1553" t="s">
        <v>152</v>
      </c>
      <c r="P1553">
        <v>2025</v>
      </c>
    </row>
    <row r="1554" spans="1:16" hidden="1" x14ac:dyDescent="0.25">
      <c r="A1554" s="96" t="s">
        <v>2</v>
      </c>
      <c r="B1554" s="96" t="s">
        <v>257</v>
      </c>
      <c r="C1554" s="96" t="s">
        <v>5100</v>
      </c>
      <c r="D1554" s="96" t="s">
        <v>237</v>
      </c>
      <c r="E1554" s="43">
        <v>45901</v>
      </c>
      <c r="F1554" s="43">
        <v>45949</v>
      </c>
      <c r="G1554" s="96" t="s">
        <v>92</v>
      </c>
      <c r="H1554" s="96" t="s">
        <v>5101</v>
      </c>
      <c r="I1554" s="96" t="s">
        <v>9</v>
      </c>
      <c r="J1554" s="96" t="s">
        <v>169</v>
      </c>
      <c r="K1554" s="96" t="s">
        <v>230</v>
      </c>
      <c r="L1554">
        <v>48</v>
      </c>
      <c r="M1554" t="s">
        <v>24</v>
      </c>
      <c r="N1554" t="s">
        <v>12</v>
      </c>
      <c r="O1554" t="s">
        <v>151</v>
      </c>
      <c r="P1554">
        <v>2025</v>
      </c>
    </row>
    <row r="1555" spans="1:16" hidden="1" x14ac:dyDescent="0.25">
      <c r="A1555" s="96" t="s">
        <v>2</v>
      </c>
      <c r="B1555" s="96" t="s">
        <v>272</v>
      </c>
      <c r="C1555" s="96" t="s">
        <v>1576</v>
      </c>
      <c r="D1555" s="96" t="s">
        <v>192</v>
      </c>
      <c r="E1555" s="43">
        <v>45919</v>
      </c>
      <c r="F1555" s="43">
        <v>46020</v>
      </c>
      <c r="G1555" s="96" t="s">
        <v>92</v>
      </c>
      <c r="H1555" s="96" t="s">
        <v>5102</v>
      </c>
      <c r="I1555" s="96" t="s">
        <v>225</v>
      </c>
      <c r="J1555" s="96" t="s">
        <v>165</v>
      </c>
      <c r="K1555" s="96" t="s">
        <v>217</v>
      </c>
      <c r="L1555">
        <v>101</v>
      </c>
      <c r="M1555" t="s">
        <v>28</v>
      </c>
      <c r="N1555" t="s">
        <v>12</v>
      </c>
      <c r="O1555" t="s">
        <v>151</v>
      </c>
      <c r="P1555">
        <v>2025</v>
      </c>
    </row>
    <row r="1556" spans="1:16" hidden="1" x14ac:dyDescent="0.25">
      <c r="A1556" s="96" t="s">
        <v>21</v>
      </c>
      <c r="B1556" s="96" t="s">
        <v>190</v>
      </c>
      <c r="C1556" s="96" t="s">
        <v>1579</v>
      </c>
      <c r="D1556" s="96" t="s">
        <v>215</v>
      </c>
      <c r="E1556" s="43">
        <v>45960</v>
      </c>
      <c r="F1556" s="43">
        <v>46030</v>
      </c>
      <c r="G1556" s="96" t="s">
        <v>90</v>
      </c>
      <c r="H1556" s="96" t="s">
        <v>5103</v>
      </c>
      <c r="I1556" s="96" t="s">
        <v>209</v>
      </c>
      <c r="J1556" s="96" t="s">
        <v>199</v>
      </c>
      <c r="K1556" s="96" t="s">
        <v>210</v>
      </c>
      <c r="L1556">
        <v>70</v>
      </c>
      <c r="M1556" t="s">
        <v>28</v>
      </c>
      <c r="N1556" t="s">
        <v>16</v>
      </c>
      <c r="O1556" t="s">
        <v>150</v>
      </c>
      <c r="P1556">
        <v>2025</v>
      </c>
    </row>
    <row r="1557" spans="1:16" x14ac:dyDescent="0.25">
      <c r="A1557" s="96" t="s">
        <v>2</v>
      </c>
      <c r="B1557" s="96" t="s">
        <v>374</v>
      </c>
      <c r="C1557" s="96" t="s">
        <v>1580</v>
      </c>
      <c r="D1557" s="96" t="s">
        <v>34</v>
      </c>
      <c r="E1557" s="43">
        <v>46078</v>
      </c>
      <c r="F1557" s="43">
        <v>46114</v>
      </c>
      <c r="G1557" s="96" t="s">
        <v>92</v>
      </c>
      <c r="H1557" s="96" t="s">
        <v>5104</v>
      </c>
      <c r="I1557" s="96" t="s">
        <v>9</v>
      </c>
      <c r="J1557" s="96" t="s">
        <v>173</v>
      </c>
      <c r="K1557" s="96" t="s">
        <v>200</v>
      </c>
      <c r="L1557">
        <v>36</v>
      </c>
      <c r="M1557" t="s">
        <v>24</v>
      </c>
      <c r="N1557" t="s">
        <v>32</v>
      </c>
      <c r="O1557" t="s">
        <v>150</v>
      </c>
      <c r="P1557">
        <v>2026</v>
      </c>
    </row>
    <row r="1558" spans="1:16" hidden="1" x14ac:dyDescent="0.25">
      <c r="A1558" s="96" t="s">
        <v>2</v>
      </c>
      <c r="B1558" s="96" t="s">
        <v>264</v>
      </c>
      <c r="C1558" s="96" t="s">
        <v>1581</v>
      </c>
      <c r="D1558" s="96" t="s">
        <v>215</v>
      </c>
      <c r="E1558" s="43">
        <v>45782</v>
      </c>
      <c r="F1558" s="43">
        <v>45834</v>
      </c>
      <c r="G1558" s="96" t="s">
        <v>90</v>
      </c>
      <c r="H1558" s="96" t="s">
        <v>5105</v>
      </c>
      <c r="I1558" s="96" t="s">
        <v>9</v>
      </c>
      <c r="J1558" s="96" t="s">
        <v>94</v>
      </c>
      <c r="K1558" s="96" t="s">
        <v>230</v>
      </c>
      <c r="L1558">
        <v>52</v>
      </c>
      <c r="M1558" t="s">
        <v>24</v>
      </c>
      <c r="N1558" t="s">
        <v>182</v>
      </c>
      <c r="O1558" t="s">
        <v>152</v>
      </c>
      <c r="P1558">
        <v>2025</v>
      </c>
    </row>
    <row r="1559" spans="1:16" hidden="1" x14ac:dyDescent="0.25">
      <c r="A1559" s="96" t="s">
        <v>21</v>
      </c>
      <c r="B1559" s="96" t="s">
        <v>206</v>
      </c>
      <c r="C1559" s="96" t="s">
        <v>1583</v>
      </c>
      <c r="D1559" s="96" t="s">
        <v>40</v>
      </c>
      <c r="E1559" s="43">
        <v>45804</v>
      </c>
      <c r="F1559" s="43">
        <v>45885</v>
      </c>
      <c r="G1559" s="96" t="s">
        <v>92</v>
      </c>
      <c r="H1559" s="96" t="s">
        <v>5106</v>
      </c>
      <c r="I1559" s="96" t="s">
        <v>225</v>
      </c>
      <c r="J1559" s="96" t="s">
        <v>283</v>
      </c>
      <c r="K1559" s="96" t="s">
        <v>200</v>
      </c>
      <c r="L1559">
        <v>81</v>
      </c>
      <c r="M1559" t="s">
        <v>28</v>
      </c>
      <c r="N1559" t="s">
        <v>182</v>
      </c>
      <c r="O1559" t="s">
        <v>152</v>
      </c>
      <c r="P1559">
        <v>2025</v>
      </c>
    </row>
    <row r="1560" spans="1:16" hidden="1" x14ac:dyDescent="0.25">
      <c r="A1560" s="96" t="s">
        <v>175</v>
      </c>
      <c r="B1560" s="96" t="s">
        <v>221</v>
      </c>
      <c r="C1560" s="96" t="s">
        <v>1586</v>
      </c>
      <c r="D1560" s="96" t="s">
        <v>237</v>
      </c>
      <c r="E1560" s="43">
        <v>45784</v>
      </c>
      <c r="F1560" s="43">
        <v>45835</v>
      </c>
      <c r="G1560" s="96" t="s">
        <v>92</v>
      </c>
      <c r="H1560" s="96" t="s">
        <v>5107</v>
      </c>
      <c r="I1560" s="96" t="s">
        <v>157</v>
      </c>
      <c r="J1560" s="96" t="s">
        <v>216</v>
      </c>
      <c r="K1560" s="96" t="s">
        <v>233</v>
      </c>
      <c r="L1560">
        <v>51</v>
      </c>
      <c r="M1560" t="s">
        <v>24</v>
      </c>
      <c r="N1560" t="s">
        <v>182</v>
      </c>
      <c r="O1560" t="s">
        <v>170</v>
      </c>
      <c r="P1560">
        <v>2025</v>
      </c>
    </row>
    <row r="1561" spans="1:16" x14ac:dyDescent="0.25">
      <c r="A1561" s="96" t="s">
        <v>2</v>
      </c>
      <c r="B1561" s="96" t="s">
        <v>274</v>
      </c>
      <c r="C1561" s="96" t="s">
        <v>1587</v>
      </c>
      <c r="D1561" s="96" t="s">
        <v>192</v>
      </c>
      <c r="E1561" s="43">
        <v>46114</v>
      </c>
      <c r="F1561" s="43">
        <v>46132</v>
      </c>
      <c r="G1561" s="96" t="s">
        <v>92</v>
      </c>
      <c r="H1561" s="96" t="s">
        <v>5108</v>
      </c>
      <c r="I1561" s="96" t="s">
        <v>209</v>
      </c>
      <c r="J1561" s="96" t="s">
        <v>165</v>
      </c>
      <c r="K1561" s="96" t="s">
        <v>200</v>
      </c>
      <c r="L1561">
        <v>18</v>
      </c>
      <c r="M1561" t="s">
        <v>19</v>
      </c>
      <c r="N1561" t="s">
        <v>37</v>
      </c>
      <c r="O1561" t="s">
        <v>170</v>
      </c>
      <c r="P1561">
        <v>2026</v>
      </c>
    </row>
    <row r="1562" spans="1:16" x14ac:dyDescent="0.25">
      <c r="A1562" s="96" t="s">
        <v>2</v>
      </c>
      <c r="B1562" s="96" t="s">
        <v>196</v>
      </c>
      <c r="C1562" s="96" t="s">
        <v>5109</v>
      </c>
      <c r="D1562" s="96" t="s">
        <v>34</v>
      </c>
      <c r="E1562" s="43">
        <v>46037</v>
      </c>
      <c r="F1562" s="43">
        <v>46070</v>
      </c>
      <c r="G1562" s="96" t="s">
        <v>90</v>
      </c>
      <c r="H1562" s="96" t="s">
        <v>5110</v>
      </c>
      <c r="I1562" s="96" t="s">
        <v>157</v>
      </c>
      <c r="J1562" s="96" t="s">
        <v>176</v>
      </c>
      <c r="K1562" s="96" t="s">
        <v>157</v>
      </c>
      <c r="L1562">
        <v>33</v>
      </c>
      <c r="M1562" t="s">
        <v>24</v>
      </c>
      <c r="N1562" t="s">
        <v>29</v>
      </c>
      <c r="O1562" t="s">
        <v>152</v>
      </c>
      <c r="P1562">
        <v>2026</v>
      </c>
    </row>
    <row r="1563" spans="1:16" hidden="1" x14ac:dyDescent="0.25">
      <c r="A1563" s="96" t="s">
        <v>2</v>
      </c>
      <c r="B1563" s="96" t="s">
        <v>322</v>
      </c>
      <c r="C1563" s="96" t="s">
        <v>5111</v>
      </c>
      <c r="D1563" s="96" t="s">
        <v>40</v>
      </c>
      <c r="E1563" s="43">
        <v>45861</v>
      </c>
      <c r="F1563" s="43">
        <v>45868</v>
      </c>
      <c r="G1563" s="96" t="s">
        <v>92</v>
      </c>
      <c r="H1563" s="96" t="s">
        <v>5112</v>
      </c>
      <c r="I1563" s="96" t="s">
        <v>194</v>
      </c>
      <c r="J1563" s="96" t="s">
        <v>93</v>
      </c>
      <c r="K1563" s="96" t="s">
        <v>200</v>
      </c>
      <c r="L1563">
        <v>7</v>
      </c>
      <c r="M1563" t="s">
        <v>11</v>
      </c>
      <c r="N1563" t="s">
        <v>187</v>
      </c>
      <c r="O1563" t="s">
        <v>150</v>
      </c>
      <c r="P1563">
        <v>2025</v>
      </c>
    </row>
    <row r="1564" spans="1:16" hidden="1" x14ac:dyDescent="0.25">
      <c r="A1564" s="96" t="s">
        <v>2</v>
      </c>
      <c r="B1564" s="96" t="s">
        <v>206</v>
      </c>
      <c r="C1564" s="96" t="s">
        <v>5113</v>
      </c>
      <c r="D1564" s="96" t="s">
        <v>203</v>
      </c>
      <c r="E1564" s="43">
        <v>45694</v>
      </c>
      <c r="F1564" s="43">
        <v>45701</v>
      </c>
      <c r="G1564" s="96" t="s">
        <v>92</v>
      </c>
      <c r="H1564" s="96" t="s">
        <v>5114</v>
      </c>
      <c r="I1564" s="96" t="s">
        <v>204</v>
      </c>
      <c r="J1564" s="96" t="s">
        <v>229</v>
      </c>
      <c r="K1564" s="96" t="s">
        <v>210</v>
      </c>
      <c r="L1564">
        <v>7</v>
      </c>
      <c r="M1564" t="s">
        <v>11</v>
      </c>
      <c r="N1564" t="s">
        <v>188</v>
      </c>
      <c r="O1564" t="s">
        <v>152</v>
      </c>
      <c r="P1564">
        <v>2025</v>
      </c>
    </row>
    <row r="1565" spans="1:16" hidden="1" x14ac:dyDescent="0.25">
      <c r="A1565" s="96" t="s">
        <v>2</v>
      </c>
      <c r="B1565" s="96" t="s">
        <v>253</v>
      </c>
      <c r="C1565" s="96" t="s">
        <v>1589</v>
      </c>
      <c r="D1565" s="96" t="s">
        <v>10</v>
      </c>
      <c r="E1565" s="43">
        <v>45919</v>
      </c>
      <c r="F1565" s="43">
        <v>45995</v>
      </c>
      <c r="G1565" s="96" t="s">
        <v>92</v>
      </c>
      <c r="H1565" s="96" t="s">
        <v>5115</v>
      </c>
      <c r="I1565" s="96" t="s">
        <v>204</v>
      </c>
      <c r="J1565" s="96" t="s">
        <v>173</v>
      </c>
      <c r="K1565" s="96" t="s">
        <v>233</v>
      </c>
      <c r="L1565">
        <v>76</v>
      </c>
      <c r="M1565" t="s">
        <v>28</v>
      </c>
      <c r="N1565" t="s">
        <v>12</v>
      </c>
      <c r="O1565" t="s">
        <v>152</v>
      </c>
      <c r="P1565">
        <v>2025</v>
      </c>
    </row>
    <row r="1566" spans="1:16" x14ac:dyDescent="0.25">
      <c r="A1566" s="96" t="s">
        <v>2</v>
      </c>
      <c r="B1566" s="96" t="s">
        <v>234</v>
      </c>
      <c r="C1566" s="96" t="s">
        <v>1590</v>
      </c>
      <c r="D1566" s="96" t="s">
        <v>192</v>
      </c>
      <c r="E1566" s="43">
        <v>46105</v>
      </c>
      <c r="F1566" s="43">
        <v>46119</v>
      </c>
      <c r="G1566" s="96" t="s">
        <v>92</v>
      </c>
      <c r="H1566" s="96" t="s">
        <v>5116</v>
      </c>
      <c r="I1566" s="96" t="s">
        <v>157</v>
      </c>
      <c r="J1566" s="96" t="s">
        <v>165</v>
      </c>
      <c r="K1566" s="96" t="s">
        <v>230</v>
      </c>
      <c r="L1566">
        <v>14</v>
      </c>
      <c r="M1566" t="s">
        <v>15</v>
      </c>
      <c r="N1566" t="s">
        <v>35</v>
      </c>
      <c r="O1566" t="s">
        <v>150</v>
      </c>
      <c r="P1566">
        <v>2026</v>
      </c>
    </row>
    <row r="1567" spans="1:16" x14ac:dyDescent="0.25">
      <c r="A1567" s="96" t="s">
        <v>2</v>
      </c>
      <c r="B1567" s="96" t="s">
        <v>196</v>
      </c>
      <c r="C1567" s="96" t="s">
        <v>5117</v>
      </c>
      <c r="D1567" s="96" t="s">
        <v>223</v>
      </c>
      <c r="E1567" s="43">
        <v>46100</v>
      </c>
      <c r="F1567" s="43">
        <v>46147</v>
      </c>
      <c r="G1567" s="96" t="s">
        <v>92</v>
      </c>
      <c r="H1567" s="96" t="s">
        <v>5118</v>
      </c>
      <c r="I1567" s="96" t="s">
        <v>204</v>
      </c>
      <c r="J1567" s="96" t="s">
        <v>176</v>
      </c>
      <c r="K1567" s="96" t="s">
        <v>233</v>
      </c>
      <c r="L1567">
        <v>47</v>
      </c>
      <c r="M1567" t="s">
        <v>24</v>
      </c>
      <c r="N1567" t="s">
        <v>35</v>
      </c>
      <c r="O1567" t="s">
        <v>152</v>
      </c>
      <c r="P1567">
        <v>2026</v>
      </c>
    </row>
    <row r="1568" spans="1:16" hidden="1" x14ac:dyDescent="0.25">
      <c r="A1568" s="96" t="s">
        <v>2</v>
      </c>
      <c r="B1568" s="96" t="s">
        <v>257</v>
      </c>
      <c r="C1568" s="96" t="s">
        <v>1591</v>
      </c>
      <c r="D1568" s="96" t="s">
        <v>203</v>
      </c>
      <c r="E1568" s="43">
        <v>45890</v>
      </c>
      <c r="F1568" s="43">
        <v>45945</v>
      </c>
      <c r="G1568" s="96" t="s">
        <v>92</v>
      </c>
      <c r="H1568" s="96" t="s">
        <v>5119</v>
      </c>
      <c r="I1568" s="96" t="s">
        <v>228</v>
      </c>
      <c r="J1568" s="96" t="s">
        <v>283</v>
      </c>
      <c r="K1568" s="96" t="s">
        <v>210</v>
      </c>
      <c r="L1568">
        <v>55</v>
      </c>
      <c r="M1568" t="s">
        <v>24</v>
      </c>
      <c r="N1568" t="s">
        <v>8</v>
      </c>
      <c r="O1568" t="s">
        <v>151</v>
      </c>
      <c r="P1568">
        <v>2025</v>
      </c>
    </row>
    <row r="1569" spans="1:16" x14ac:dyDescent="0.25">
      <c r="A1569" s="96" t="s">
        <v>2</v>
      </c>
      <c r="B1569" s="96" t="s">
        <v>226</v>
      </c>
      <c r="C1569" s="96" t="s">
        <v>5120</v>
      </c>
      <c r="D1569" s="96" t="s">
        <v>203</v>
      </c>
      <c r="E1569" s="43">
        <v>46084</v>
      </c>
      <c r="F1569" s="43">
        <v>46149</v>
      </c>
      <c r="G1569" s="96" t="s">
        <v>92</v>
      </c>
      <c r="H1569" s="96" t="s">
        <v>5121</v>
      </c>
      <c r="I1569" s="96" t="s">
        <v>225</v>
      </c>
      <c r="J1569" s="96" t="s">
        <v>172</v>
      </c>
      <c r="K1569" s="96" t="s">
        <v>200</v>
      </c>
      <c r="L1569">
        <v>65</v>
      </c>
      <c r="M1569" t="s">
        <v>28</v>
      </c>
      <c r="N1569" t="s">
        <v>35</v>
      </c>
      <c r="O1569" t="s">
        <v>151</v>
      </c>
      <c r="P1569">
        <v>2026</v>
      </c>
    </row>
    <row r="1570" spans="1:16" hidden="1" x14ac:dyDescent="0.25">
      <c r="A1570" s="96" t="s">
        <v>2</v>
      </c>
      <c r="B1570" s="96" t="s">
        <v>211</v>
      </c>
      <c r="C1570" s="96" t="s">
        <v>5122</v>
      </c>
      <c r="D1570" s="96" t="s">
        <v>10</v>
      </c>
      <c r="E1570" s="43">
        <v>45764</v>
      </c>
      <c r="F1570" s="43">
        <v>45823</v>
      </c>
      <c r="G1570" s="96" t="s">
        <v>90</v>
      </c>
      <c r="H1570" s="96" t="s">
        <v>5123</v>
      </c>
      <c r="I1570" s="96" t="s">
        <v>225</v>
      </c>
      <c r="J1570" s="96" t="s">
        <v>173</v>
      </c>
      <c r="K1570" s="96" t="s">
        <v>205</v>
      </c>
      <c r="L1570">
        <v>59</v>
      </c>
      <c r="M1570" t="s">
        <v>24</v>
      </c>
      <c r="N1570" t="s">
        <v>185</v>
      </c>
      <c r="O1570" t="s">
        <v>170</v>
      </c>
      <c r="P1570">
        <v>2025</v>
      </c>
    </row>
    <row r="1571" spans="1:16" hidden="1" x14ac:dyDescent="0.25">
      <c r="A1571" s="96" t="s">
        <v>2</v>
      </c>
      <c r="B1571" s="96" t="s">
        <v>257</v>
      </c>
      <c r="C1571" s="96" t="s">
        <v>5124</v>
      </c>
      <c r="D1571" s="96" t="s">
        <v>208</v>
      </c>
      <c r="E1571" s="43">
        <v>45805</v>
      </c>
      <c r="F1571" s="43">
        <v>45891</v>
      </c>
      <c r="G1571" s="96" t="s">
        <v>90</v>
      </c>
      <c r="H1571" s="96" t="s">
        <v>5125</v>
      </c>
      <c r="I1571" s="96" t="s">
        <v>194</v>
      </c>
      <c r="J1571" s="96" t="s">
        <v>91</v>
      </c>
      <c r="K1571" s="96" t="s">
        <v>205</v>
      </c>
      <c r="L1571">
        <v>86</v>
      </c>
      <c r="M1571" t="s">
        <v>28</v>
      </c>
      <c r="N1571" t="s">
        <v>182</v>
      </c>
      <c r="O1571" t="s">
        <v>151</v>
      </c>
      <c r="P1571">
        <v>2025</v>
      </c>
    </row>
    <row r="1572" spans="1:16" hidden="1" x14ac:dyDescent="0.25">
      <c r="A1572" s="96" t="s">
        <v>2</v>
      </c>
      <c r="B1572" s="96" t="s">
        <v>272</v>
      </c>
      <c r="C1572" s="96" t="s">
        <v>1592</v>
      </c>
      <c r="D1572" s="96" t="s">
        <v>10</v>
      </c>
      <c r="E1572" s="43">
        <v>45715</v>
      </c>
      <c r="F1572" s="43">
        <v>45792</v>
      </c>
      <c r="G1572" s="96" t="s">
        <v>95</v>
      </c>
      <c r="H1572" s="96" t="s">
        <v>5126</v>
      </c>
      <c r="I1572" s="96" t="s">
        <v>157</v>
      </c>
      <c r="J1572" s="96" t="s">
        <v>168</v>
      </c>
      <c r="K1572" s="96" t="s">
        <v>217</v>
      </c>
      <c r="L1572">
        <v>77</v>
      </c>
      <c r="M1572" t="s">
        <v>28</v>
      </c>
      <c r="N1572" t="s">
        <v>188</v>
      </c>
      <c r="O1572" t="s">
        <v>151</v>
      </c>
      <c r="P1572">
        <v>2025</v>
      </c>
    </row>
    <row r="1573" spans="1:16" hidden="1" x14ac:dyDescent="0.25">
      <c r="A1573" s="96" t="s">
        <v>189</v>
      </c>
      <c r="B1573" s="96" t="s">
        <v>272</v>
      </c>
      <c r="C1573" s="96" t="s">
        <v>1593</v>
      </c>
      <c r="D1573" s="96" t="s">
        <v>10</v>
      </c>
      <c r="E1573" s="43">
        <v>45933</v>
      </c>
      <c r="F1573" s="43">
        <v>46006</v>
      </c>
      <c r="G1573" s="96" t="s">
        <v>92</v>
      </c>
      <c r="H1573" s="96" t="s">
        <v>5127</v>
      </c>
      <c r="I1573" s="96" t="s">
        <v>9</v>
      </c>
      <c r="J1573" s="96" t="s">
        <v>168</v>
      </c>
      <c r="K1573" s="96" t="s">
        <v>157</v>
      </c>
      <c r="L1573">
        <v>73</v>
      </c>
      <c r="M1573" t="s">
        <v>28</v>
      </c>
      <c r="N1573" t="s">
        <v>16</v>
      </c>
      <c r="O1573" t="s">
        <v>151</v>
      </c>
      <c r="P1573">
        <v>2025</v>
      </c>
    </row>
    <row r="1574" spans="1:16" hidden="1" x14ac:dyDescent="0.25">
      <c r="A1574" s="96" t="s">
        <v>2</v>
      </c>
      <c r="B1574" s="96" t="s">
        <v>251</v>
      </c>
      <c r="C1574" s="96" t="s">
        <v>5128</v>
      </c>
      <c r="D1574" s="96" t="s">
        <v>40</v>
      </c>
      <c r="E1574" s="43">
        <v>45743</v>
      </c>
      <c r="F1574" s="43">
        <v>45805</v>
      </c>
      <c r="G1574" s="96" t="s">
        <v>92</v>
      </c>
      <c r="H1574" s="96" t="s">
        <v>1542</v>
      </c>
      <c r="I1574" s="96" t="s">
        <v>9</v>
      </c>
      <c r="J1574" s="96" t="s">
        <v>176</v>
      </c>
      <c r="K1574" s="96" t="s">
        <v>210</v>
      </c>
      <c r="L1574">
        <v>62</v>
      </c>
      <c r="M1574" t="s">
        <v>28</v>
      </c>
      <c r="N1574" t="s">
        <v>186</v>
      </c>
      <c r="O1574" t="s">
        <v>170</v>
      </c>
      <c r="P1574">
        <v>2025</v>
      </c>
    </row>
    <row r="1575" spans="1:16" hidden="1" x14ac:dyDescent="0.25">
      <c r="A1575" s="96" t="s">
        <v>2</v>
      </c>
      <c r="B1575" s="96" t="s">
        <v>257</v>
      </c>
      <c r="C1575" s="96" t="s">
        <v>1594</v>
      </c>
      <c r="D1575" s="96" t="s">
        <v>203</v>
      </c>
      <c r="E1575" s="43">
        <v>45699</v>
      </c>
      <c r="F1575" s="43">
        <v>45769</v>
      </c>
      <c r="G1575" s="96" t="s">
        <v>92</v>
      </c>
      <c r="H1575" s="96" t="s">
        <v>5129</v>
      </c>
      <c r="I1575" s="96" t="s">
        <v>225</v>
      </c>
      <c r="J1575" s="96" t="s">
        <v>172</v>
      </c>
      <c r="K1575" s="96" t="s">
        <v>233</v>
      </c>
      <c r="L1575">
        <v>70</v>
      </c>
      <c r="M1575" t="s">
        <v>28</v>
      </c>
      <c r="N1575" t="s">
        <v>188</v>
      </c>
      <c r="O1575" t="s">
        <v>151</v>
      </c>
      <c r="P1575">
        <v>2025</v>
      </c>
    </row>
    <row r="1576" spans="1:16" hidden="1" x14ac:dyDescent="0.25">
      <c r="A1576" s="96" t="s">
        <v>2</v>
      </c>
      <c r="B1576" s="96" t="s">
        <v>280</v>
      </c>
      <c r="C1576" s="96" t="s">
        <v>1596</v>
      </c>
      <c r="D1576" s="96" t="s">
        <v>208</v>
      </c>
      <c r="E1576" s="43">
        <v>45886</v>
      </c>
      <c r="F1576" s="43">
        <v>45976</v>
      </c>
      <c r="G1576" s="96" t="s">
        <v>90</v>
      </c>
      <c r="H1576" s="96" t="s">
        <v>5130</v>
      </c>
      <c r="I1576" s="96" t="s">
        <v>228</v>
      </c>
      <c r="J1576" s="96" t="s">
        <v>169</v>
      </c>
      <c r="K1576" s="96" t="s">
        <v>230</v>
      </c>
      <c r="L1576">
        <v>90</v>
      </c>
      <c r="M1576" t="s">
        <v>28</v>
      </c>
      <c r="N1576" t="s">
        <v>8</v>
      </c>
      <c r="O1576" t="s">
        <v>170</v>
      </c>
      <c r="P1576">
        <v>2025</v>
      </c>
    </row>
    <row r="1577" spans="1:16" x14ac:dyDescent="0.25">
      <c r="A1577" s="96" t="s">
        <v>2</v>
      </c>
      <c r="B1577" s="96" t="s">
        <v>274</v>
      </c>
      <c r="C1577" s="96" t="s">
        <v>5131</v>
      </c>
      <c r="D1577" s="96" t="s">
        <v>14</v>
      </c>
      <c r="E1577" s="43">
        <v>46145</v>
      </c>
      <c r="F1577" s="43">
        <v>46149</v>
      </c>
      <c r="G1577" s="96" t="s">
        <v>92</v>
      </c>
      <c r="H1577" s="96" t="s">
        <v>1545</v>
      </c>
      <c r="I1577" s="96" t="s">
        <v>194</v>
      </c>
      <c r="J1577" s="96" t="s">
        <v>199</v>
      </c>
      <c r="K1577" s="96" t="s">
        <v>233</v>
      </c>
      <c r="L1577">
        <v>4</v>
      </c>
      <c r="M1577" t="s">
        <v>11</v>
      </c>
      <c r="N1577" t="s">
        <v>183</v>
      </c>
      <c r="O1577" t="s">
        <v>170</v>
      </c>
      <c r="P1577">
        <v>2026</v>
      </c>
    </row>
    <row r="1578" spans="1:16" hidden="1" x14ac:dyDescent="0.25">
      <c r="A1578" s="96" t="s">
        <v>21</v>
      </c>
      <c r="B1578" s="96" t="s">
        <v>264</v>
      </c>
      <c r="C1578" s="96" t="s">
        <v>1598</v>
      </c>
      <c r="D1578" s="96" t="s">
        <v>14</v>
      </c>
      <c r="E1578" s="43">
        <v>45981</v>
      </c>
      <c r="F1578" s="43">
        <v>46084</v>
      </c>
      <c r="G1578" s="96" t="s">
        <v>92</v>
      </c>
      <c r="H1578" s="96" t="s">
        <v>1547</v>
      </c>
      <c r="I1578" s="96" t="s">
        <v>225</v>
      </c>
      <c r="J1578" s="96" t="s">
        <v>93</v>
      </c>
      <c r="K1578" s="96" t="s">
        <v>200</v>
      </c>
      <c r="L1578">
        <v>103</v>
      </c>
      <c r="M1578" t="s">
        <v>28</v>
      </c>
      <c r="N1578" t="s">
        <v>20</v>
      </c>
      <c r="O1578" t="s">
        <v>152</v>
      </c>
      <c r="P1578">
        <v>2025</v>
      </c>
    </row>
    <row r="1579" spans="1:16" x14ac:dyDescent="0.25">
      <c r="A1579" s="96" t="s">
        <v>2</v>
      </c>
      <c r="B1579" s="96" t="s">
        <v>226</v>
      </c>
      <c r="C1579" s="96" t="s">
        <v>1600</v>
      </c>
      <c r="D1579" s="96" t="s">
        <v>208</v>
      </c>
      <c r="E1579" s="43">
        <v>46137</v>
      </c>
      <c r="F1579" s="43">
        <v>46150</v>
      </c>
      <c r="G1579" s="96" t="s">
        <v>92</v>
      </c>
      <c r="H1579" s="96" t="s">
        <v>1549</v>
      </c>
      <c r="I1579" s="96" t="s">
        <v>228</v>
      </c>
      <c r="J1579" s="96" t="s">
        <v>169</v>
      </c>
      <c r="K1579" s="96" t="s">
        <v>233</v>
      </c>
      <c r="L1579">
        <v>13</v>
      </c>
      <c r="M1579" t="s">
        <v>15</v>
      </c>
      <c r="N1579" t="s">
        <v>37</v>
      </c>
      <c r="O1579" t="s">
        <v>151</v>
      </c>
      <c r="P1579">
        <v>2026</v>
      </c>
    </row>
    <row r="1580" spans="1:16" hidden="1" x14ac:dyDescent="0.25">
      <c r="A1580" s="96" t="s">
        <v>175</v>
      </c>
      <c r="B1580" s="96" t="s">
        <v>206</v>
      </c>
      <c r="C1580" s="96" t="s">
        <v>1603</v>
      </c>
      <c r="D1580" s="96" t="s">
        <v>215</v>
      </c>
      <c r="E1580" s="43">
        <v>45876</v>
      </c>
      <c r="F1580" s="43">
        <v>45940</v>
      </c>
      <c r="G1580" s="96" t="s">
        <v>90</v>
      </c>
      <c r="H1580" s="96" t="s">
        <v>5132</v>
      </c>
      <c r="I1580" s="96" t="s">
        <v>157</v>
      </c>
      <c r="J1580" s="96" t="s">
        <v>91</v>
      </c>
      <c r="K1580" s="96" t="s">
        <v>217</v>
      </c>
      <c r="L1580">
        <v>64</v>
      </c>
      <c r="M1580" t="s">
        <v>28</v>
      </c>
      <c r="N1580" t="s">
        <v>8</v>
      </c>
      <c r="O1580" t="s">
        <v>152</v>
      </c>
      <c r="P1580">
        <v>2025</v>
      </c>
    </row>
    <row r="1581" spans="1:16" x14ac:dyDescent="0.25">
      <c r="A1581" s="96" t="s">
        <v>2</v>
      </c>
      <c r="B1581" s="96" t="s">
        <v>261</v>
      </c>
      <c r="C1581" s="96" t="s">
        <v>5133</v>
      </c>
      <c r="D1581" s="96" t="s">
        <v>192</v>
      </c>
      <c r="E1581" s="43">
        <v>46084</v>
      </c>
      <c r="F1581" s="43">
        <v>46094</v>
      </c>
      <c r="G1581" s="96" t="s">
        <v>92</v>
      </c>
      <c r="H1581" s="96" t="s">
        <v>5134</v>
      </c>
      <c r="I1581" s="96" t="s">
        <v>157</v>
      </c>
      <c r="J1581" s="96" t="s">
        <v>177</v>
      </c>
      <c r="K1581" s="96" t="s">
        <v>205</v>
      </c>
      <c r="L1581">
        <v>10</v>
      </c>
      <c r="M1581" t="s">
        <v>15</v>
      </c>
      <c r="N1581" t="s">
        <v>35</v>
      </c>
      <c r="O1581" t="s">
        <v>151</v>
      </c>
      <c r="P1581">
        <v>2026</v>
      </c>
    </row>
    <row r="1582" spans="1:16" hidden="1" x14ac:dyDescent="0.25">
      <c r="A1582" s="96" t="s">
        <v>2</v>
      </c>
      <c r="B1582" s="96" t="s">
        <v>253</v>
      </c>
      <c r="C1582" s="96" t="s">
        <v>5135</v>
      </c>
      <c r="D1582" s="96" t="s">
        <v>215</v>
      </c>
      <c r="E1582" s="43">
        <v>45741</v>
      </c>
      <c r="F1582" s="43">
        <v>45818</v>
      </c>
      <c r="G1582" s="96" t="s">
        <v>92</v>
      </c>
      <c r="H1582" s="96" t="s">
        <v>5136</v>
      </c>
      <c r="I1582" s="96" t="s">
        <v>204</v>
      </c>
      <c r="J1582" s="96" t="s">
        <v>283</v>
      </c>
      <c r="K1582" s="96" t="s">
        <v>205</v>
      </c>
      <c r="L1582">
        <v>77</v>
      </c>
      <c r="M1582" t="s">
        <v>28</v>
      </c>
      <c r="N1582" t="s">
        <v>186</v>
      </c>
      <c r="O1582" t="s">
        <v>152</v>
      </c>
      <c r="P1582">
        <v>2025</v>
      </c>
    </row>
    <row r="1583" spans="1:16" hidden="1" x14ac:dyDescent="0.25">
      <c r="A1583" s="96" t="s">
        <v>2</v>
      </c>
      <c r="B1583" s="96" t="s">
        <v>211</v>
      </c>
      <c r="C1583" s="96" t="s">
        <v>5137</v>
      </c>
      <c r="D1583" s="96" t="s">
        <v>192</v>
      </c>
      <c r="E1583" s="43">
        <v>45958</v>
      </c>
      <c r="F1583" s="43">
        <v>46029</v>
      </c>
      <c r="G1583" s="96" t="s">
        <v>92</v>
      </c>
      <c r="H1583" s="96" t="s">
        <v>5138</v>
      </c>
      <c r="I1583" s="96" t="s">
        <v>209</v>
      </c>
      <c r="J1583" s="96" t="s">
        <v>173</v>
      </c>
      <c r="K1583" s="96" t="s">
        <v>210</v>
      </c>
      <c r="L1583">
        <v>71</v>
      </c>
      <c r="M1583" t="s">
        <v>28</v>
      </c>
      <c r="N1583" t="s">
        <v>16</v>
      </c>
      <c r="O1583" t="s">
        <v>170</v>
      </c>
      <c r="P1583">
        <v>2025</v>
      </c>
    </row>
    <row r="1584" spans="1:16" x14ac:dyDescent="0.25">
      <c r="A1584" s="96" t="s">
        <v>2</v>
      </c>
      <c r="B1584" s="96" t="s">
        <v>261</v>
      </c>
      <c r="C1584" s="96" t="s">
        <v>1605</v>
      </c>
      <c r="D1584" s="96" t="s">
        <v>223</v>
      </c>
      <c r="E1584" s="43">
        <v>46110</v>
      </c>
      <c r="F1584" s="43">
        <v>46124</v>
      </c>
      <c r="G1584" s="96" t="s">
        <v>92</v>
      </c>
      <c r="H1584" s="96" t="s">
        <v>5139</v>
      </c>
      <c r="I1584" s="96" t="s">
        <v>228</v>
      </c>
      <c r="J1584" s="96" t="s">
        <v>165</v>
      </c>
      <c r="K1584" s="96" t="s">
        <v>230</v>
      </c>
      <c r="L1584">
        <v>14</v>
      </c>
      <c r="M1584" t="s">
        <v>15</v>
      </c>
      <c r="N1584" t="s">
        <v>35</v>
      </c>
      <c r="O1584" t="s">
        <v>151</v>
      </c>
      <c r="P1584">
        <v>2026</v>
      </c>
    </row>
    <row r="1585" spans="1:16" x14ac:dyDescent="0.25">
      <c r="A1585" s="96" t="s">
        <v>2</v>
      </c>
      <c r="B1585" s="96" t="s">
        <v>305</v>
      </c>
      <c r="C1585" s="96" t="s">
        <v>5140</v>
      </c>
      <c r="D1585" s="96" t="s">
        <v>203</v>
      </c>
      <c r="E1585" s="43">
        <v>46130</v>
      </c>
      <c r="F1585" s="43">
        <v>46150</v>
      </c>
      <c r="G1585" s="96" t="s">
        <v>92</v>
      </c>
      <c r="H1585" s="96" t="s">
        <v>1553</v>
      </c>
      <c r="I1585" s="96" t="s">
        <v>194</v>
      </c>
      <c r="J1585" s="96" t="s">
        <v>94</v>
      </c>
      <c r="K1585" s="96" t="s">
        <v>230</v>
      </c>
      <c r="L1585">
        <v>20</v>
      </c>
      <c r="M1585" t="s">
        <v>19</v>
      </c>
      <c r="N1585" t="s">
        <v>37</v>
      </c>
      <c r="O1585" t="s">
        <v>170</v>
      </c>
      <c r="P1585">
        <v>2026</v>
      </c>
    </row>
    <row r="1586" spans="1:16" hidden="1" x14ac:dyDescent="0.25">
      <c r="A1586" s="96" t="s">
        <v>2</v>
      </c>
      <c r="B1586" s="96" t="s">
        <v>255</v>
      </c>
      <c r="C1586" s="96" t="s">
        <v>5141</v>
      </c>
      <c r="D1586" s="96" t="s">
        <v>10</v>
      </c>
      <c r="E1586" s="43">
        <v>45708</v>
      </c>
      <c r="F1586" s="43">
        <v>45814</v>
      </c>
      <c r="G1586" s="96" t="s">
        <v>92</v>
      </c>
      <c r="H1586" s="96" t="s">
        <v>1555</v>
      </c>
      <c r="I1586" s="96" t="s">
        <v>228</v>
      </c>
      <c r="J1586" s="96" t="s">
        <v>94</v>
      </c>
      <c r="K1586" s="96" t="s">
        <v>195</v>
      </c>
      <c r="L1586">
        <v>106</v>
      </c>
      <c r="M1586" t="s">
        <v>28</v>
      </c>
      <c r="N1586" t="s">
        <v>188</v>
      </c>
      <c r="O1586" t="s">
        <v>150</v>
      </c>
      <c r="P1586">
        <v>2025</v>
      </c>
    </row>
    <row r="1587" spans="1:16" x14ac:dyDescent="0.25">
      <c r="A1587" s="96" t="s">
        <v>2</v>
      </c>
      <c r="B1587" s="96" t="s">
        <v>249</v>
      </c>
      <c r="C1587" s="96" t="s">
        <v>5142</v>
      </c>
      <c r="D1587" s="96" t="s">
        <v>40</v>
      </c>
      <c r="E1587" s="43">
        <v>46143</v>
      </c>
      <c r="F1587" s="43">
        <v>46148</v>
      </c>
      <c r="G1587" s="96" t="s">
        <v>90</v>
      </c>
      <c r="H1587" s="96" t="s">
        <v>1557</v>
      </c>
      <c r="I1587" s="96" t="s">
        <v>204</v>
      </c>
      <c r="J1587" s="96" t="s">
        <v>98</v>
      </c>
      <c r="K1587" s="96" t="s">
        <v>246</v>
      </c>
      <c r="L1587">
        <v>5</v>
      </c>
      <c r="M1587" t="s">
        <v>11</v>
      </c>
      <c r="N1587" t="s">
        <v>183</v>
      </c>
      <c r="O1587" t="s">
        <v>170</v>
      </c>
      <c r="P1587">
        <v>2026</v>
      </c>
    </row>
    <row r="1588" spans="1:16" hidden="1" x14ac:dyDescent="0.25">
      <c r="A1588" s="96" t="s">
        <v>171</v>
      </c>
      <c r="B1588" s="96" t="s">
        <v>190</v>
      </c>
      <c r="C1588" s="96" t="s">
        <v>1606</v>
      </c>
      <c r="D1588" s="96" t="s">
        <v>10</v>
      </c>
      <c r="E1588" s="43">
        <v>45690</v>
      </c>
      <c r="F1588" s="43">
        <v>45699</v>
      </c>
      <c r="G1588" s="96" t="s">
        <v>92</v>
      </c>
      <c r="H1588" s="96" t="s">
        <v>1559</v>
      </c>
      <c r="I1588" s="96" t="s">
        <v>194</v>
      </c>
      <c r="J1588" s="96" t="s">
        <v>173</v>
      </c>
      <c r="K1588" s="96" t="s">
        <v>233</v>
      </c>
      <c r="L1588">
        <v>9</v>
      </c>
      <c r="M1588" t="s">
        <v>15</v>
      </c>
      <c r="N1588" t="s">
        <v>188</v>
      </c>
      <c r="O1588" t="s">
        <v>150</v>
      </c>
      <c r="P1588">
        <v>2025</v>
      </c>
    </row>
    <row r="1589" spans="1:16" hidden="1" x14ac:dyDescent="0.25">
      <c r="A1589" s="96" t="s">
        <v>2</v>
      </c>
      <c r="B1589" s="96" t="s">
        <v>206</v>
      </c>
      <c r="C1589" s="96" t="s">
        <v>1607</v>
      </c>
      <c r="D1589" s="96" t="s">
        <v>34</v>
      </c>
      <c r="E1589" s="43">
        <v>45773</v>
      </c>
      <c r="F1589" s="43">
        <v>45864</v>
      </c>
      <c r="G1589" s="96" t="s">
        <v>92</v>
      </c>
      <c r="H1589" s="96" t="s">
        <v>5143</v>
      </c>
      <c r="I1589" s="96" t="s">
        <v>209</v>
      </c>
      <c r="J1589" s="96" t="s">
        <v>168</v>
      </c>
      <c r="K1589" s="96" t="s">
        <v>233</v>
      </c>
      <c r="L1589">
        <v>91</v>
      </c>
      <c r="M1589" t="s">
        <v>28</v>
      </c>
      <c r="N1589" t="s">
        <v>185</v>
      </c>
      <c r="O1589" t="s">
        <v>152</v>
      </c>
      <c r="P1589">
        <v>2025</v>
      </c>
    </row>
    <row r="1590" spans="1:16" hidden="1" x14ac:dyDescent="0.25">
      <c r="A1590" s="96" t="s">
        <v>2</v>
      </c>
      <c r="B1590" s="96" t="s">
        <v>322</v>
      </c>
      <c r="C1590" s="96" t="s">
        <v>1608</v>
      </c>
      <c r="D1590" s="96" t="s">
        <v>237</v>
      </c>
      <c r="E1590" s="43">
        <v>45926</v>
      </c>
      <c r="F1590" s="43">
        <v>46039</v>
      </c>
      <c r="G1590" s="96" t="s">
        <v>90</v>
      </c>
      <c r="H1590" s="96" t="s">
        <v>5144</v>
      </c>
      <c r="I1590" s="96" t="s">
        <v>204</v>
      </c>
      <c r="J1590" s="96" t="s">
        <v>96</v>
      </c>
      <c r="K1590" s="96" t="s">
        <v>195</v>
      </c>
      <c r="L1590">
        <v>113</v>
      </c>
      <c r="M1590" t="s">
        <v>28</v>
      </c>
      <c r="N1590" t="s">
        <v>12</v>
      </c>
      <c r="O1590" t="s">
        <v>150</v>
      </c>
      <c r="P1590">
        <v>2025</v>
      </c>
    </row>
    <row r="1591" spans="1:16" hidden="1" x14ac:dyDescent="0.25">
      <c r="A1591" s="96" t="s">
        <v>2</v>
      </c>
      <c r="B1591" s="96" t="s">
        <v>206</v>
      </c>
      <c r="C1591" s="96" t="s">
        <v>5145</v>
      </c>
      <c r="D1591" s="96" t="s">
        <v>14</v>
      </c>
      <c r="E1591" s="43">
        <v>45783</v>
      </c>
      <c r="F1591" s="43">
        <v>45887</v>
      </c>
      <c r="G1591" s="96" t="s">
        <v>92</v>
      </c>
      <c r="H1591" s="96" t="s">
        <v>5146</v>
      </c>
      <c r="I1591" s="96" t="s">
        <v>9</v>
      </c>
      <c r="J1591" s="96" t="s">
        <v>169</v>
      </c>
      <c r="K1591" s="96" t="s">
        <v>217</v>
      </c>
      <c r="L1591">
        <v>104</v>
      </c>
      <c r="M1591" t="s">
        <v>28</v>
      </c>
      <c r="N1591" t="s">
        <v>182</v>
      </c>
      <c r="O1591" t="s">
        <v>152</v>
      </c>
      <c r="P1591">
        <v>2025</v>
      </c>
    </row>
    <row r="1592" spans="1:16" hidden="1" x14ac:dyDescent="0.25">
      <c r="A1592" s="96" t="s">
        <v>2</v>
      </c>
      <c r="B1592" s="96" t="s">
        <v>206</v>
      </c>
      <c r="C1592" s="96" t="s">
        <v>5147</v>
      </c>
      <c r="D1592" s="96" t="s">
        <v>208</v>
      </c>
      <c r="E1592" s="43">
        <v>45830</v>
      </c>
      <c r="F1592" s="43">
        <v>45884</v>
      </c>
      <c r="G1592" s="96" t="s">
        <v>92</v>
      </c>
      <c r="H1592" s="96" t="s">
        <v>5148</v>
      </c>
      <c r="I1592" s="96" t="s">
        <v>204</v>
      </c>
      <c r="J1592" s="96" t="s">
        <v>91</v>
      </c>
      <c r="K1592" s="96" t="s">
        <v>157</v>
      </c>
      <c r="L1592">
        <v>54</v>
      </c>
      <c r="M1592" t="s">
        <v>24</v>
      </c>
      <c r="N1592" t="s">
        <v>184</v>
      </c>
      <c r="O1592" t="s">
        <v>152</v>
      </c>
      <c r="P1592">
        <v>2025</v>
      </c>
    </row>
    <row r="1593" spans="1:16" hidden="1" x14ac:dyDescent="0.25">
      <c r="A1593" s="96" t="s">
        <v>2</v>
      </c>
      <c r="B1593" s="96" t="s">
        <v>247</v>
      </c>
      <c r="C1593" s="96" t="s">
        <v>5149</v>
      </c>
      <c r="D1593" s="96" t="s">
        <v>40</v>
      </c>
      <c r="E1593" s="43">
        <v>45691</v>
      </c>
      <c r="F1593" s="43">
        <v>45806</v>
      </c>
      <c r="G1593" s="96" t="s">
        <v>92</v>
      </c>
      <c r="H1593" s="96" t="s">
        <v>5150</v>
      </c>
      <c r="I1593" s="96" t="s">
        <v>157</v>
      </c>
      <c r="J1593" s="96" t="s">
        <v>174</v>
      </c>
      <c r="K1593" s="96" t="s">
        <v>233</v>
      </c>
      <c r="L1593">
        <v>115</v>
      </c>
      <c r="M1593" t="s">
        <v>28</v>
      </c>
      <c r="N1593" t="s">
        <v>188</v>
      </c>
      <c r="O1593" t="s">
        <v>150</v>
      </c>
      <c r="P1593">
        <v>2025</v>
      </c>
    </row>
    <row r="1594" spans="1:16" hidden="1" x14ac:dyDescent="0.25">
      <c r="A1594" s="96" t="s">
        <v>2</v>
      </c>
      <c r="B1594" s="96" t="s">
        <v>231</v>
      </c>
      <c r="C1594" s="96" t="s">
        <v>1609</v>
      </c>
      <c r="D1594" s="96" t="s">
        <v>215</v>
      </c>
      <c r="E1594" s="43">
        <v>45977</v>
      </c>
      <c r="F1594" s="43">
        <v>45985</v>
      </c>
      <c r="G1594" s="96" t="s">
        <v>92</v>
      </c>
      <c r="H1594" s="96" t="s">
        <v>5151</v>
      </c>
      <c r="I1594" s="96" t="s">
        <v>204</v>
      </c>
      <c r="J1594" s="96" t="s">
        <v>176</v>
      </c>
      <c r="K1594" s="96" t="s">
        <v>200</v>
      </c>
      <c r="L1594">
        <v>8</v>
      </c>
      <c r="M1594" t="s">
        <v>15</v>
      </c>
      <c r="N1594" t="s">
        <v>20</v>
      </c>
      <c r="O1594" t="s">
        <v>170</v>
      </c>
      <c r="P1594">
        <v>2025</v>
      </c>
    </row>
    <row r="1595" spans="1:16" hidden="1" x14ac:dyDescent="0.25">
      <c r="A1595" s="96" t="s">
        <v>2</v>
      </c>
      <c r="B1595" s="96" t="s">
        <v>231</v>
      </c>
      <c r="C1595" s="96" t="s">
        <v>5152</v>
      </c>
      <c r="D1595" s="96" t="s">
        <v>237</v>
      </c>
      <c r="E1595" s="43">
        <v>45750</v>
      </c>
      <c r="F1595" s="43">
        <v>45846</v>
      </c>
      <c r="G1595" s="96" t="s">
        <v>95</v>
      </c>
      <c r="H1595" s="96" t="s">
        <v>5153</v>
      </c>
      <c r="I1595" s="96" t="s">
        <v>209</v>
      </c>
      <c r="J1595" s="96" t="s">
        <v>176</v>
      </c>
      <c r="K1595" s="96" t="s">
        <v>217</v>
      </c>
      <c r="L1595">
        <v>96</v>
      </c>
      <c r="M1595" t="s">
        <v>28</v>
      </c>
      <c r="N1595" t="s">
        <v>185</v>
      </c>
      <c r="O1595" t="s">
        <v>170</v>
      </c>
      <c r="P1595">
        <v>2025</v>
      </c>
    </row>
    <row r="1596" spans="1:16" hidden="1" x14ac:dyDescent="0.25">
      <c r="A1596" s="96" t="s">
        <v>2</v>
      </c>
      <c r="B1596" s="96" t="s">
        <v>190</v>
      </c>
      <c r="C1596" s="96" t="s">
        <v>1610</v>
      </c>
      <c r="D1596" s="96" t="s">
        <v>14</v>
      </c>
      <c r="E1596" s="43">
        <v>45874</v>
      </c>
      <c r="F1596" s="43">
        <v>45951</v>
      </c>
      <c r="G1596" s="96" t="s">
        <v>92</v>
      </c>
      <c r="H1596" s="96" t="s">
        <v>5154</v>
      </c>
      <c r="I1596" s="96" t="s">
        <v>228</v>
      </c>
      <c r="J1596" s="96" t="s">
        <v>168</v>
      </c>
      <c r="K1596" s="96" t="s">
        <v>233</v>
      </c>
      <c r="L1596">
        <v>77</v>
      </c>
      <c r="M1596" t="s">
        <v>28</v>
      </c>
      <c r="N1596" t="s">
        <v>8</v>
      </c>
      <c r="O1596" t="s">
        <v>150</v>
      </c>
      <c r="P1596">
        <v>2025</v>
      </c>
    </row>
    <row r="1597" spans="1:16" x14ac:dyDescent="0.25">
      <c r="A1597" s="96" t="s">
        <v>175</v>
      </c>
      <c r="B1597" s="96" t="s">
        <v>305</v>
      </c>
      <c r="C1597" s="96" t="s">
        <v>1611</v>
      </c>
      <c r="D1597" s="96" t="s">
        <v>40</v>
      </c>
      <c r="E1597" s="43">
        <v>46072</v>
      </c>
      <c r="F1597" s="43">
        <v>46150</v>
      </c>
      <c r="G1597" s="96" t="s">
        <v>92</v>
      </c>
      <c r="H1597" s="96" t="s">
        <v>5155</v>
      </c>
      <c r="I1597" s="96" t="s">
        <v>9</v>
      </c>
      <c r="J1597" s="96" t="s">
        <v>176</v>
      </c>
      <c r="K1597" s="96" t="s">
        <v>217</v>
      </c>
      <c r="L1597">
        <v>78</v>
      </c>
      <c r="M1597" t="s">
        <v>28</v>
      </c>
      <c r="N1597" t="s">
        <v>32</v>
      </c>
      <c r="O1597" t="s">
        <v>170</v>
      </c>
      <c r="P1597">
        <v>2026</v>
      </c>
    </row>
    <row r="1598" spans="1:16" hidden="1" x14ac:dyDescent="0.25">
      <c r="A1598" s="96" t="s">
        <v>2</v>
      </c>
      <c r="B1598" s="96" t="s">
        <v>255</v>
      </c>
      <c r="C1598" s="96" t="s">
        <v>1612</v>
      </c>
      <c r="D1598" s="96" t="s">
        <v>203</v>
      </c>
      <c r="E1598" s="43">
        <v>45920</v>
      </c>
      <c r="F1598" s="43">
        <v>46016</v>
      </c>
      <c r="G1598" s="96" t="s">
        <v>92</v>
      </c>
      <c r="H1598" s="96" t="s">
        <v>5156</v>
      </c>
      <c r="I1598" s="96" t="s">
        <v>228</v>
      </c>
      <c r="J1598" s="96" t="s">
        <v>94</v>
      </c>
      <c r="K1598" s="96" t="s">
        <v>205</v>
      </c>
      <c r="L1598">
        <v>96</v>
      </c>
      <c r="M1598" t="s">
        <v>28</v>
      </c>
      <c r="N1598" t="s">
        <v>12</v>
      </c>
      <c r="O1598" t="s">
        <v>150</v>
      </c>
      <c r="P1598">
        <v>2025</v>
      </c>
    </row>
    <row r="1599" spans="1:16" x14ac:dyDescent="0.25">
      <c r="A1599" s="96" t="s">
        <v>175</v>
      </c>
      <c r="B1599" s="96" t="s">
        <v>274</v>
      </c>
      <c r="C1599" s="96" t="s">
        <v>1613</v>
      </c>
      <c r="D1599" s="96" t="s">
        <v>223</v>
      </c>
      <c r="E1599" s="43">
        <v>46025</v>
      </c>
      <c r="F1599" s="43">
        <v>46057</v>
      </c>
      <c r="G1599" s="96" t="s">
        <v>92</v>
      </c>
      <c r="H1599" s="96" t="s">
        <v>5157</v>
      </c>
      <c r="I1599" s="96" t="s">
        <v>225</v>
      </c>
      <c r="J1599" s="96" t="s">
        <v>174</v>
      </c>
      <c r="K1599" s="96" t="s">
        <v>233</v>
      </c>
      <c r="L1599">
        <v>32</v>
      </c>
      <c r="M1599" t="s">
        <v>24</v>
      </c>
      <c r="N1599" t="s">
        <v>29</v>
      </c>
      <c r="O1599" t="s">
        <v>170</v>
      </c>
      <c r="P1599">
        <v>2026</v>
      </c>
    </row>
    <row r="1600" spans="1:16" x14ac:dyDescent="0.25">
      <c r="A1600" s="96" t="s">
        <v>2</v>
      </c>
      <c r="B1600" s="96" t="s">
        <v>290</v>
      </c>
      <c r="C1600" s="96" t="s">
        <v>1614</v>
      </c>
      <c r="D1600" s="96" t="s">
        <v>10</v>
      </c>
      <c r="E1600" s="43">
        <v>46143</v>
      </c>
      <c r="F1600" s="43">
        <v>46149</v>
      </c>
      <c r="G1600" s="96" t="s">
        <v>90</v>
      </c>
      <c r="H1600" s="96" t="s">
        <v>5158</v>
      </c>
      <c r="I1600" s="96" t="s">
        <v>9</v>
      </c>
      <c r="J1600" s="96" t="s">
        <v>174</v>
      </c>
      <c r="K1600" s="96" t="s">
        <v>230</v>
      </c>
      <c r="L1600">
        <v>6</v>
      </c>
      <c r="M1600" t="s">
        <v>11</v>
      </c>
      <c r="N1600" t="s">
        <v>183</v>
      </c>
      <c r="O1600" t="s">
        <v>149</v>
      </c>
      <c r="P1600">
        <v>2026</v>
      </c>
    </row>
    <row r="1601" spans="1:16" hidden="1" x14ac:dyDescent="0.25">
      <c r="A1601" s="96" t="s">
        <v>2</v>
      </c>
      <c r="B1601" s="96" t="s">
        <v>238</v>
      </c>
      <c r="C1601" s="96" t="s">
        <v>1615</v>
      </c>
      <c r="D1601" s="96" t="s">
        <v>10</v>
      </c>
      <c r="E1601" s="43">
        <v>45933</v>
      </c>
      <c r="F1601" s="43">
        <v>46012</v>
      </c>
      <c r="G1601" s="96" t="s">
        <v>92</v>
      </c>
      <c r="H1601" s="96" t="s">
        <v>5159</v>
      </c>
      <c r="I1601" s="96" t="s">
        <v>157</v>
      </c>
      <c r="J1601" s="96" t="s">
        <v>283</v>
      </c>
      <c r="K1601" s="96" t="s">
        <v>195</v>
      </c>
      <c r="L1601">
        <v>79</v>
      </c>
      <c r="M1601" t="s">
        <v>28</v>
      </c>
      <c r="N1601" t="s">
        <v>16</v>
      </c>
      <c r="O1601" t="s">
        <v>170</v>
      </c>
      <c r="P1601">
        <v>2025</v>
      </c>
    </row>
    <row r="1602" spans="1:16" hidden="1" x14ac:dyDescent="0.25">
      <c r="A1602" s="96" t="s">
        <v>2</v>
      </c>
      <c r="B1602" s="96" t="s">
        <v>264</v>
      </c>
      <c r="C1602" s="96" t="s">
        <v>5160</v>
      </c>
      <c r="D1602" s="96" t="s">
        <v>14</v>
      </c>
      <c r="E1602" s="43">
        <v>45903</v>
      </c>
      <c r="F1602" s="43">
        <v>46010</v>
      </c>
      <c r="G1602" s="96" t="s">
        <v>92</v>
      </c>
      <c r="H1602" s="96" t="s">
        <v>5161</v>
      </c>
      <c r="I1602" s="96" t="s">
        <v>228</v>
      </c>
      <c r="J1602" s="96" t="s">
        <v>169</v>
      </c>
      <c r="K1602" s="96" t="s">
        <v>217</v>
      </c>
      <c r="L1602">
        <v>107</v>
      </c>
      <c r="M1602" t="s">
        <v>28</v>
      </c>
      <c r="N1602" t="s">
        <v>12</v>
      </c>
      <c r="O1602" t="s">
        <v>152</v>
      </c>
      <c r="P1602">
        <v>2025</v>
      </c>
    </row>
    <row r="1603" spans="1:16" x14ac:dyDescent="0.25">
      <c r="A1603" s="96" t="s">
        <v>2</v>
      </c>
      <c r="B1603" s="96" t="s">
        <v>261</v>
      </c>
      <c r="C1603" s="96" t="s">
        <v>1617</v>
      </c>
      <c r="D1603" s="96" t="s">
        <v>215</v>
      </c>
      <c r="E1603" s="43">
        <v>46047</v>
      </c>
      <c r="F1603" s="43">
        <v>46097</v>
      </c>
      <c r="G1603" s="96" t="s">
        <v>90</v>
      </c>
      <c r="H1603" s="96" t="s">
        <v>5162</v>
      </c>
      <c r="I1603" s="96" t="s">
        <v>204</v>
      </c>
      <c r="J1603" s="96" t="s">
        <v>91</v>
      </c>
      <c r="K1603" s="96" t="s">
        <v>200</v>
      </c>
      <c r="L1603">
        <v>50</v>
      </c>
      <c r="M1603" t="s">
        <v>24</v>
      </c>
      <c r="N1603" t="s">
        <v>29</v>
      </c>
      <c r="O1603" t="s">
        <v>151</v>
      </c>
      <c r="P1603">
        <v>2026</v>
      </c>
    </row>
    <row r="1604" spans="1:16" hidden="1" x14ac:dyDescent="0.25">
      <c r="A1604" s="96" t="s">
        <v>2</v>
      </c>
      <c r="B1604" s="96" t="s">
        <v>238</v>
      </c>
      <c r="C1604" s="96" t="s">
        <v>5163</v>
      </c>
      <c r="D1604" s="96" t="s">
        <v>10</v>
      </c>
      <c r="E1604" s="43">
        <v>45985</v>
      </c>
      <c r="F1604" s="43">
        <v>46041</v>
      </c>
      <c r="G1604" s="96" t="s">
        <v>95</v>
      </c>
      <c r="H1604" s="96" t="s">
        <v>5164</v>
      </c>
      <c r="I1604" s="96" t="s">
        <v>209</v>
      </c>
      <c r="J1604" s="96" t="s">
        <v>174</v>
      </c>
      <c r="K1604" s="96" t="s">
        <v>217</v>
      </c>
      <c r="L1604">
        <v>56</v>
      </c>
      <c r="M1604" t="s">
        <v>24</v>
      </c>
      <c r="N1604" t="s">
        <v>20</v>
      </c>
      <c r="O1604" t="s">
        <v>170</v>
      </c>
      <c r="P1604">
        <v>2025</v>
      </c>
    </row>
    <row r="1605" spans="1:16" hidden="1" x14ac:dyDescent="0.25">
      <c r="A1605" s="96" t="s">
        <v>2</v>
      </c>
      <c r="B1605" s="96" t="s">
        <v>247</v>
      </c>
      <c r="C1605" s="96" t="s">
        <v>5165</v>
      </c>
      <c r="D1605" s="96" t="s">
        <v>34</v>
      </c>
      <c r="E1605" s="43">
        <v>46020</v>
      </c>
      <c r="F1605" s="43">
        <v>46094</v>
      </c>
      <c r="G1605" s="96" t="s">
        <v>92</v>
      </c>
      <c r="H1605" s="96" t="s">
        <v>5166</v>
      </c>
      <c r="I1605" s="96" t="s">
        <v>157</v>
      </c>
      <c r="J1605" s="96" t="s">
        <v>98</v>
      </c>
      <c r="K1605" s="96" t="s">
        <v>217</v>
      </c>
      <c r="L1605">
        <v>74</v>
      </c>
      <c r="M1605" t="s">
        <v>28</v>
      </c>
      <c r="N1605" t="s">
        <v>25</v>
      </c>
      <c r="O1605" t="s">
        <v>150</v>
      </c>
      <c r="P1605">
        <v>2025</v>
      </c>
    </row>
    <row r="1606" spans="1:16" x14ac:dyDescent="0.25">
      <c r="A1606" s="96" t="s">
        <v>2</v>
      </c>
      <c r="B1606" s="96" t="s">
        <v>226</v>
      </c>
      <c r="C1606" s="96" t="s">
        <v>1619</v>
      </c>
      <c r="D1606" s="96" t="s">
        <v>203</v>
      </c>
      <c r="E1606" s="43">
        <v>46041</v>
      </c>
      <c r="F1606" s="43">
        <v>46122</v>
      </c>
      <c r="G1606" s="96" t="s">
        <v>92</v>
      </c>
      <c r="H1606" s="96" t="s">
        <v>5167</v>
      </c>
      <c r="I1606" s="96" t="s">
        <v>157</v>
      </c>
      <c r="J1606" s="96" t="s">
        <v>177</v>
      </c>
      <c r="K1606" s="96" t="s">
        <v>217</v>
      </c>
      <c r="L1606">
        <v>81</v>
      </c>
      <c r="M1606" t="s">
        <v>28</v>
      </c>
      <c r="N1606" t="s">
        <v>29</v>
      </c>
      <c r="O1606" t="s">
        <v>151</v>
      </c>
      <c r="P1606">
        <v>2026</v>
      </c>
    </row>
    <row r="1607" spans="1:16" hidden="1" x14ac:dyDescent="0.25">
      <c r="A1607" s="96" t="s">
        <v>21</v>
      </c>
      <c r="B1607" s="96" t="s">
        <v>257</v>
      </c>
      <c r="C1607" s="96" t="s">
        <v>1620</v>
      </c>
      <c r="D1607" s="96" t="s">
        <v>10</v>
      </c>
      <c r="E1607" s="43">
        <v>45850</v>
      </c>
      <c r="F1607" s="43">
        <v>45948</v>
      </c>
      <c r="G1607" s="96" t="s">
        <v>92</v>
      </c>
      <c r="H1607" s="96" t="s">
        <v>5168</v>
      </c>
      <c r="I1607" s="96" t="s">
        <v>225</v>
      </c>
      <c r="J1607" s="96" t="s">
        <v>283</v>
      </c>
      <c r="K1607" s="96" t="s">
        <v>205</v>
      </c>
      <c r="L1607">
        <v>98</v>
      </c>
      <c r="M1607" t="s">
        <v>28</v>
      </c>
      <c r="N1607" t="s">
        <v>187</v>
      </c>
      <c r="O1607" t="s">
        <v>151</v>
      </c>
      <c r="P1607">
        <v>2025</v>
      </c>
    </row>
    <row r="1608" spans="1:16" hidden="1" x14ac:dyDescent="0.25">
      <c r="A1608" s="96" t="s">
        <v>2</v>
      </c>
      <c r="B1608" s="96" t="s">
        <v>255</v>
      </c>
      <c r="C1608" s="96" t="s">
        <v>1622</v>
      </c>
      <c r="D1608" s="96" t="s">
        <v>208</v>
      </c>
      <c r="E1608" s="43">
        <v>45735</v>
      </c>
      <c r="F1608" s="43">
        <v>45761</v>
      </c>
      <c r="G1608" s="96" t="s">
        <v>92</v>
      </c>
      <c r="H1608" s="96" t="s">
        <v>5169</v>
      </c>
      <c r="I1608" s="96" t="s">
        <v>225</v>
      </c>
      <c r="J1608" s="96" t="s">
        <v>199</v>
      </c>
      <c r="K1608" s="96" t="s">
        <v>246</v>
      </c>
      <c r="L1608">
        <v>26</v>
      </c>
      <c r="M1608" t="s">
        <v>19</v>
      </c>
      <c r="N1608" t="s">
        <v>186</v>
      </c>
      <c r="O1608" t="s">
        <v>150</v>
      </c>
      <c r="P1608">
        <v>2025</v>
      </c>
    </row>
    <row r="1609" spans="1:16" hidden="1" x14ac:dyDescent="0.25">
      <c r="A1609" s="96" t="s">
        <v>2</v>
      </c>
      <c r="B1609" s="96" t="s">
        <v>272</v>
      </c>
      <c r="C1609" s="96" t="s">
        <v>5170</v>
      </c>
      <c r="D1609" s="96" t="s">
        <v>215</v>
      </c>
      <c r="E1609" s="43">
        <v>45840</v>
      </c>
      <c r="F1609" s="43">
        <v>45900</v>
      </c>
      <c r="G1609" s="96" t="s">
        <v>92</v>
      </c>
      <c r="H1609" s="96" t="s">
        <v>5171</v>
      </c>
      <c r="I1609" s="96" t="s">
        <v>194</v>
      </c>
      <c r="J1609" s="96" t="s">
        <v>93</v>
      </c>
      <c r="K1609" s="96" t="s">
        <v>157</v>
      </c>
      <c r="L1609">
        <v>60</v>
      </c>
      <c r="M1609" t="s">
        <v>24</v>
      </c>
      <c r="N1609" t="s">
        <v>187</v>
      </c>
      <c r="O1609" t="s">
        <v>151</v>
      </c>
      <c r="P1609">
        <v>2025</v>
      </c>
    </row>
    <row r="1610" spans="1:16" hidden="1" x14ac:dyDescent="0.25">
      <c r="A1610" s="96" t="s">
        <v>175</v>
      </c>
      <c r="B1610" s="96" t="s">
        <v>280</v>
      </c>
      <c r="C1610" s="96" t="s">
        <v>1624</v>
      </c>
      <c r="D1610" s="96" t="s">
        <v>192</v>
      </c>
      <c r="E1610" s="43">
        <v>45679</v>
      </c>
      <c r="F1610" s="43">
        <v>45745</v>
      </c>
      <c r="G1610" s="96" t="s">
        <v>92</v>
      </c>
      <c r="H1610" s="96" t="s">
        <v>1577</v>
      </c>
      <c r="I1610" s="96" t="s">
        <v>204</v>
      </c>
      <c r="J1610" s="96" t="s">
        <v>96</v>
      </c>
      <c r="K1610" s="96" t="s">
        <v>205</v>
      </c>
      <c r="L1610">
        <v>66</v>
      </c>
      <c r="M1610" t="s">
        <v>28</v>
      </c>
      <c r="N1610" t="s">
        <v>181</v>
      </c>
      <c r="O1610" t="s">
        <v>170</v>
      </c>
      <c r="P1610">
        <v>2025</v>
      </c>
    </row>
    <row r="1611" spans="1:16" x14ac:dyDescent="0.25">
      <c r="A1611" s="96" t="s">
        <v>175</v>
      </c>
      <c r="B1611" s="96" t="s">
        <v>244</v>
      </c>
      <c r="C1611" s="96" t="s">
        <v>1626</v>
      </c>
      <c r="D1611" s="96" t="s">
        <v>10</v>
      </c>
      <c r="E1611" s="43">
        <v>46151</v>
      </c>
      <c r="F1611" s="43">
        <v>46149</v>
      </c>
      <c r="G1611" s="96" t="s">
        <v>92</v>
      </c>
      <c r="H1611" s="96" t="s">
        <v>1578</v>
      </c>
      <c r="I1611" s="96" t="s">
        <v>157</v>
      </c>
      <c r="J1611" s="96" t="s">
        <v>94</v>
      </c>
      <c r="K1611" s="96" t="s">
        <v>246</v>
      </c>
      <c r="L1611">
        <v>-2</v>
      </c>
      <c r="M1611" t="s">
        <v>11</v>
      </c>
      <c r="N1611" t="s">
        <v>183</v>
      </c>
      <c r="O1611" t="s">
        <v>150</v>
      </c>
      <c r="P1611">
        <v>2026</v>
      </c>
    </row>
    <row r="1612" spans="1:16" hidden="1" x14ac:dyDescent="0.25">
      <c r="A1612" s="96" t="s">
        <v>2</v>
      </c>
      <c r="B1612" s="96" t="s">
        <v>272</v>
      </c>
      <c r="C1612" s="96" t="s">
        <v>1628</v>
      </c>
      <c r="D1612" s="96" t="s">
        <v>237</v>
      </c>
      <c r="E1612" s="43">
        <v>45872</v>
      </c>
      <c r="F1612" s="43">
        <v>45944</v>
      </c>
      <c r="G1612" s="96" t="s">
        <v>90</v>
      </c>
      <c r="H1612" s="96" t="s">
        <v>5172</v>
      </c>
      <c r="I1612" s="96" t="s">
        <v>194</v>
      </c>
      <c r="J1612" s="96" t="s">
        <v>97</v>
      </c>
      <c r="K1612" s="96" t="s">
        <v>233</v>
      </c>
      <c r="L1612">
        <v>72</v>
      </c>
      <c r="M1612" t="s">
        <v>28</v>
      </c>
      <c r="N1612" t="s">
        <v>8</v>
      </c>
      <c r="O1612" t="s">
        <v>151</v>
      </c>
      <c r="P1612">
        <v>2025</v>
      </c>
    </row>
    <row r="1613" spans="1:16" hidden="1" x14ac:dyDescent="0.25">
      <c r="A1613" s="96" t="s">
        <v>2</v>
      </c>
      <c r="B1613" s="96" t="s">
        <v>255</v>
      </c>
      <c r="C1613" s="96" t="s">
        <v>5173</v>
      </c>
      <c r="D1613" s="96" t="s">
        <v>215</v>
      </c>
      <c r="E1613" s="43">
        <v>45885</v>
      </c>
      <c r="F1613" s="43">
        <v>45930</v>
      </c>
      <c r="G1613" s="96" t="s">
        <v>92</v>
      </c>
      <c r="H1613" s="96" t="s">
        <v>5174</v>
      </c>
      <c r="I1613" s="96" t="s">
        <v>9</v>
      </c>
      <c r="J1613" s="96" t="s">
        <v>177</v>
      </c>
      <c r="K1613" s="96" t="s">
        <v>195</v>
      </c>
      <c r="L1613">
        <v>45</v>
      </c>
      <c r="M1613" t="s">
        <v>24</v>
      </c>
      <c r="N1613" t="s">
        <v>8</v>
      </c>
      <c r="O1613" t="s">
        <v>150</v>
      </c>
      <c r="P1613">
        <v>2025</v>
      </c>
    </row>
    <row r="1614" spans="1:16" hidden="1" x14ac:dyDescent="0.25">
      <c r="A1614" s="96" t="s">
        <v>2</v>
      </c>
      <c r="B1614" s="96" t="s">
        <v>253</v>
      </c>
      <c r="C1614" s="96" t="s">
        <v>5175</v>
      </c>
      <c r="D1614" s="96" t="s">
        <v>203</v>
      </c>
      <c r="E1614" s="43">
        <v>45681</v>
      </c>
      <c r="F1614" s="43">
        <v>45755</v>
      </c>
      <c r="G1614" s="96" t="s">
        <v>92</v>
      </c>
      <c r="H1614" s="96" t="s">
        <v>1582</v>
      </c>
      <c r="I1614" s="96" t="s">
        <v>225</v>
      </c>
      <c r="J1614" s="96" t="s">
        <v>94</v>
      </c>
      <c r="K1614" s="96" t="s">
        <v>230</v>
      </c>
      <c r="L1614">
        <v>74</v>
      </c>
      <c r="M1614" t="s">
        <v>28</v>
      </c>
      <c r="N1614" t="s">
        <v>181</v>
      </c>
      <c r="O1614" t="s">
        <v>152</v>
      </c>
      <c r="P1614">
        <v>2025</v>
      </c>
    </row>
    <row r="1615" spans="1:16" hidden="1" x14ac:dyDescent="0.25">
      <c r="A1615" s="96" t="s">
        <v>2</v>
      </c>
      <c r="B1615" s="96" t="s">
        <v>238</v>
      </c>
      <c r="C1615" s="96" t="s">
        <v>1630</v>
      </c>
      <c r="D1615" s="96" t="s">
        <v>34</v>
      </c>
      <c r="E1615" s="43">
        <v>45833</v>
      </c>
      <c r="F1615" s="43">
        <v>45865</v>
      </c>
      <c r="G1615" s="96" t="s">
        <v>92</v>
      </c>
      <c r="H1615" s="96" t="s">
        <v>5176</v>
      </c>
      <c r="I1615" s="96" t="s">
        <v>225</v>
      </c>
      <c r="J1615" s="96" t="s">
        <v>173</v>
      </c>
      <c r="K1615" s="96" t="s">
        <v>217</v>
      </c>
      <c r="L1615">
        <v>32</v>
      </c>
      <c r="M1615" t="s">
        <v>24</v>
      </c>
      <c r="N1615" t="s">
        <v>184</v>
      </c>
      <c r="O1615" t="s">
        <v>170</v>
      </c>
      <c r="P1615">
        <v>2025</v>
      </c>
    </row>
    <row r="1616" spans="1:16" hidden="1" x14ac:dyDescent="0.25">
      <c r="A1616" s="96" t="s">
        <v>2</v>
      </c>
      <c r="B1616" s="96" t="s">
        <v>240</v>
      </c>
      <c r="C1616" s="96" t="s">
        <v>5177</v>
      </c>
      <c r="D1616" s="96" t="s">
        <v>14</v>
      </c>
      <c r="E1616" s="43">
        <v>45674</v>
      </c>
      <c r="F1616" s="43">
        <v>45755</v>
      </c>
      <c r="G1616" s="96" t="s">
        <v>92</v>
      </c>
      <c r="H1616" s="96" t="s">
        <v>1584</v>
      </c>
      <c r="I1616" s="96" t="s">
        <v>9</v>
      </c>
      <c r="J1616" s="96" t="s">
        <v>94</v>
      </c>
      <c r="K1616" s="96" t="s">
        <v>230</v>
      </c>
      <c r="L1616">
        <v>81</v>
      </c>
      <c r="M1616" t="s">
        <v>28</v>
      </c>
      <c r="N1616" t="s">
        <v>181</v>
      </c>
      <c r="O1616" t="s">
        <v>149</v>
      </c>
      <c r="P1616">
        <v>2025</v>
      </c>
    </row>
    <row r="1617" spans="1:16" hidden="1" x14ac:dyDescent="0.25">
      <c r="A1617" s="96" t="s">
        <v>2</v>
      </c>
      <c r="B1617" s="96" t="s">
        <v>257</v>
      </c>
      <c r="C1617" s="96" t="s">
        <v>1632</v>
      </c>
      <c r="D1617" s="96" t="s">
        <v>192</v>
      </c>
      <c r="E1617" s="43">
        <v>45998</v>
      </c>
      <c r="F1617" s="43">
        <v>46045</v>
      </c>
      <c r="G1617" s="96" t="s">
        <v>90</v>
      </c>
      <c r="H1617" s="96" t="s">
        <v>1585</v>
      </c>
      <c r="I1617" s="96" t="s">
        <v>228</v>
      </c>
      <c r="J1617" s="96" t="s">
        <v>176</v>
      </c>
      <c r="K1617" s="96" t="s">
        <v>200</v>
      </c>
      <c r="L1617">
        <v>47</v>
      </c>
      <c r="M1617" t="s">
        <v>24</v>
      </c>
      <c r="N1617" t="s">
        <v>25</v>
      </c>
      <c r="O1617" t="s">
        <v>151</v>
      </c>
      <c r="P1617">
        <v>2025</v>
      </c>
    </row>
    <row r="1618" spans="1:16" x14ac:dyDescent="0.25">
      <c r="A1618" s="96" t="s">
        <v>2</v>
      </c>
      <c r="B1618" s="96" t="s">
        <v>290</v>
      </c>
      <c r="C1618" s="96" t="s">
        <v>1633</v>
      </c>
      <c r="D1618" s="96" t="s">
        <v>237</v>
      </c>
      <c r="E1618" s="43">
        <v>46045</v>
      </c>
      <c r="F1618" s="43">
        <v>46116</v>
      </c>
      <c r="G1618" s="96" t="s">
        <v>90</v>
      </c>
      <c r="H1618" s="96" t="s">
        <v>5178</v>
      </c>
      <c r="I1618" s="96" t="s">
        <v>194</v>
      </c>
      <c r="J1618" s="96" t="s">
        <v>165</v>
      </c>
      <c r="K1618" s="96" t="s">
        <v>230</v>
      </c>
      <c r="L1618">
        <v>71</v>
      </c>
      <c r="M1618" t="s">
        <v>28</v>
      </c>
      <c r="N1618" t="s">
        <v>29</v>
      </c>
      <c r="O1618" t="s">
        <v>149</v>
      </c>
      <c r="P1618">
        <v>2026</v>
      </c>
    </row>
    <row r="1619" spans="1:16" hidden="1" x14ac:dyDescent="0.25">
      <c r="A1619" s="96" t="s">
        <v>2</v>
      </c>
      <c r="B1619" s="96" t="s">
        <v>257</v>
      </c>
      <c r="C1619" s="96" t="s">
        <v>5179</v>
      </c>
      <c r="D1619" s="96" t="s">
        <v>208</v>
      </c>
      <c r="E1619" s="43">
        <v>45898</v>
      </c>
      <c r="F1619" s="43">
        <v>45956</v>
      </c>
      <c r="G1619" s="96" t="s">
        <v>90</v>
      </c>
      <c r="H1619" s="96" t="s">
        <v>5180</v>
      </c>
      <c r="I1619" s="96" t="s">
        <v>209</v>
      </c>
      <c r="J1619" s="96" t="s">
        <v>172</v>
      </c>
      <c r="K1619" s="96" t="s">
        <v>230</v>
      </c>
      <c r="L1619">
        <v>58</v>
      </c>
      <c r="M1619" t="s">
        <v>24</v>
      </c>
      <c r="N1619" t="s">
        <v>8</v>
      </c>
      <c r="O1619" t="s">
        <v>151</v>
      </c>
      <c r="P1619">
        <v>2025</v>
      </c>
    </row>
    <row r="1620" spans="1:16" hidden="1" x14ac:dyDescent="0.25">
      <c r="A1620" s="96" t="s">
        <v>2</v>
      </c>
      <c r="B1620" s="96" t="s">
        <v>272</v>
      </c>
      <c r="C1620" s="96" t="s">
        <v>5181</v>
      </c>
      <c r="D1620" s="96" t="s">
        <v>223</v>
      </c>
      <c r="E1620" s="43">
        <v>45956</v>
      </c>
      <c r="F1620" s="43">
        <v>46009</v>
      </c>
      <c r="G1620" s="96" t="s">
        <v>92</v>
      </c>
      <c r="H1620" s="96" t="s">
        <v>5182</v>
      </c>
      <c r="I1620" s="96" t="s">
        <v>209</v>
      </c>
      <c r="J1620" s="96" t="s">
        <v>173</v>
      </c>
      <c r="K1620" s="96" t="s">
        <v>200</v>
      </c>
      <c r="L1620">
        <v>53</v>
      </c>
      <c r="M1620" t="s">
        <v>24</v>
      </c>
      <c r="N1620" t="s">
        <v>16</v>
      </c>
      <c r="O1620" t="s">
        <v>151</v>
      </c>
      <c r="P1620">
        <v>2025</v>
      </c>
    </row>
    <row r="1621" spans="1:16" hidden="1" x14ac:dyDescent="0.25">
      <c r="A1621" s="96" t="s">
        <v>2</v>
      </c>
      <c r="B1621" s="96" t="s">
        <v>206</v>
      </c>
      <c r="C1621" s="96" t="s">
        <v>1634</v>
      </c>
      <c r="D1621" s="96" t="s">
        <v>215</v>
      </c>
      <c r="E1621" s="43">
        <v>45965</v>
      </c>
      <c r="F1621" s="43">
        <v>46041</v>
      </c>
      <c r="G1621" s="96" t="s">
        <v>92</v>
      </c>
      <c r="H1621" s="96" t="s">
        <v>5183</v>
      </c>
      <c r="I1621" s="96" t="s">
        <v>209</v>
      </c>
      <c r="J1621" s="96" t="s">
        <v>94</v>
      </c>
      <c r="K1621" s="96" t="s">
        <v>195</v>
      </c>
      <c r="L1621">
        <v>76</v>
      </c>
      <c r="M1621" t="s">
        <v>28</v>
      </c>
      <c r="N1621" t="s">
        <v>20</v>
      </c>
      <c r="O1621" t="s">
        <v>152</v>
      </c>
      <c r="P1621">
        <v>2025</v>
      </c>
    </row>
    <row r="1622" spans="1:16" hidden="1" x14ac:dyDescent="0.25">
      <c r="A1622" s="96" t="s">
        <v>2</v>
      </c>
      <c r="B1622" s="96" t="s">
        <v>247</v>
      </c>
      <c r="C1622" s="96" t="s">
        <v>5184</v>
      </c>
      <c r="D1622" s="96" t="s">
        <v>40</v>
      </c>
      <c r="E1622" s="43">
        <v>45952</v>
      </c>
      <c r="F1622" s="43">
        <v>46043</v>
      </c>
      <c r="G1622" s="96" t="s">
        <v>92</v>
      </c>
      <c r="H1622" s="96" t="s">
        <v>5185</v>
      </c>
      <c r="I1622" s="96" t="s">
        <v>157</v>
      </c>
      <c r="J1622" s="96" t="s">
        <v>216</v>
      </c>
      <c r="K1622" s="96" t="s">
        <v>205</v>
      </c>
      <c r="L1622">
        <v>91</v>
      </c>
      <c r="M1622" t="s">
        <v>28</v>
      </c>
      <c r="N1622" t="s">
        <v>16</v>
      </c>
      <c r="O1622" t="s">
        <v>150</v>
      </c>
      <c r="P1622">
        <v>2025</v>
      </c>
    </row>
    <row r="1623" spans="1:16" hidden="1" x14ac:dyDescent="0.25">
      <c r="A1623" s="96" t="s">
        <v>2</v>
      </c>
      <c r="B1623" s="96" t="s">
        <v>322</v>
      </c>
      <c r="C1623" s="96" t="s">
        <v>1635</v>
      </c>
      <c r="D1623" s="96" t="s">
        <v>203</v>
      </c>
      <c r="E1623" s="43">
        <v>45874</v>
      </c>
      <c r="F1623" s="43">
        <v>45897</v>
      </c>
      <c r="G1623" s="96" t="s">
        <v>92</v>
      </c>
      <c r="H1623" s="96" t="s">
        <v>5186</v>
      </c>
      <c r="I1623" s="96" t="s">
        <v>194</v>
      </c>
      <c r="J1623" s="96" t="s">
        <v>176</v>
      </c>
      <c r="K1623" s="96" t="s">
        <v>195</v>
      </c>
      <c r="L1623">
        <v>23</v>
      </c>
      <c r="M1623" t="s">
        <v>19</v>
      </c>
      <c r="N1623" t="s">
        <v>8</v>
      </c>
      <c r="O1623" t="s">
        <v>150</v>
      </c>
      <c r="P1623">
        <v>2025</v>
      </c>
    </row>
    <row r="1624" spans="1:16" hidden="1" x14ac:dyDescent="0.25">
      <c r="A1624" s="96" t="s">
        <v>2</v>
      </c>
      <c r="B1624" s="96" t="s">
        <v>190</v>
      </c>
      <c r="C1624" s="96" t="s">
        <v>1636</v>
      </c>
      <c r="D1624" s="96" t="s">
        <v>203</v>
      </c>
      <c r="E1624" s="43">
        <v>45815</v>
      </c>
      <c r="F1624" s="43">
        <v>45873</v>
      </c>
      <c r="G1624" s="96" t="s">
        <v>90</v>
      </c>
      <c r="H1624" s="96" t="s">
        <v>5187</v>
      </c>
      <c r="I1624" s="96" t="s">
        <v>204</v>
      </c>
      <c r="J1624" s="96" t="s">
        <v>229</v>
      </c>
      <c r="K1624" s="96" t="s">
        <v>230</v>
      </c>
      <c r="L1624">
        <v>58</v>
      </c>
      <c r="M1624" t="s">
        <v>24</v>
      </c>
      <c r="N1624" t="s">
        <v>184</v>
      </c>
      <c r="O1624" t="s">
        <v>150</v>
      </c>
      <c r="P1624">
        <v>2025</v>
      </c>
    </row>
    <row r="1625" spans="1:16" hidden="1" x14ac:dyDescent="0.25">
      <c r="A1625" s="96" t="s">
        <v>2</v>
      </c>
      <c r="B1625" s="96" t="s">
        <v>322</v>
      </c>
      <c r="C1625" s="96" t="s">
        <v>1637</v>
      </c>
      <c r="D1625" s="96" t="s">
        <v>10</v>
      </c>
      <c r="E1625" s="43">
        <v>45812</v>
      </c>
      <c r="F1625" s="43">
        <v>45918</v>
      </c>
      <c r="G1625" s="96" t="s">
        <v>92</v>
      </c>
      <c r="H1625" s="96" t="s">
        <v>5188</v>
      </c>
      <c r="I1625" s="96" t="s">
        <v>209</v>
      </c>
      <c r="J1625" s="96" t="s">
        <v>229</v>
      </c>
      <c r="K1625" s="96" t="s">
        <v>205</v>
      </c>
      <c r="L1625">
        <v>106</v>
      </c>
      <c r="M1625" t="s">
        <v>28</v>
      </c>
      <c r="N1625" t="s">
        <v>184</v>
      </c>
      <c r="O1625" t="s">
        <v>150</v>
      </c>
      <c r="P1625">
        <v>2025</v>
      </c>
    </row>
    <row r="1626" spans="1:16" x14ac:dyDescent="0.25">
      <c r="A1626" s="96" t="s">
        <v>2</v>
      </c>
      <c r="B1626" s="96" t="s">
        <v>218</v>
      </c>
      <c r="C1626" s="96" t="s">
        <v>5189</v>
      </c>
      <c r="D1626" s="96" t="s">
        <v>237</v>
      </c>
      <c r="E1626" s="43">
        <v>46146</v>
      </c>
      <c r="F1626" s="43">
        <v>46150</v>
      </c>
      <c r="G1626" s="96" t="s">
        <v>90</v>
      </c>
      <c r="H1626" s="96" t="s">
        <v>1588</v>
      </c>
      <c r="I1626" s="96" t="s">
        <v>204</v>
      </c>
      <c r="J1626" s="96" t="s">
        <v>216</v>
      </c>
      <c r="K1626" s="96" t="s">
        <v>246</v>
      </c>
      <c r="L1626">
        <v>4</v>
      </c>
      <c r="M1626" t="s">
        <v>11</v>
      </c>
      <c r="N1626" t="s">
        <v>183</v>
      </c>
      <c r="O1626" t="s">
        <v>152</v>
      </c>
      <c r="P1626">
        <v>2026</v>
      </c>
    </row>
    <row r="1627" spans="1:16" hidden="1" x14ac:dyDescent="0.25">
      <c r="A1627" s="96" t="s">
        <v>2</v>
      </c>
      <c r="B1627" s="96" t="s">
        <v>255</v>
      </c>
      <c r="C1627" s="96" t="s">
        <v>1638</v>
      </c>
      <c r="D1627" s="96" t="s">
        <v>223</v>
      </c>
      <c r="E1627" s="43">
        <v>45762</v>
      </c>
      <c r="F1627" s="43">
        <v>45774</v>
      </c>
      <c r="G1627" s="96" t="s">
        <v>90</v>
      </c>
      <c r="H1627" s="96" t="s">
        <v>5190</v>
      </c>
      <c r="I1627" s="96" t="s">
        <v>228</v>
      </c>
      <c r="J1627" s="96" t="s">
        <v>97</v>
      </c>
      <c r="K1627" s="96" t="s">
        <v>205</v>
      </c>
      <c r="L1627">
        <v>12</v>
      </c>
      <c r="M1627" t="s">
        <v>15</v>
      </c>
      <c r="N1627" t="s">
        <v>185</v>
      </c>
      <c r="O1627" t="s">
        <v>150</v>
      </c>
      <c r="P1627">
        <v>2025</v>
      </c>
    </row>
    <row r="1628" spans="1:16" hidden="1" x14ac:dyDescent="0.25">
      <c r="A1628" s="96" t="s">
        <v>175</v>
      </c>
      <c r="B1628" s="96" t="s">
        <v>253</v>
      </c>
      <c r="C1628" s="96" t="s">
        <v>1639</v>
      </c>
      <c r="D1628" s="96" t="s">
        <v>40</v>
      </c>
      <c r="E1628" s="43">
        <v>45966</v>
      </c>
      <c r="F1628" s="43">
        <v>46008</v>
      </c>
      <c r="G1628" s="96" t="s">
        <v>92</v>
      </c>
      <c r="H1628" s="96" t="s">
        <v>5191</v>
      </c>
      <c r="I1628" s="96" t="s">
        <v>209</v>
      </c>
      <c r="J1628" s="96" t="s">
        <v>165</v>
      </c>
      <c r="K1628" s="96" t="s">
        <v>210</v>
      </c>
      <c r="L1628">
        <v>42</v>
      </c>
      <c r="M1628" t="s">
        <v>24</v>
      </c>
      <c r="N1628" t="s">
        <v>20</v>
      </c>
      <c r="O1628" t="s">
        <v>152</v>
      </c>
      <c r="P1628">
        <v>2025</v>
      </c>
    </row>
    <row r="1629" spans="1:16" x14ac:dyDescent="0.25">
      <c r="A1629" s="96" t="s">
        <v>2</v>
      </c>
      <c r="B1629" s="96" t="s">
        <v>317</v>
      </c>
      <c r="C1629" s="96" t="s">
        <v>1640</v>
      </c>
      <c r="D1629" s="96" t="s">
        <v>215</v>
      </c>
      <c r="E1629" s="43">
        <v>46119</v>
      </c>
      <c r="F1629" s="43">
        <v>46149</v>
      </c>
      <c r="G1629" s="96" t="s">
        <v>92</v>
      </c>
      <c r="H1629" s="96" t="s">
        <v>5192</v>
      </c>
      <c r="I1629" s="96" t="s">
        <v>228</v>
      </c>
      <c r="J1629" s="96" t="s">
        <v>91</v>
      </c>
      <c r="K1629" s="96" t="s">
        <v>233</v>
      </c>
      <c r="L1629">
        <v>30</v>
      </c>
      <c r="M1629" t="s">
        <v>19</v>
      </c>
      <c r="N1629" t="s">
        <v>37</v>
      </c>
      <c r="O1629" t="s">
        <v>170</v>
      </c>
      <c r="P1629">
        <v>2026</v>
      </c>
    </row>
    <row r="1630" spans="1:16" hidden="1" x14ac:dyDescent="0.25">
      <c r="A1630" s="96" t="s">
        <v>2</v>
      </c>
      <c r="B1630" s="96" t="s">
        <v>221</v>
      </c>
      <c r="C1630" s="96" t="s">
        <v>1641</v>
      </c>
      <c r="D1630" s="96" t="s">
        <v>215</v>
      </c>
      <c r="E1630" s="43">
        <v>45817</v>
      </c>
      <c r="F1630" s="43">
        <v>45886</v>
      </c>
      <c r="G1630" s="96" t="s">
        <v>90</v>
      </c>
      <c r="H1630" s="96" t="s">
        <v>5193</v>
      </c>
      <c r="I1630" s="96" t="s">
        <v>228</v>
      </c>
      <c r="J1630" s="96" t="s">
        <v>165</v>
      </c>
      <c r="K1630" s="96" t="s">
        <v>230</v>
      </c>
      <c r="L1630">
        <v>69</v>
      </c>
      <c r="M1630" t="s">
        <v>28</v>
      </c>
      <c r="N1630" t="s">
        <v>184</v>
      </c>
      <c r="O1630" t="s">
        <v>170</v>
      </c>
      <c r="P1630">
        <v>2025</v>
      </c>
    </row>
    <row r="1631" spans="1:16" x14ac:dyDescent="0.25">
      <c r="A1631" s="96" t="s">
        <v>2</v>
      </c>
      <c r="B1631" s="96" t="s">
        <v>234</v>
      </c>
      <c r="C1631" s="96" t="s">
        <v>1642</v>
      </c>
      <c r="D1631" s="96" t="s">
        <v>192</v>
      </c>
      <c r="E1631" s="43">
        <v>46071</v>
      </c>
      <c r="F1631" s="43">
        <v>46105</v>
      </c>
      <c r="G1631" s="96" t="s">
        <v>92</v>
      </c>
      <c r="H1631" s="96" t="s">
        <v>5194</v>
      </c>
      <c r="I1631" s="96" t="s">
        <v>194</v>
      </c>
      <c r="J1631" s="96" t="s">
        <v>94</v>
      </c>
      <c r="K1631" s="96" t="s">
        <v>195</v>
      </c>
      <c r="L1631">
        <v>34</v>
      </c>
      <c r="M1631" t="s">
        <v>24</v>
      </c>
      <c r="N1631" t="s">
        <v>32</v>
      </c>
      <c r="O1631" t="s">
        <v>150</v>
      </c>
      <c r="P1631">
        <v>2026</v>
      </c>
    </row>
    <row r="1632" spans="1:16" x14ac:dyDescent="0.25">
      <c r="A1632" s="96" t="s">
        <v>2</v>
      </c>
      <c r="B1632" s="96" t="s">
        <v>290</v>
      </c>
      <c r="C1632" s="96" t="s">
        <v>1644</v>
      </c>
      <c r="D1632" s="96" t="s">
        <v>14</v>
      </c>
      <c r="E1632" s="43">
        <v>46049</v>
      </c>
      <c r="F1632" s="43">
        <v>46072</v>
      </c>
      <c r="G1632" s="96" t="s">
        <v>90</v>
      </c>
      <c r="H1632" s="96" t="s">
        <v>5195</v>
      </c>
      <c r="I1632" s="96" t="s">
        <v>204</v>
      </c>
      <c r="J1632" s="96" t="s">
        <v>176</v>
      </c>
      <c r="K1632" s="96" t="s">
        <v>233</v>
      </c>
      <c r="L1632">
        <v>23</v>
      </c>
      <c r="M1632" t="s">
        <v>19</v>
      </c>
      <c r="N1632" t="s">
        <v>29</v>
      </c>
      <c r="O1632" t="s">
        <v>149</v>
      </c>
      <c r="P1632">
        <v>2026</v>
      </c>
    </row>
    <row r="1633" spans="1:16" x14ac:dyDescent="0.25">
      <c r="A1633" s="96" t="s">
        <v>2</v>
      </c>
      <c r="B1633" s="96" t="s">
        <v>261</v>
      </c>
      <c r="C1633" s="96" t="s">
        <v>1646</v>
      </c>
      <c r="D1633" s="96" t="s">
        <v>192</v>
      </c>
      <c r="E1633" s="43">
        <v>46098</v>
      </c>
      <c r="F1633" s="43">
        <v>46100</v>
      </c>
      <c r="G1633" s="96" t="s">
        <v>90</v>
      </c>
      <c r="H1633" s="96" t="s">
        <v>5196</v>
      </c>
      <c r="I1633" s="96" t="s">
        <v>209</v>
      </c>
      <c r="J1633" s="96" t="s">
        <v>283</v>
      </c>
      <c r="K1633" s="96" t="s">
        <v>200</v>
      </c>
      <c r="L1633">
        <v>2</v>
      </c>
      <c r="M1633" t="s">
        <v>11</v>
      </c>
      <c r="N1633" t="s">
        <v>35</v>
      </c>
      <c r="O1633" t="s">
        <v>151</v>
      </c>
      <c r="P1633">
        <v>2026</v>
      </c>
    </row>
    <row r="1634" spans="1:16" hidden="1" x14ac:dyDescent="0.25">
      <c r="A1634" s="96" t="s">
        <v>2</v>
      </c>
      <c r="B1634" s="96" t="s">
        <v>264</v>
      </c>
      <c r="C1634" s="96" t="s">
        <v>1647</v>
      </c>
      <c r="D1634" s="96" t="s">
        <v>215</v>
      </c>
      <c r="E1634" s="43">
        <v>45813</v>
      </c>
      <c r="F1634" s="43">
        <v>45898</v>
      </c>
      <c r="G1634" s="96" t="s">
        <v>90</v>
      </c>
      <c r="H1634" s="96" t="s">
        <v>5197</v>
      </c>
      <c r="I1634" s="96" t="s">
        <v>209</v>
      </c>
      <c r="J1634" s="96" t="s">
        <v>96</v>
      </c>
      <c r="K1634" s="96" t="s">
        <v>200</v>
      </c>
      <c r="L1634">
        <v>85</v>
      </c>
      <c r="M1634" t="s">
        <v>28</v>
      </c>
      <c r="N1634" t="s">
        <v>184</v>
      </c>
      <c r="O1634" t="s">
        <v>152</v>
      </c>
      <c r="P1634">
        <v>2025</v>
      </c>
    </row>
    <row r="1635" spans="1:16" x14ac:dyDescent="0.25">
      <c r="A1635" s="96" t="s">
        <v>2</v>
      </c>
      <c r="B1635" s="96" t="s">
        <v>288</v>
      </c>
      <c r="C1635" s="96" t="s">
        <v>1648</v>
      </c>
      <c r="D1635" s="96" t="s">
        <v>223</v>
      </c>
      <c r="E1635" s="43">
        <v>46100</v>
      </c>
      <c r="F1635" s="43">
        <v>46116</v>
      </c>
      <c r="G1635" s="96" t="s">
        <v>92</v>
      </c>
      <c r="H1635" s="96" t="s">
        <v>5198</v>
      </c>
      <c r="I1635" s="96" t="s">
        <v>225</v>
      </c>
      <c r="J1635" s="96" t="s">
        <v>177</v>
      </c>
      <c r="K1635" s="96" t="s">
        <v>217</v>
      </c>
      <c r="L1635">
        <v>16</v>
      </c>
      <c r="M1635" t="s">
        <v>19</v>
      </c>
      <c r="N1635" t="s">
        <v>35</v>
      </c>
      <c r="O1635" t="s">
        <v>170</v>
      </c>
      <c r="P1635">
        <v>2026</v>
      </c>
    </row>
    <row r="1636" spans="1:16" hidden="1" x14ac:dyDescent="0.25">
      <c r="A1636" s="96" t="s">
        <v>2</v>
      </c>
      <c r="B1636" s="96" t="s">
        <v>221</v>
      </c>
      <c r="C1636" s="96" t="s">
        <v>1649</v>
      </c>
      <c r="D1636" s="96" t="s">
        <v>237</v>
      </c>
      <c r="E1636" s="43">
        <v>45700</v>
      </c>
      <c r="F1636" s="43">
        <v>45820</v>
      </c>
      <c r="G1636" s="96" t="s">
        <v>95</v>
      </c>
      <c r="H1636" s="96" t="s">
        <v>5199</v>
      </c>
      <c r="I1636" s="96" t="s">
        <v>209</v>
      </c>
      <c r="J1636" s="96" t="s">
        <v>165</v>
      </c>
      <c r="K1636" s="96" t="s">
        <v>195</v>
      </c>
      <c r="L1636">
        <v>120</v>
      </c>
      <c r="M1636" t="s">
        <v>28</v>
      </c>
      <c r="N1636" t="s">
        <v>188</v>
      </c>
      <c r="O1636" t="s">
        <v>170</v>
      </c>
      <c r="P1636">
        <v>2025</v>
      </c>
    </row>
    <row r="1637" spans="1:16" x14ac:dyDescent="0.25">
      <c r="A1637" s="96" t="s">
        <v>2</v>
      </c>
      <c r="B1637" s="96" t="s">
        <v>201</v>
      </c>
      <c r="C1637" s="96" t="s">
        <v>1650</v>
      </c>
      <c r="D1637" s="96" t="s">
        <v>192</v>
      </c>
      <c r="E1637" s="43">
        <v>46055</v>
      </c>
      <c r="F1637" s="43">
        <v>46075</v>
      </c>
      <c r="G1637" s="96" t="s">
        <v>90</v>
      </c>
      <c r="H1637" s="96" t="s">
        <v>5200</v>
      </c>
      <c r="I1637" s="96" t="s">
        <v>228</v>
      </c>
      <c r="J1637" s="96" t="s">
        <v>176</v>
      </c>
      <c r="K1637" s="96" t="s">
        <v>210</v>
      </c>
      <c r="L1637">
        <v>20</v>
      </c>
      <c r="M1637" t="s">
        <v>19</v>
      </c>
      <c r="N1637" t="s">
        <v>32</v>
      </c>
      <c r="O1637" t="s">
        <v>170</v>
      </c>
      <c r="P1637">
        <v>2026</v>
      </c>
    </row>
    <row r="1638" spans="1:16" hidden="1" x14ac:dyDescent="0.25">
      <c r="A1638" s="96" t="s">
        <v>2</v>
      </c>
      <c r="B1638" s="96" t="s">
        <v>264</v>
      </c>
      <c r="C1638" s="96" t="s">
        <v>1652</v>
      </c>
      <c r="D1638" s="96" t="s">
        <v>10</v>
      </c>
      <c r="E1638" s="43">
        <v>45982</v>
      </c>
      <c r="F1638" s="43">
        <v>46064</v>
      </c>
      <c r="G1638" s="96" t="s">
        <v>92</v>
      </c>
      <c r="H1638" s="96" t="s">
        <v>5201</v>
      </c>
      <c r="I1638" s="96" t="s">
        <v>209</v>
      </c>
      <c r="J1638" s="96" t="s">
        <v>91</v>
      </c>
      <c r="K1638" s="96" t="s">
        <v>210</v>
      </c>
      <c r="L1638">
        <v>82</v>
      </c>
      <c r="M1638" t="s">
        <v>28</v>
      </c>
      <c r="N1638" t="s">
        <v>20</v>
      </c>
      <c r="O1638" t="s">
        <v>152</v>
      </c>
      <c r="P1638">
        <v>2025</v>
      </c>
    </row>
    <row r="1639" spans="1:16" hidden="1" x14ac:dyDescent="0.25">
      <c r="A1639" s="96" t="s">
        <v>2</v>
      </c>
      <c r="B1639" s="96" t="s">
        <v>238</v>
      </c>
      <c r="C1639" s="96" t="s">
        <v>1654</v>
      </c>
      <c r="D1639" s="96" t="s">
        <v>223</v>
      </c>
      <c r="E1639" s="43">
        <v>45720</v>
      </c>
      <c r="F1639" s="43">
        <v>45739</v>
      </c>
      <c r="G1639" s="96" t="s">
        <v>92</v>
      </c>
      <c r="H1639" s="96" t="s">
        <v>1595</v>
      </c>
      <c r="I1639" s="96" t="s">
        <v>209</v>
      </c>
      <c r="J1639" s="96" t="s">
        <v>169</v>
      </c>
      <c r="K1639" s="96" t="s">
        <v>195</v>
      </c>
      <c r="L1639">
        <v>19</v>
      </c>
      <c r="M1639" t="s">
        <v>19</v>
      </c>
      <c r="N1639" t="s">
        <v>186</v>
      </c>
      <c r="O1639" t="s">
        <v>170</v>
      </c>
      <c r="P1639">
        <v>2025</v>
      </c>
    </row>
    <row r="1640" spans="1:16" hidden="1" x14ac:dyDescent="0.25">
      <c r="A1640" s="96" t="s">
        <v>2</v>
      </c>
      <c r="B1640" s="96" t="s">
        <v>280</v>
      </c>
      <c r="C1640" s="96" t="s">
        <v>1656</v>
      </c>
      <c r="D1640" s="96" t="s">
        <v>34</v>
      </c>
      <c r="E1640" s="43">
        <v>45733</v>
      </c>
      <c r="F1640" s="43">
        <v>45850</v>
      </c>
      <c r="G1640" s="96" t="s">
        <v>92</v>
      </c>
      <c r="H1640" s="96" t="s">
        <v>5202</v>
      </c>
      <c r="I1640" s="96" t="s">
        <v>157</v>
      </c>
      <c r="J1640" s="96" t="s">
        <v>229</v>
      </c>
      <c r="K1640" s="96" t="s">
        <v>230</v>
      </c>
      <c r="L1640">
        <v>117</v>
      </c>
      <c r="M1640" t="s">
        <v>28</v>
      </c>
      <c r="N1640" t="s">
        <v>186</v>
      </c>
      <c r="O1640" t="s">
        <v>170</v>
      </c>
      <c r="P1640">
        <v>2025</v>
      </c>
    </row>
    <row r="1641" spans="1:16" x14ac:dyDescent="0.25">
      <c r="A1641" s="96" t="s">
        <v>2</v>
      </c>
      <c r="B1641" s="96" t="s">
        <v>249</v>
      </c>
      <c r="C1641" s="96" t="s">
        <v>5203</v>
      </c>
      <c r="D1641" s="96" t="s">
        <v>10</v>
      </c>
      <c r="E1641" s="43">
        <v>46151</v>
      </c>
      <c r="F1641" s="43">
        <v>46147</v>
      </c>
      <c r="G1641" s="96" t="s">
        <v>95</v>
      </c>
      <c r="H1641" s="96" t="s">
        <v>1597</v>
      </c>
      <c r="I1641" s="96" t="s">
        <v>9</v>
      </c>
      <c r="J1641" s="96" t="s">
        <v>176</v>
      </c>
      <c r="K1641" s="96" t="s">
        <v>200</v>
      </c>
      <c r="L1641">
        <v>-4</v>
      </c>
      <c r="M1641" t="s">
        <v>11</v>
      </c>
      <c r="N1641" t="s">
        <v>183</v>
      </c>
      <c r="O1641" t="s">
        <v>170</v>
      </c>
      <c r="P1641">
        <v>2026</v>
      </c>
    </row>
    <row r="1642" spans="1:16" hidden="1" x14ac:dyDescent="0.25">
      <c r="A1642" s="96" t="s">
        <v>2</v>
      </c>
      <c r="B1642" s="96" t="s">
        <v>190</v>
      </c>
      <c r="C1642" s="96" t="s">
        <v>1657</v>
      </c>
      <c r="D1642" s="96" t="s">
        <v>208</v>
      </c>
      <c r="E1642" s="43">
        <v>45839</v>
      </c>
      <c r="F1642" s="43">
        <v>45895</v>
      </c>
      <c r="G1642" s="96" t="s">
        <v>92</v>
      </c>
      <c r="H1642" s="96" t="s">
        <v>1599</v>
      </c>
      <c r="I1642" s="96" t="s">
        <v>209</v>
      </c>
      <c r="J1642" s="96" t="s">
        <v>176</v>
      </c>
      <c r="K1642" s="96" t="s">
        <v>200</v>
      </c>
      <c r="L1642">
        <v>56</v>
      </c>
      <c r="M1642" t="s">
        <v>24</v>
      </c>
      <c r="N1642" t="s">
        <v>187</v>
      </c>
      <c r="O1642" t="s">
        <v>150</v>
      </c>
      <c r="P1642">
        <v>2025</v>
      </c>
    </row>
    <row r="1643" spans="1:16" hidden="1" x14ac:dyDescent="0.25">
      <c r="A1643" s="96" t="s">
        <v>2</v>
      </c>
      <c r="B1643" s="96" t="s">
        <v>322</v>
      </c>
      <c r="C1643" s="96" t="s">
        <v>1658</v>
      </c>
      <c r="D1643" s="96" t="s">
        <v>34</v>
      </c>
      <c r="E1643" s="43">
        <v>45972</v>
      </c>
      <c r="F1643" s="43">
        <v>46052</v>
      </c>
      <c r="G1643" s="96" t="s">
        <v>90</v>
      </c>
      <c r="H1643" s="96" t="s">
        <v>1601</v>
      </c>
      <c r="I1643" s="96" t="s">
        <v>225</v>
      </c>
      <c r="J1643" s="96" t="s">
        <v>172</v>
      </c>
      <c r="K1643" s="96" t="s">
        <v>233</v>
      </c>
      <c r="L1643">
        <v>80</v>
      </c>
      <c r="M1643" t="s">
        <v>28</v>
      </c>
      <c r="N1643" t="s">
        <v>20</v>
      </c>
      <c r="O1643" t="s">
        <v>150</v>
      </c>
      <c r="P1643">
        <v>2025</v>
      </c>
    </row>
    <row r="1644" spans="1:16" x14ac:dyDescent="0.25">
      <c r="A1644" s="96" t="s">
        <v>189</v>
      </c>
      <c r="B1644" s="96" t="s">
        <v>226</v>
      </c>
      <c r="C1644" s="96" t="s">
        <v>1660</v>
      </c>
      <c r="D1644" s="96" t="s">
        <v>208</v>
      </c>
      <c r="E1644" s="43">
        <v>46072</v>
      </c>
      <c r="F1644" s="43">
        <v>46144</v>
      </c>
      <c r="G1644" s="96" t="s">
        <v>92</v>
      </c>
      <c r="H1644" s="96" t="s">
        <v>1602</v>
      </c>
      <c r="I1644" s="96" t="s">
        <v>9</v>
      </c>
      <c r="J1644" s="96" t="s">
        <v>172</v>
      </c>
      <c r="K1644" s="96" t="s">
        <v>205</v>
      </c>
      <c r="L1644">
        <v>72</v>
      </c>
      <c r="M1644" t="s">
        <v>28</v>
      </c>
      <c r="N1644" t="s">
        <v>32</v>
      </c>
      <c r="O1644" t="s">
        <v>151</v>
      </c>
      <c r="P1644">
        <v>2026</v>
      </c>
    </row>
    <row r="1645" spans="1:16" hidden="1" x14ac:dyDescent="0.25">
      <c r="A1645" s="96" t="s">
        <v>175</v>
      </c>
      <c r="B1645" s="96" t="s">
        <v>213</v>
      </c>
      <c r="C1645" s="96" t="s">
        <v>1661</v>
      </c>
      <c r="D1645" s="96" t="s">
        <v>203</v>
      </c>
      <c r="E1645" s="43">
        <v>45764</v>
      </c>
      <c r="F1645" s="43">
        <v>45807</v>
      </c>
      <c r="G1645" s="96" t="s">
        <v>92</v>
      </c>
      <c r="H1645" s="96" t="s">
        <v>1604</v>
      </c>
      <c r="I1645" s="96" t="s">
        <v>225</v>
      </c>
      <c r="J1645" s="96" t="s">
        <v>96</v>
      </c>
      <c r="K1645" s="96" t="s">
        <v>230</v>
      </c>
      <c r="L1645">
        <v>43</v>
      </c>
      <c r="M1645" t="s">
        <v>24</v>
      </c>
      <c r="N1645" t="s">
        <v>185</v>
      </c>
      <c r="O1645" t="s">
        <v>149</v>
      </c>
      <c r="P1645">
        <v>2025</v>
      </c>
    </row>
    <row r="1646" spans="1:16" hidden="1" x14ac:dyDescent="0.25">
      <c r="A1646" s="96" t="s">
        <v>2</v>
      </c>
      <c r="B1646" s="96" t="s">
        <v>251</v>
      </c>
      <c r="C1646" s="96" t="s">
        <v>5204</v>
      </c>
      <c r="D1646" s="96" t="s">
        <v>215</v>
      </c>
      <c r="E1646" s="43">
        <v>45959</v>
      </c>
      <c r="F1646" s="43">
        <v>46005</v>
      </c>
      <c r="G1646" s="96" t="s">
        <v>90</v>
      </c>
      <c r="H1646" s="96" t="s">
        <v>5205</v>
      </c>
      <c r="I1646" s="96" t="s">
        <v>225</v>
      </c>
      <c r="J1646" s="96" t="s">
        <v>176</v>
      </c>
      <c r="K1646" s="96" t="s">
        <v>246</v>
      </c>
      <c r="L1646">
        <v>46</v>
      </c>
      <c r="M1646" t="s">
        <v>24</v>
      </c>
      <c r="N1646" t="s">
        <v>16</v>
      </c>
      <c r="O1646" t="s">
        <v>170</v>
      </c>
      <c r="P1646">
        <v>2025</v>
      </c>
    </row>
    <row r="1647" spans="1:16" hidden="1" x14ac:dyDescent="0.25">
      <c r="A1647" s="96" t="s">
        <v>21</v>
      </c>
      <c r="B1647" s="96" t="s">
        <v>231</v>
      </c>
      <c r="C1647" s="96" t="s">
        <v>5206</v>
      </c>
      <c r="D1647" s="96" t="s">
        <v>14</v>
      </c>
      <c r="E1647" s="43">
        <v>45997</v>
      </c>
      <c r="F1647" s="43">
        <v>46082</v>
      </c>
      <c r="G1647" s="96" t="s">
        <v>92</v>
      </c>
      <c r="H1647" s="96" t="s">
        <v>5207</v>
      </c>
      <c r="I1647" s="96" t="s">
        <v>228</v>
      </c>
      <c r="J1647" s="96" t="s">
        <v>91</v>
      </c>
      <c r="K1647" s="96" t="s">
        <v>210</v>
      </c>
      <c r="L1647">
        <v>85</v>
      </c>
      <c r="M1647" t="s">
        <v>28</v>
      </c>
      <c r="N1647" t="s">
        <v>25</v>
      </c>
      <c r="O1647" t="s">
        <v>170</v>
      </c>
      <c r="P1647">
        <v>2025</v>
      </c>
    </row>
    <row r="1648" spans="1:16" hidden="1" x14ac:dyDescent="0.25">
      <c r="A1648" s="96" t="s">
        <v>171</v>
      </c>
      <c r="B1648" s="96" t="s">
        <v>280</v>
      </c>
      <c r="C1648" s="96" t="s">
        <v>5208</v>
      </c>
      <c r="D1648" s="96" t="s">
        <v>40</v>
      </c>
      <c r="E1648" s="43">
        <v>45908</v>
      </c>
      <c r="F1648" s="43">
        <v>45944</v>
      </c>
      <c r="G1648" s="96" t="s">
        <v>92</v>
      </c>
      <c r="H1648" s="96" t="s">
        <v>5209</v>
      </c>
      <c r="I1648" s="96" t="s">
        <v>228</v>
      </c>
      <c r="J1648" s="96" t="s">
        <v>176</v>
      </c>
      <c r="K1648" s="96" t="s">
        <v>210</v>
      </c>
      <c r="L1648">
        <v>36</v>
      </c>
      <c r="M1648" t="s">
        <v>24</v>
      </c>
      <c r="N1648" t="s">
        <v>12</v>
      </c>
      <c r="O1648" t="s">
        <v>170</v>
      </c>
      <c r="P1648">
        <v>2025</v>
      </c>
    </row>
    <row r="1649" spans="1:16" hidden="1" x14ac:dyDescent="0.25">
      <c r="A1649" s="96" t="s">
        <v>175</v>
      </c>
      <c r="B1649" s="96" t="s">
        <v>240</v>
      </c>
      <c r="C1649" s="96" t="s">
        <v>1665</v>
      </c>
      <c r="D1649" s="96" t="s">
        <v>223</v>
      </c>
      <c r="E1649" s="43">
        <v>45823</v>
      </c>
      <c r="F1649" s="43">
        <v>45921</v>
      </c>
      <c r="G1649" s="96" t="s">
        <v>92</v>
      </c>
      <c r="H1649" s="96" t="s">
        <v>5210</v>
      </c>
      <c r="I1649" s="96" t="s">
        <v>225</v>
      </c>
      <c r="J1649" s="96" t="s">
        <v>168</v>
      </c>
      <c r="K1649" s="96" t="s">
        <v>217</v>
      </c>
      <c r="L1649">
        <v>98</v>
      </c>
      <c r="M1649" t="s">
        <v>28</v>
      </c>
      <c r="N1649" t="s">
        <v>184</v>
      </c>
      <c r="O1649" t="s">
        <v>149</v>
      </c>
      <c r="P1649">
        <v>2025</v>
      </c>
    </row>
    <row r="1650" spans="1:16" hidden="1" x14ac:dyDescent="0.25">
      <c r="A1650" s="96" t="s">
        <v>2</v>
      </c>
      <c r="B1650" s="96" t="s">
        <v>253</v>
      </c>
      <c r="C1650" s="96" t="s">
        <v>1667</v>
      </c>
      <c r="D1650" s="96" t="s">
        <v>208</v>
      </c>
      <c r="E1650" s="43">
        <v>45820</v>
      </c>
      <c r="F1650" s="43">
        <v>45830</v>
      </c>
      <c r="G1650" s="96" t="s">
        <v>90</v>
      </c>
      <c r="H1650" s="96" t="s">
        <v>5211</v>
      </c>
      <c r="I1650" s="96" t="s">
        <v>228</v>
      </c>
      <c r="J1650" s="96" t="s">
        <v>283</v>
      </c>
      <c r="K1650" s="96" t="s">
        <v>205</v>
      </c>
      <c r="L1650">
        <v>10</v>
      </c>
      <c r="M1650" t="s">
        <v>15</v>
      </c>
      <c r="N1650" t="s">
        <v>184</v>
      </c>
      <c r="O1650" t="s">
        <v>152</v>
      </c>
      <c r="P1650">
        <v>2025</v>
      </c>
    </row>
    <row r="1651" spans="1:16" x14ac:dyDescent="0.25">
      <c r="A1651" s="96" t="s">
        <v>2</v>
      </c>
      <c r="B1651" s="96" t="s">
        <v>305</v>
      </c>
      <c r="C1651" s="96" t="s">
        <v>1669</v>
      </c>
      <c r="D1651" s="96" t="s">
        <v>14</v>
      </c>
      <c r="E1651" s="43">
        <v>46025</v>
      </c>
      <c r="F1651" s="43">
        <v>46142</v>
      </c>
      <c r="G1651" s="96" t="s">
        <v>92</v>
      </c>
      <c r="H1651" s="96" t="s">
        <v>5212</v>
      </c>
      <c r="I1651" s="96" t="s">
        <v>194</v>
      </c>
      <c r="J1651" s="96" t="s">
        <v>91</v>
      </c>
      <c r="K1651" s="96" t="s">
        <v>195</v>
      </c>
      <c r="L1651">
        <v>117</v>
      </c>
      <c r="M1651" t="s">
        <v>28</v>
      </c>
      <c r="N1651" t="s">
        <v>29</v>
      </c>
      <c r="O1651" t="s">
        <v>170</v>
      </c>
      <c r="P1651">
        <v>2026</v>
      </c>
    </row>
    <row r="1652" spans="1:16" hidden="1" x14ac:dyDescent="0.25">
      <c r="A1652" s="96" t="s">
        <v>2</v>
      </c>
      <c r="B1652" s="96" t="s">
        <v>247</v>
      </c>
      <c r="C1652" s="96" t="s">
        <v>1671</v>
      </c>
      <c r="D1652" s="96" t="s">
        <v>40</v>
      </c>
      <c r="E1652" s="43">
        <v>45997</v>
      </c>
      <c r="F1652" s="43">
        <v>46074</v>
      </c>
      <c r="G1652" s="96" t="s">
        <v>92</v>
      </c>
      <c r="H1652" s="96" t="s">
        <v>5213</v>
      </c>
      <c r="I1652" s="96" t="s">
        <v>194</v>
      </c>
      <c r="J1652" s="96" t="s">
        <v>177</v>
      </c>
      <c r="K1652" s="96" t="s">
        <v>233</v>
      </c>
      <c r="L1652">
        <v>77</v>
      </c>
      <c r="M1652" t="s">
        <v>28</v>
      </c>
      <c r="N1652" t="s">
        <v>25</v>
      </c>
      <c r="O1652" t="s">
        <v>150</v>
      </c>
      <c r="P1652">
        <v>2025</v>
      </c>
    </row>
    <row r="1653" spans="1:16" x14ac:dyDescent="0.25">
      <c r="A1653" s="96" t="s">
        <v>2</v>
      </c>
      <c r="B1653" s="96" t="s">
        <v>305</v>
      </c>
      <c r="C1653" s="96" t="s">
        <v>1673</v>
      </c>
      <c r="D1653" s="96" t="s">
        <v>223</v>
      </c>
      <c r="E1653" s="43">
        <v>46031</v>
      </c>
      <c r="F1653" s="43">
        <v>46067</v>
      </c>
      <c r="G1653" s="96" t="s">
        <v>92</v>
      </c>
      <c r="H1653" s="96" t="s">
        <v>5214</v>
      </c>
      <c r="I1653" s="96" t="s">
        <v>157</v>
      </c>
      <c r="J1653" s="96" t="s">
        <v>94</v>
      </c>
      <c r="K1653" s="96" t="s">
        <v>246</v>
      </c>
      <c r="L1653">
        <v>36</v>
      </c>
      <c r="M1653" t="s">
        <v>24</v>
      </c>
      <c r="N1653" t="s">
        <v>29</v>
      </c>
      <c r="O1653" t="s">
        <v>170</v>
      </c>
      <c r="P1653">
        <v>2026</v>
      </c>
    </row>
    <row r="1654" spans="1:16" hidden="1" x14ac:dyDescent="0.25">
      <c r="A1654" s="96" t="s">
        <v>2</v>
      </c>
      <c r="B1654" s="96" t="s">
        <v>280</v>
      </c>
      <c r="C1654" s="96" t="s">
        <v>5215</v>
      </c>
      <c r="D1654" s="96" t="s">
        <v>223</v>
      </c>
      <c r="E1654" s="43">
        <v>45849</v>
      </c>
      <c r="F1654" s="43">
        <v>45951</v>
      </c>
      <c r="G1654" s="96" t="s">
        <v>90</v>
      </c>
      <c r="H1654" s="96" t="s">
        <v>5216</v>
      </c>
      <c r="I1654" s="96" t="s">
        <v>204</v>
      </c>
      <c r="J1654" s="96" t="s">
        <v>168</v>
      </c>
      <c r="K1654" s="96" t="s">
        <v>217</v>
      </c>
      <c r="L1654">
        <v>102</v>
      </c>
      <c r="M1654" t="s">
        <v>28</v>
      </c>
      <c r="N1654" t="s">
        <v>187</v>
      </c>
      <c r="O1654" t="s">
        <v>170</v>
      </c>
      <c r="P1654">
        <v>2025</v>
      </c>
    </row>
    <row r="1655" spans="1:16" x14ac:dyDescent="0.25">
      <c r="A1655" s="96" t="s">
        <v>21</v>
      </c>
      <c r="B1655" s="96" t="s">
        <v>288</v>
      </c>
      <c r="C1655" s="96" t="s">
        <v>5217</v>
      </c>
      <c r="D1655" s="96" t="s">
        <v>40</v>
      </c>
      <c r="E1655" s="43">
        <v>46111</v>
      </c>
      <c r="F1655" s="43">
        <v>46143</v>
      </c>
      <c r="G1655" s="96" t="s">
        <v>92</v>
      </c>
      <c r="H1655" s="96" t="s">
        <v>5218</v>
      </c>
      <c r="I1655" s="96" t="s">
        <v>209</v>
      </c>
      <c r="J1655" s="96" t="s">
        <v>176</v>
      </c>
      <c r="K1655" s="96" t="s">
        <v>210</v>
      </c>
      <c r="L1655">
        <v>32</v>
      </c>
      <c r="M1655" t="s">
        <v>24</v>
      </c>
      <c r="N1655" t="s">
        <v>35</v>
      </c>
      <c r="O1655" t="s">
        <v>170</v>
      </c>
      <c r="P1655">
        <v>2026</v>
      </c>
    </row>
    <row r="1656" spans="1:16" hidden="1" x14ac:dyDescent="0.25">
      <c r="A1656" s="96" t="s">
        <v>2</v>
      </c>
      <c r="B1656" s="96" t="s">
        <v>253</v>
      </c>
      <c r="C1656" s="96" t="s">
        <v>1675</v>
      </c>
      <c r="D1656" s="96" t="s">
        <v>14</v>
      </c>
      <c r="E1656" s="43">
        <v>45682</v>
      </c>
      <c r="F1656" s="43">
        <v>45763</v>
      </c>
      <c r="G1656" s="96" t="s">
        <v>95</v>
      </c>
      <c r="H1656" s="96" t="s">
        <v>5219</v>
      </c>
      <c r="I1656" s="96" t="s">
        <v>228</v>
      </c>
      <c r="J1656" s="96" t="s">
        <v>173</v>
      </c>
      <c r="K1656" s="96" t="s">
        <v>157</v>
      </c>
      <c r="L1656">
        <v>81</v>
      </c>
      <c r="M1656" t="s">
        <v>28</v>
      </c>
      <c r="N1656" t="s">
        <v>181</v>
      </c>
      <c r="O1656" t="s">
        <v>152</v>
      </c>
      <c r="P1656">
        <v>2025</v>
      </c>
    </row>
    <row r="1657" spans="1:16" x14ac:dyDescent="0.25">
      <c r="A1657" s="96" t="s">
        <v>2</v>
      </c>
      <c r="B1657" s="96" t="s">
        <v>244</v>
      </c>
      <c r="C1657" s="96" t="s">
        <v>1677</v>
      </c>
      <c r="D1657" s="96" t="s">
        <v>223</v>
      </c>
      <c r="E1657" s="43">
        <v>46112</v>
      </c>
      <c r="F1657" s="43">
        <v>46148</v>
      </c>
      <c r="G1657" s="96" t="s">
        <v>92</v>
      </c>
      <c r="H1657" s="96" t="s">
        <v>5220</v>
      </c>
      <c r="I1657" s="96" t="s">
        <v>209</v>
      </c>
      <c r="J1657" s="96" t="s">
        <v>91</v>
      </c>
      <c r="K1657" s="96" t="s">
        <v>157</v>
      </c>
      <c r="L1657">
        <v>36</v>
      </c>
      <c r="M1657" t="s">
        <v>24</v>
      </c>
      <c r="N1657" t="s">
        <v>35</v>
      </c>
      <c r="O1657" t="s">
        <v>150</v>
      </c>
      <c r="P1657">
        <v>2026</v>
      </c>
    </row>
    <row r="1658" spans="1:16" x14ac:dyDescent="0.25">
      <c r="A1658" s="96" t="s">
        <v>2</v>
      </c>
      <c r="B1658" s="96" t="s">
        <v>317</v>
      </c>
      <c r="C1658" s="96" t="s">
        <v>1678</v>
      </c>
      <c r="D1658" s="96" t="s">
        <v>223</v>
      </c>
      <c r="E1658" s="43">
        <v>46110</v>
      </c>
      <c r="F1658" s="43">
        <v>46121</v>
      </c>
      <c r="G1658" s="96" t="s">
        <v>92</v>
      </c>
      <c r="H1658" s="96" t="s">
        <v>5221</v>
      </c>
      <c r="I1658" s="96" t="s">
        <v>9</v>
      </c>
      <c r="J1658" s="96" t="s">
        <v>173</v>
      </c>
      <c r="K1658" s="96" t="s">
        <v>230</v>
      </c>
      <c r="L1658">
        <v>11</v>
      </c>
      <c r="M1658" t="s">
        <v>15</v>
      </c>
      <c r="N1658" t="s">
        <v>35</v>
      </c>
      <c r="O1658" t="s">
        <v>170</v>
      </c>
      <c r="P1658">
        <v>2026</v>
      </c>
    </row>
    <row r="1659" spans="1:16" x14ac:dyDescent="0.25">
      <c r="A1659" s="96" t="s">
        <v>2</v>
      </c>
      <c r="B1659" s="96" t="s">
        <v>261</v>
      </c>
      <c r="C1659" s="96" t="s">
        <v>5222</v>
      </c>
      <c r="D1659" s="96" t="s">
        <v>192</v>
      </c>
      <c r="E1659" s="43">
        <v>46109</v>
      </c>
      <c r="F1659" s="43">
        <v>46147</v>
      </c>
      <c r="G1659" s="96" t="s">
        <v>92</v>
      </c>
      <c r="H1659" s="96" t="s">
        <v>5223</v>
      </c>
      <c r="I1659" s="96" t="s">
        <v>9</v>
      </c>
      <c r="J1659" s="96" t="s">
        <v>216</v>
      </c>
      <c r="K1659" s="96" t="s">
        <v>195</v>
      </c>
      <c r="L1659">
        <v>38</v>
      </c>
      <c r="M1659" t="s">
        <v>24</v>
      </c>
      <c r="N1659" t="s">
        <v>35</v>
      </c>
      <c r="O1659" t="s">
        <v>151</v>
      </c>
      <c r="P1659">
        <v>2026</v>
      </c>
    </row>
    <row r="1660" spans="1:16" hidden="1" x14ac:dyDescent="0.25">
      <c r="A1660" s="96" t="s">
        <v>2</v>
      </c>
      <c r="B1660" s="96" t="s">
        <v>238</v>
      </c>
      <c r="C1660" s="96" t="s">
        <v>5224</v>
      </c>
      <c r="D1660" s="96" t="s">
        <v>215</v>
      </c>
      <c r="E1660" s="43">
        <v>45813</v>
      </c>
      <c r="F1660" s="43">
        <v>45906</v>
      </c>
      <c r="G1660" s="96" t="s">
        <v>90</v>
      </c>
      <c r="H1660" s="96" t="s">
        <v>5225</v>
      </c>
      <c r="I1660" s="96" t="s">
        <v>157</v>
      </c>
      <c r="J1660" s="96" t="s">
        <v>283</v>
      </c>
      <c r="K1660" s="96" t="s">
        <v>157</v>
      </c>
      <c r="L1660">
        <v>93</v>
      </c>
      <c r="M1660" t="s">
        <v>28</v>
      </c>
      <c r="N1660" t="s">
        <v>184</v>
      </c>
      <c r="O1660" t="s">
        <v>170</v>
      </c>
      <c r="P1660">
        <v>2025</v>
      </c>
    </row>
    <row r="1661" spans="1:16" hidden="1" x14ac:dyDescent="0.25">
      <c r="A1661" s="96" t="s">
        <v>175</v>
      </c>
      <c r="B1661" s="96" t="s">
        <v>264</v>
      </c>
      <c r="C1661" s="96" t="s">
        <v>1680</v>
      </c>
      <c r="D1661" s="96" t="s">
        <v>192</v>
      </c>
      <c r="E1661" s="43">
        <v>45910</v>
      </c>
      <c r="F1661" s="43">
        <v>45924</v>
      </c>
      <c r="G1661" s="96" t="s">
        <v>92</v>
      </c>
      <c r="H1661" s="96" t="s">
        <v>5226</v>
      </c>
      <c r="I1661" s="96" t="s">
        <v>204</v>
      </c>
      <c r="J1661" s="96" t="s">
        <v>177</v>
      </c>
      <c r="K1661" s="96" t="s">
        <v>246</v>
      </c>
      <c r="L1661">
        <v>14</v>
      </c>
      <c r="M1661" t="s">
        <v>15</v>
      </c>
      <c r="N1661" t="s">
        <v>12</v>
      </c>
      <c r="O1661" t="s">
        <v>152</v>
      </c>
      <c r="P1661">
        <v>2025</v>
      </c>
    </row>
    <row r="1662" spans="1:16" hidden="1" x14ac:dyDescent="0.25">
      <c r="A1662" s="96" t="s">
        <v>2</v>
      </c>
      <c r="B1662" s="96" t="s">
        <v>206</v>
      </c>
      <c r="C1662" s="96" t="s">
        <v>1682</v>
      </c>
      <c r="D1662" s="96" t="s">
        <v>14</v>
      </c>
      <c r="E1662" s="43">
        <v>46013</v>
      </c>
      <c r="F1662" s="43">
        <v>46044</v>
      </c>
      <c r="G1662" s="96" t="s">
        <v>92</v>
      </c>
      <c r="H1662" s="96" t="s">
        <v>5227</v>
      </c>
      <c r="I1662" s="96" t="s">
        <v>9</v>
      </c>
      <c r="J1662" s="96" t="s">
        <v>177</v>
      </c>
      <c r="K1662" s="96" t="s">
        <v>233</v>
      </c>
      <c r="L1662">
        <v>31</v>
      </c>
      <c r="M1662" t="s">
        <v>24</v>
      </c>
      <c r="N1662" t="s">
        <v>25</v>
      </c>
      <c r="O1662" t="s">
        <v>152</v>
      </c>
      <c r="P1662">
        <v>2025</v>
      </c>
    </row>
    <row r="1663" spans="1:16" hidden="1" x14ac:dyDescent="0.25">
      <c r="A1663" s="96" t="s">
        <v>189</v>
      </c>
      <c r="B1663" s="96" t="s">
        <v>255</v>
      </c>
      <c r="C1663" s="96" t="s">
        <v>5228</v>
      </c>
      <c r="D1663" s="96" t="s">
        <v>237</v>
      </c>
      <c r="E1663" s="43">
        <v>45905</v>
      </c>
      <c r="F1663" s="43">
        <v>45923</v>
      </c>
      <c r="G1663" s="96" t="s">
        <v>92</v>
      </c>
      <c r="H1663" s="96" t="s">
        <v>5229</v>
      </c>
      <c r="I1663" s="96" t="s">
        <v>204</v>
      </c>
      <c r="J1663" s="96" t="s">
        <v>199</v>
      </c>
      <c r="K1663" s="96" t="s">
        <v>205</v>
      </c>
      <c r="L1663">
        <v>18</v>
      </c>
      <c r="M1663" t="s">
        <v>19</v>
      </c>
      <c r="N1663" t="s">
        <v>12</v>
      </c>
      <c r="O1663" t="s">
        <v>150</v>
      </c>
      <c r="P1663">
        <v>2025</v>
      </c>
    </row>
    <row r="1664" spans="1:16" hidden="1" x14ac:dyDescent="0.25">
      <c r="A1664" s="96" t="s">
        <v>2</v>
      </c>
      <c r="B1664" s="96" t="s">
        <v>272</v>
      </c>
      <c r="C1664" s="96" t="s">
        <v>5230</v>
      </c>
      <c r="D1664" s="96" t="s">
        <v>208</v>
      </c>
      <c r="E1664" s="43">
        <v>45989</v>
      </c>
      <c r="F1664" s="43">
        <v>46083</v>
      </c>
      <c r="G1664" s="96" t="s">
        <v>92</v>
      </c>
      <c r="H1664" s="96" t="s">
        <v>1616</v>
      </c>
      <c r="I1664" s="96" t="s">
        <v>225</v>
      </c>
      <c r="J1664" s="96" t="s">
        <v>174</v>
      </c>
      <c r="K1664" s="96" t="s">
        <v>210</v>
      </c>
      <c r="L1664">
        <v>94</v>
      </c>
      <c r="M1664" t="s">
        <v>28</v>
      </c>
      <c r="N1664" t="s">
        <v>20</v>
      </c>
      <c r="O1664" t="s">
        <v>151</v>
      </c>
      <c r="P1664">
        <v>2025</v>
      </c>
    </row>
    <row r="1665" spans="1:16" hidden="1" x14ac:dyDescent="0.25">
      <c r="A1665" s="96" t="s">
        <v>2</v>
      </c>
      <c r="B1665" s="96" t="s">
        <v>272</v>
      </c>
      <c r="C1665" s="96" t="s">
        <v>1685</v>
      </c>
      <c r="D1665" s="96" t="s">
        <v>14</v>
      </c>
      <c r="E1665" s="43">
        <v>45914</v>
      </c>
      <c r="F1665" s="43">
        <v>45927</v>
      </c>
      <c r="G1665" s="96" t="s">
        <v>90</v>
      </c>
      <c r="H1665" s="96" t="s">
        <v>1618</v>
      </c>
      <c r="I1665" s="96" t="s">
        <v>157</v>
      </c>
      <c r="J1665" s="96" t="s">
        <v>91</v>
      </c>
      <c r="K1665" s="96" t="s">
        <v>217</v>
      </c>
      <c r="L1665">
        <v>13</v>
      </c>
      <c r="M1665" t="s">
        <v>15</v>
      </c>
      <c r="N1665" t="s">
        <v>12</v>
      </c>
      <c r="O1665" t="s">
        <v>151</v>
      </c>
      <c r="P1665">
        <v>2025</v>
      </c>
    </row>
    <row r="1666" spans="1:16" hidden="1" x14ac:dyDescent="0.25">
      <c r="A1666" s="96" t="s">
        <v>2</v>
      </c>
      <c r="B1666" s="96" t="s">
        <v>211</v>
      </c>
      <c r="C1666" s="96" t="s">
        <v>1686</v>
      </c>
      <c r="D1666" s="96" t="s">
        <v>10</v>
      </c>
      <c r="E1666" s="43">
        <v>45950</v>
      </c>
      <c r="F1666" s="43">
        <v>45994</v>
      </c>
      <c r="G1666" s="96" t="s">
        <v>92</v>
      </c>
      <c r="H1666" s="96" t="s">
        <v>5231</v>
      </c>
      <c r="I1666" s="96" t="s">
        <v>9</v>
      </c>
      <c r="J1666" s="96" t="s">
        <v>93</v>
      </c>
      <c r="K1666" s="96" t="s">
        <v>195</v>
      </c>
      <c r="L1666">
        <v>44</v>
      </c>
      <c r="M1666" t="s">
        <v>24</v>
      </c>
      <c r="N1666" t="s">
        <v>16</v>
      </c>
      <c r="O1666" t="s">
        <v>170</v>
      </c>
      <c r="P1666">
        <v>2025</v>
      </c>
    </row>
    <row r="1667" spans="1:16" hidden="1" x14ac:dyDescent="0.25">
      <c r="A1667" s="96" t="s">
        <v>2</v>
      </c>
      <c r="B1667" s="96" t="s">
        <v>221</v>
      </c>
      <c r="C1667" s="96" t="s">
        <v>5232</v>
      </c>
      <c r="D1667" s="96" t="s">
        <v>203</v>
      </c>
      <c r="E1667" s="43">
        <v>45988</v>
      </c>
      <c r="F1667" s="43">
        <v>46023</v>
      </c>
      <c r="G1667" s="96" t="s">
        <v>92</v>
      </c>
      <c r="H1667" s="96" t="s">
        <v>5233</v>
      </c>
      <c r="I1667" s="96" t="s">
        <v>204</v>
      </c>
      <c r="J1667" s="96" t="s">
        <v>174</v>
      </c>
      <c r="K1667" s="96" t="s">
        <v>233</v>
      </c>
      <c r="L1667">
        <v>35</v>
      </c>
      <c r="M1667" t="s">
        <v>24</v>
      </c>
      <c r="N1667" t="s">
        <v>20</v>
      </c>
      <c r="O1667" t="s">
        <v>170</v>
      </c>
      <c r="P1667">
        <v>2025</v>
      </c>
    </row>
    <row r="1668" spans="1:16" hidden="1" x14ac:dyDescent="0.25">
      <c r="A1668" s="96" t="s">
        <v>2</v>
      </c>
      <c r="B1668" s="96" t="s">
        <v>213</v>
      </c>
      <c r="C1668" s="96" t="s">
        <v>1687</v>
      </c>
      <c r="D1668" s="96" t="s">
        <v>208</v>
      </c>
      <c r="E1668" s="43">
        <v>46018</v>
      </c>
      <c r="F1668" s="43">
        <v>46038</v>
      </c>
      <c r="G1668" s="96" t="s">
        <v>90</v>
      </c>
      <c r="H1668" s="96" t="s">
        <v>5234</v>
      </c>
      <c r="I1668" s="96" t="s">
        <v>194</v>
      </c>
      <c r="J1668" s="96" t="s">
        <v>94</v>
      </c>
      <c r="K1668" s="96" t="s">
        <v>200</v>
      </c>
      <c r="L1668">
        <v>20</v>
      </c>
      <c r="M1668" t="s">
        <v>19</v>
      </c>
      <c r="N1668" t="s">
        <v>25</v>
      </c>
      <c r="O1668" t="s">
        <v>149</v>
      </c>
      <c r="P1668">
        <v>2025</v>
      </c>
    </row>
    <row r="1669" spans="1:16" x14ac:dyDescent="0.25">
      <c r="A1669" s="96" t="s">
        <v>175</v>
      </c>
      <c r="B1669" s="96" t="s">
        <v>269</v>
      </c>
      <c r="C1669" s="96" t="s">
        <v>1688</v>
      </c>
      <c r="D1669" s="96" t="s">
        <v>10</v>
      </c>
      <c r="E1669" s="43">
        <v>46132</v>
      </c>
      <c r="F1669" s="43">
        <v>46150</v>
      </c>
      <c r="G1669" s="96" t="s">
        <v>90</v>
      </c>
      <c r="H1669" s="96" t="s">
        <v>5235</v>
      </c>
      <c r="I1669" s="96" t="s">
        <v>194</v>
      </c>
      <c r="J1669" s="96" t="s">
        <v>177</v>
      </c>
      <c r="K1669" s="96" t="s">
        <v>246</v>
      </c>
      <c r="L1669">
        <v>18</v>
      </c>
      <c r="M1669" t="s">
        <v>19</v>
      </c>
      <c r="N1669" t="s">
        <v>37</v>
      </c>
      <c r="O1669" t="s">
        <v>152</v>
      </c>
      <c r="P1669">
        <v>2026</v>
      </c>
    </row>
    <row r="1670" spans="1:16" x14ac:dyDescent="0.25">
      <c r="A1670" s="96" t="s">
        <v>2</v>
      </c>
      <c r="B1670" s="96" t="s">
        <v>261</v>
      </c>
      <c r="C1670" s="96" t="s">
        <v>1689</v>
      </c>
      <c r="D1670" s="96" t="s">
        <v>203</v>
      </c>
      <c r="E1670" s="43">
        <v>46080</v>
      </c>
      <c r="F1670" s="43">
        <v>46121</v>
      </c>
      <c r="G1670" s="96" t="s">
        <v>90</v>
      </c>
      <c r="H1670" s="96" t="s">
        <v>1621</v>
      </c>
      <c r="I1670" s="96" t="s">
        <v>9</v>
      </c>
      <c r="J1670" s="96" t="s">
        <v>91</v>
      </c>
      <c r="K1670" s="96" t="s">
        <v>195</v>
      </c>
      <c r="L1670">
        <v>41</v>
      </c>
      <c r="M1670" t="s">
        <v>24</v>
      </c>
      <c r="N1670" t="s">
        <v>32</v>
      </c>
      <c r="O1670" t="s">
        <v>151</v>
      </c>
      <c r="P1670">
        <v>2026</v>
      </c>
    </row>
    <row r="1671" spans="1:16" hidden="1" x14ac:dyDescent="0.25">
      <c r="A1671" s="96" t="s">
        <v>2</v>
      </c>
      <c r="B1671" s="96" t="s">
        <v>255</v>
      </c>
      <c r="C1671" s="96" t="s">
        <v>5236</v>
      </c>
      <c r="D1671" s="96" t="s">
        <v>237</v>
      </c>
      <c r="E1671" s="43">
        <v>45891</v>
      </c>
      <c r="F1671" s="43">
        <v>45978</v>
      </c>
      <c r="G1671" s="96" t="s">
        <v>92</v>
      </c>
      <c r="H1671" s="96" t="s">
        <v>1623</v>
      </c>
      <c r="I1671" s="96" t="s">
        <v>157</v>
      </c>
      <c r="J1671" s="96" t="s">
        <v>172</v>
      </c>
      <c r="K1671" s="96" t="s">
        <v>157</v>
      </c>
      <c r="L1671">
        <v>87</v>
      </c>
      <c r="M1671" t="s">
        <v>28</v>
      </c>
      <c r="N1671" t="s">
        <v>8</v>
      </c>
      <c r="O1671" t="s">
        <v>150</v>
      </c>
      <c r="P1671">
        <v>2025</v>
      </c>
    </row>
    <row r="1672" spans="1:16" hidden="1" x14ac:dyDescent="0.25">
      <c r="A1672" s="96" t="s">
        <v>2</v>
      </c>
      <c r="B1672" s="96" t="s">
        <v>211</v>
      </c>
      <c r="C1672" s="96" t="s">
        <v>1690</v>
      </c>
      <c r="D1672" s="96" t="s">
        <v>40</v>
      </c>
      <c r="E1672" s="43">
        <v>45956</v>
      </c>
      <c r="F1672" s="43">
        <v>45970</v>
      </c>
      <c r="G1672" s="96" t="s">
        <v>95</v>
      </c>
      <c r="H1672" s="96" t="s">
        <v>1625</v>
      </c>
      <c r="I1672" s="96" t="s">
        <v>209</v>
      </c>
      <c r="J1672" s="96" t="s">
        <v>229</v>
      </c>
      <c r="K1672" s="96" t="s">
        <v>200</v>
      </c>
      <c r="L1672">
        <v>14</v>
      </c>
      <c r="M1672" t="s">
        <v>15</v>
      </c>
      <c r="N1672" t="s">
        <v>16</v>
      </c>
      <c r="O1672" t="s">
        <v>170</v>
      </c>
      <c r="P1672">
        <v>2025</v>
      </c>
    </row>
    <row r="1673" spans="1:16" x14ac:dyDescent="0.25">
      <c r="A1673" s="96" t="s">
        <v>175</v>
      </c>
      <c r="B1673" s="96" t="s">
        <v>201</v>
      </c>
      <c r="C1673" s="96" t="s">
        <v>1692</v>
      </c>
      <c r="D1673" s="96" t="s">
        <v>192</v>
      </c>
      <c r="E1673" s="43">
        <v>46119</v>
      </c>
      <c r="F1673" s="43">
        <v>46130</v>
      </c>
      <c r="G1673" s="96" t="s">
        <v>92</v>
      </c>
      <c r="H1673" s="96" t="s">
        <v>1627</v>
      </c>
      <c r="I1673" s="96" t="s">
        <v>157</v>
      </c>
      <c r="J1673" s="96" t="s">
        <v>96</v>
      </c>
      <c r="K1673" s="96" t="s">
        <v>217</v>
      </c>
      <c r="L1673">
        <v>11</v>
      </c>
      <c r="M1673" t="s">
        <v>15</v>
      </c>
      <c r="N1673" t="s">
        <v>37</v>
      </c>
      <c r="O1673" t="s">
        <v>170</v>
      </c>
      <c r="P1673">
        <v>2026</v>
      </c>
    </row>
    <row r="1674" spans="1:16" x14ac:dyDescent="0.25">
      <c r="A1674" s="96" t="s">
        <v>21</v>
      </c>
      <c r="B1674" s="96" t="s">
        <v>196</v>
      </c>
      <c r="C1674" s="96" t="s">
        <v>1693</v>
      </c>
      <c r="D1674" s="96" t="s">
        <v>223</v>
      </c>
      <c r="E1674" s="43">
        <v>46104</v>
      </c>
      <c r="F1674" s="43">
        <v>46149</v>
      </c>
      <c r="G1674" s="96" t="s">
        <v>90</v>
      </c>
      <c r="H1674" s="96" t="s">
        <v>1629</v>
      </c>
      <c r="I1674" s="96" t="s">
        <v>204</v>
      </c>
      <c r="J1674" s="96" t="s">
        <v>96</v>
      </c>
      <c r="K1674" s="96" t="s">
        <v>233</v>
      </c>
      <c r="L1674">
        <v>45</v>
      </c>
      <c r="M1674" t="s">
        <v>24</v>
      </c>
      <c r="N1674" t="s">
        <v>35</v>
      </c>
      <c r="O1674" t="s">
        <v>152</v>
      </c>
      <c r="P1674">
        <v>2026</v>
      </c>
    </row>
    <row r="1675" spans="1:16" x14ac:dyDescent="0.25">
      <c r="A1675" s="96" t="s">
        <v>2</v>
      </c>
      <c r="B1675" s="96" t="s">
        <v>290</v>
      </c>
      <c r="C1675" s="96" t="s">
        <v>5237</v>
      </c>
      <c r="D1675" s="96" t="s">
        <v>40</v>
      </c>
      <c r="E1675" s="43">
        <v>46094</v>
      </c>
      <c r="F1675" s="43">
        <v>46148</v>
      </c>
      <c r="G1675" s="96" t="s">
        <v>92</v>
      </c>
      <c r="H1675" s="96" t="s">
        <v>1631</v>
      </c>
      <c r="I1675" s="96" t="s">
        <v>209</v>
      </c>
      <c r="J1675" s="96" t="s">
        <v>169</v>
      </c>
      <c r="K1675" s="96" t="s">
        <v>205</v>
      </c>
      <c r="L1675">
        <v>54</v>
      </c>
      <c r="M1675" t="s">
        <v>24</v>
      </c>
      <c r="N1675" t="s">
        <v>35</v>
      </c>
      <c r="O1675" t="s">
        <v>149</v>
      </c>
      <c r="P1675">
        <v>2026</v>
      </c>
    </row>
    <row r="1676" spans="1:16" hidden="1" x14ac:dyDescent="0.25">
      <c r="A1676" s="96" t="s">
        <v>21</v>
      </c>
      <c r="B1676" s="96" t="s">
        <v>264</v>
      </c>
      <c r="C1676" s="96" t="s">
        <v>1695</v>
      </c>
      <c r="D1676" s="96" t="s">
        <v>237</v>
      </c>
      <c r="E1676" s="43">
        <v>45860</v>
      </c>
      <c r="F1676" s="43">
        <v>45978</v>
      </c>
      <c r="G1676" s="96" t="s">
        <v>92</v>
      </c>
      <c r="H1676" s="96" t="s">
        <v>5238</v>
      </c>
      <c r="I1676" s="96" t="s">
        <v>209</v>
      </c>
      <c r="J1676" s="96" t="s">
        <v>216</v>
      </c>
      <c r="K1676" s="96" t="s">
        <v>217</v>
      </c>
      <c r="L1676">
        <v>118</v>
      </c>
      <c r="M1676" t="s">
        <v>28</v>
      </c>
      <c r="N1676" t="s">
        <v>187</v>
      </c>
      <c r="O1676" t="s">
        <v>152</v>
      </c>
      <c r="P1676">
        <v>2025</v>
      </c>
    </row>
    <row r="1677" spans="1:16" hidden="1" x14ac:dyDescent="0.25">
      <c r="A1677" s="96" t="s">
        <v>2</v>
      </c>
      <c r="B1677" s="96" t="s">
        <v>257</v>
      </c>
      <c r="C1677" s="96" t="s">
        <v>1697</v>
      </c>
      <c r="D1677" s="96" t="s">
        <v>203</v>
      </c>
      <c r="E1677" s="43">
        <v>45752</v>
      </c>
      <c r="F1677" s="43">
        <v>45765</v>
      </c>
      <c r="G1677" s="96" t="s">
        <v>92</v>
      </c>
      <c r="H1677" s="96" t="s">
        <v>5239</v>
      </c>
      <c r="I1677" s="96" t="s">
        <v>9</v>
      </c>
      <c r="J1677" s="96" t="s">
        <v>96</v>
      </c>
      <c r="K1677" s="96" t="s">
        <v>233</v>
      </c>
      <c r="L1677">
        <v>13</v>
      </c>
      <c r="M1677" t="s">
        <v>15</v>
      </c>
      <c r="N1677" t="s">
        <v>185</v>
      </c>
      <c r="O1677" t="s">
        <v>151</v>
      </c>
      <c r="P1677">
        <v>2025</v>
      </c>
    </row>
    <row r="1678" spans="1:16" hidden="1" x14ac:dyDescent="0.25">
      <c r="A1678" s="96" t="s">
        <v>21</v>
      </c>
      <c r="B1678" s="96" t="s">
        <v>211</v>
      </c>
      <c r="C1678" s="96" t="s">
        <v>5240</v>
      </c>
      <c r="D1678" s="96" t="s">
        <v>223</v>
      </c>
      <c r="E1678" s="43">
        <v>45952</v>
      </c>
      <c r="F1678" s="43">
        <v>45981</v>
      </c>
      <c r="G1678" s="96" t="s">
        <v>90</v>
      </c>
      <c r="H1678" s="96" t="s">
        <v>5241</v>
      </c>
      <c r="I1678" s="96" t="s">
        <v>157</v>
      </c>
      <c r="J1678" s="96" t="s">
        <v>176</v>
      </c>
      <c r="K1678" s="96" t="s">
        <v>230</v>
      </c>
      <c r="L1678">
        <v>29</v>
      </c>
      <c r="M1678" t="s">
        <v>19</v>
      </c>
      <c r="N1678" t="s">
        <v>16</v>
      </c>
      <c r="O1678" t="s">
        <v>170</v>
      </c>
      <c r="P1678">
        <v>2025</v>
      </c>
    </row>
    <row r="1679" spans="1:16" hidden="1" x14ac:dyDescent="0.25">
      <c r="A1679" s="96" t="s">
        <v>2</v>
      </c>
      <c r="B1679" s="96" t="s">
        <v>240</v>
      </c>
      <c r="C1679" s="96" t="s">
        <v>1698</v>
      </c>
      <c r="D1679" s="96" t="s">
        <v>192</v>
      </c>
      <c r="E1679" s="43">
        <v>45897</v>
      </c>
      <c r="F1679" s="43">
        <v>45936</v>
      </c>
      <c r="G1679" s="96" t="s">
        <v>92</v>
      </c>
      <c r="H1679" s="96" t="s">
        <v>5242</v>
      </c>
      <c r="I1679" s="96" t="s">
        <v>209</v>
      </c>
      <c r="J1679" s="96" t="s">
        <v>172</v>
      </c>
      <c r="K1679" s="96" t="s">
        <v>217</v>
      </c>
      <c r="L1679">
        <v>39</v>
      </c>
      <c r="M1679" t="s">
        <v>24</v>
      </c>
      <c r="N1679" t="s">
        <v>8</v>
      </c>
      <c r="O1679" t="s">
        <v>149</v>
      </c>
      <c r="P1679">
        <v>2025</v>
      </c>
    </row>
    <row r="1680" spans="1:16" x14ac:dyDescent="0.25">
      <c r="A1680" s="96" t="s">
        <v>2</v>
      </c>
      <c r="B1680" s="96" t="s">
        <v>201</v>
      </c>
      <c r="C1680" s="96" t="s">
        <v>1699</v>
      </c>
      <c r="D1680" s="96" t="s">
        <v>14</v>
      </c>
      <c r="E1680" s="43">
        <v>46087</v>
      </c>
      <c r="F1680" s="43">
        <v>46147</v>
      </c>
      <c r="G1680" s="96" t="s">
        <v>92</v>
      </c>
      <c r="H1680" s="96" t="s">
        <v>5243</v>
      </c>
      <c r="I1680" s="96" t="s">
        <v>209</v>
      </c>
      <c r="J1680" s="96" t="s">
        <v>93</v>
      </c>
      <c r="K1680" s="96" t="s">
        <v>195</v>
      </c>
      <c r="L1680">
        <v>60</v>
      </c>
      <c r="M1680" t="s">
        <v>24</v>
      </c>
      <c r="N1680" t="s">
        <v>35</v>
      </c>
      <c r="O1680" t="s">
        <v>170</v>
      </c>
      <c r="P1680">
        <v>2026</v>
      </c>
    </row>
    <row r="1681" spans="1:16" hidden="1" x14ac:dyDescent="0.25">
      <c r="A1681" s="96" t="s">
        <v>2</v>
      </c>
      <c r="B1681" s="96" t="s">
        <v>206</v>
      </c>
      <c r="C1681" s="96" t="s">
        <v>1700</v>
      </c>
      <c r="D1681" s="96" t="s">
        <v>223</v>
      </c>
      <c r="E1681" s="43">
        <v>45747</v>
      </c>
      <c r="F1681" s="43">
        <v>45763</v>
      </c>
      <c r="G1681" s="96" t="s">
        <v>92</v>
      </c>
      <c r="H1681" s="96" t="s">
        <v>5244</v>
      </c>
      <c r="I1681" s="96" t="s">
        <v>225</v>
      </c>
      <c r="J1681" s="96" t="s">
        <v>176</v>
      </c>
      <c r="K1681" s="96" t="s">
        <v>195</v>
      </c>
      <c r="L1681">
        <v>16</v>
      </c>
      <c r="M1681" t="s">
        <v>19</v>
      </c>
      <c r="N1681" t="s">
        <v>186</v>
      </c>
      <c r="O1681" t="s">
        <v>152</v>
      </c>
      <c r="P1681">
        <v>2025</v>
      </c>
    </row>
    <row r="1682" spans="1:16" hidden="1" x14ac:dyDescent="0.25">
      <c r="A1682" s="96" t="s">
        <v>21</v>
      </c>
      <c r="B1682" s="96" t="s">
        <v>211</v>
      </c>
      <c r="C1682" s="96" t="s">
        <v>5245</v>
      </c>
      <c r="D1682" s="96" t="s">
        <v>223</v>
      </c>
      <c r="E1682" s="43">
        <v>45813</v>
      </c>
      <c r="F1682" s="43">
        <v>45820</v>
      </c>
      <c r="G1682" s="96" t="s">
        <v>92</v>
      </c>
      <c r="H1682" s="96" t="s">
        <v>5246</v>
      </c>
      <c r="I1682" s="96" t="s">
        <v>228</v>
      </c>
      <c r="J1682" s="96" t="s">
        <v>216</v>
      </c>
      <c r="K1682" s="96" t="s">
        <v>195</v>
      </c>
      <c r="L1682">
        <v>7</v>
      </c>
      <c r="M1682" t="s">
        <v>11</v>
      </c>
      <c r="N1682" t="s">
        <v>184</v>
      </c>
      <c r="O1682" t="s">
        <v>170</v>
      </c>
      <c r="P1682">
        <v>2025</v>
      </c>
    </row>
    <row r="1683" spans="1:16" x14ac:dyDescent="0.25">
      <c r="A1683" s="96" t="s">
        <v>2</v>
      </c>
      <c r="B1683" s="96" t="s">
        <v>226</v>
      </c>
      <c r="C1683" s="96" t="s">
        <v>1701</v>
      </c>
      <c r="D1683" s="96" t="s">
        <v>215</v>
      </c>
      <c r="E1683" s="43">
        <v>46109</v>
      </c>
      <c r="F1683" s="43">
        <v>46147</v>
      </c>
      <c r="G1683" s="96" t="s">
        <v>92</v>
      </c>
      <c r="H1683" s="96" t="s">
        <v>5247</v>
      </c>
      <c r="I1683" s="96" t="s">
        <v>9</v>
      </c>
      <c r="J1683" s="96" t="s">
        <v>97</v>
      </c>
      <c r="K1683" s="96" t="s">
        <v>217</v>
      </c>
      <c r="L1683">
        <v>38</v>
      </c>
      <c r="M1683" t="s">
        <v>24</v>
      </c>
      <c r="N1683" t="s">
        <v>35</v>
      </c>
      <c r="O1683" t="s">
        <v>151</v>
      </c>
      <c r="P1683">
        <v>2026</v>
      </c>
    </row>
    <row r="1684" spans="1:16" hidden="1" x14ac:dyDescent="0.25">
      <c r="A1684" s="96" t="s">
        <v>2</v>
      </c>
      <c r="B1684" s="96" t="s">
        <v>238</v>
      </c>
      <c r="C1684" s="96" t="s">
        <v>5248</v>
      </c>
      <c r="D1684" s="96" t="s">
        <v>10</v>
      </c>
      <c r="E1684" s="43">
        <v>45687</v>
      </c>
      <c r="F1684" s="43">
        <v>45802</v>
      </c>
      <c r="G1684" s="96" t="s">
        <v>92</v>
      </c>
      <c r="H1684" s="96" t="s">
        <v>5249</v>
      </c>
      <c r="I1684" s="96" t="s">
        <v>204</v>
      </c>
      <c r="J1684" s="96" t="s">
        <v>165</v>
      </c>
      <c r="K1684" s="96" t="s">
        <v>217</v>
      </c>
      <c r="L1684">
        <v>115</v>
      </c>
      <c r="M1684" t="s">
        <v>28</v>
      </c>
      <c r="N1684" t="s">
        <v>181</v>
      </c>
      <c r="O1684" t="s">
        <v>170</v>
      </c>
      <c r="P1684">
        <v>2025</v>
      </c>
    </row>
    <row r="1685" spans="1:16" x14ac:dyDescent="0.25">
      <c r="A1685" s="96" t="s">
        <v>2</v>
      </c>
      <c r="B1685" s="96" t="s">
        <v>226</v>
      </c>
      <c r="C1685" s="96" t="s">
        <v>1702</v>
      </c>
      <c r="D1685" s="96" t="s">
        <v>192</v>
      </c>
      <c r="E1685" s="43">
        <v>46126</v>
      </c>
      <c r="F1685" s="43">
        <v>46148</v>
      </c>
      <c r="G1685" s="96" t="s">
        <v>92</v>
      </c>
      <c r="H1685" s="96" t="s">
        <v>1643</v>
      </c>
      <c r="I1685" s="96" t="s">
        <v>157</v>
      </c>
      <c r="J1685" s="96" t="s">
        <v>93</v>
      </c>
      <c r="K1685" s="96" t="s">
        <v>205</v>
      </c>
      <c r="L1685">
        <v>22</v>
      </c>
      <c r="M1685" t="s">
        <v>19</v>
      </c>
      <c r="N1685" t="s">
        <v>37</v>
      </c>
      <c r="O1685" t="s">
        <v>151</v>
      </c>
      <c r="P1685">
        <v>2026</v>
      </c>
    </row>
    <row r="1686" spans="1:16" x14ac:dyDescent="0.25">
      <c r="A1686" s="96" t="s">
        <v>2</v>
      </c>
      <c r="B1686" s="96" t="s">
        <v>305</v>
      </c>
      <c r="C1686" s="96" t="s">
        <v>5250</v>
      </c>
      <c r="D1686" s="96" t="s">
        <v>223</v>
      </c>
      <c r="E1686" s="43">
        <v>46143</v>
      </c>
      <c r="F1686" s="43">
        <v>46150</v>
      </c>
      <c r="G1686" s="96" t="s">
        <v>92</v>
      </c>
      <c r="H1686" s="96" t="s">
        <v>5251</v>
      </c>
      <c r="I1686" s="96" t="s">
        <v>157</v>
      </c>
      <c r="J1686" s="96" t="s">
        <v>216</v>
      </c>
      <c r="K1686" s="96" t="s">
        <v>230</v>
      </c>
      <c r="L1686">
        <v>7</v>
      </c>
      <c r="M1686" t="s">
        <v>11</v>
      </c>
      <c r="N1686" t="s">
        <v>183</v>
      </c>
      <c r="O1686" t="s">
        <v>170</v>
      </c>
      <c r="P1686">
        <v>2026</v>
      </c>
    </row>
    <row r="1687" spans="1:16" x14ac:dyDescent="0.25">
      <c r="A1687" s="96" t="s">
        <v>2</v>
      </c>
      <c r="B1687" s="96" t="s">
        <v>290</v>
      </c>
      <c r="C1687" s="96" t="s">
        <v>1703</v>
      </c>
      <c r="D1687" s="96" t="s">
        <v>208</v>
      </c>
      <c r="E1687" s="43">
        <v>46110</v>
      </c>
      <c r="F1687" s="43">
        <v>46125</v>
      </c>
      <c r="G1687" s="96" t="s">
        <v>90</v>
      </c>
      <c r="H1687" s="96" t="s">
        <v>1645</v>
      </c>
      <c r="I1687" s="96" t="s">
        <v>209</v>
      </c>
      <c r="J1687" s="96" t="s">
        <v>91</v>
      </c>
      <c r="K1687" s="96" t="s">
        <v>233</v>
      </c>
      <c r="L1687">
        <v>15</v>
      </c>
      <c r="M1687" t="s">
        <v>19</v>
      </c>
      <c r="N1687" t="s">
        <v>35</v>
      </c>
      <c r="O1687" t="s">
        <v>149</v>
      </c>
      <c r="P1687">
        <v>2026</v>
      </c>
    </row>
    <row r="1688" spans="1:16" hidden="1" x14ac:dyDescent="0.25">
      <c r="A1688" s="96" t="s">
        <v>175</v>
      </c>
      <c r="B1688" s="96" t="s">
        <v>213</v>
      </c>
      <c r="C1688" s="96" t="s">
        <v>5252</v>
      </c>
      <c r="D1688" s="96" t="s">
        <v>192</v>
      </c>
      <c r="E1688" s="43">
        <v>45834</v>
      </c>
      <c r="F1688" s="43">
        <v>45884</v>
      </c>
      <c r="G1688" s="96" t="s">
        <v>92</v>
      </c>
      <c r="H1688" s="96" t="s">
        <v>5253</v>
      </c>
      <c r="I1688" s="96" t="s">
        <v>157</v>
      </c>
      <c r="J1688" s="96" t="s">
        <v>97</v>
      </c>
      <c r="K1688" s="96" t="s">
        <v>230</v>
      </c>
      <c r="L1688">
        <v>50</v>
      </c>
      <c r="M1688" t="s">
        <v>24</v>
      </c>
      <c r="N1688" t="s">
        <v>184</v>
      </c>
      <c r="O1688" t="s">
        <v>149</v>
      </c>
      <c r="P1688">
        <v>2025</v>
      </c>
    </row>
    <row r="1689" spans="1:16" x14ac:dyDescent="0.25">
      <c r="A1689" s="96" t="s">
        <v>2</v>
      </c>
      <c r="B1689" s="96" t="s">
        <v>219</v>
      </c>
      <c r="C1689" s="96" t="s">
        <v>5254</v>
      </c>
      <c r="D1689" s="96" t="s">
        <v>237</v>
      </c>
      <c r="E1689" s="43">
        <v>46128</v>
      </c>
      <c r="F1689" s="43">
        <v>46151</v>
      </c>
      <c r="G1689" s="96" t="s">
        <v>95</v>
      </c>
      <c r="H1689" s="96" t="s">
        <v>5255</v>
      </c>
      <c r="I1689" s="96" t="s">
        <v>204</v>
      </c>
      <c r="J1689" s="96" t="s">
        <v>93</v>
      </c>
      <c r="K1689" s="96" t="s">
        <v>200</v>
      </c>
      <c r="L1689">
        <v>23</v>
      </c>
      <c r="M1689" t="s">
        <v>19</v>
      </c>
      <c r="N1689" t="s">
        <v>37</v>
      </c>
      <c r="O1689" t="s">
        <v>149</v>
      </c>
      <c r="P1689">
        <v>2026</v>
      </c>
    </row>
    <row r="1690" spans="1:16" hidden="1" x14ac:dyDescent="0.25">
      <c r="A1690" s="96" t="s">
        <v>2</v>
      </c>
      <c r="B1690" s="96" t="s">
        <v>211</v>
      </c>
      <c r="C1690" s="96" t="s">
        <v>1705</v>
      </c>
      <c r="D1690" s="96" t="s">
        <v>203</v>
      </c>
      <c r="E1690" s="43">
        <v>45795</v>
      </c>
      <c r="F1690" s="43">
        <v>45883</v>
      </c>
      <c r="G1690" s="96" t="s">
        <v>92</v>
      </c>
      <c r="H1690" s="96" t="s">
        <v>5256</v>
      </c>
      <c r="I1690" s="96" t="s">
        <v>157</v>
      </c>
      <c r="J1690" s="96" t="s">
        <v>97</v>
      </c>
      <c r="K1690" s="96" t="s">
        <v>217</v>
      </c>
      <c r="L1690">
        <v>88</v>
      </c>
      <c r="M1690" t="s">
        <v>28</v>
      </c>
      <c r="N1690" t="s">
        <v>182</v>
      </c>
      <c r="O1690" t="s">
        <v>170</v>
      </c>
      <c r="P1690">
        <v>2025</v>
      </c>
    </row>
    <row r="1691" spans="1:16" x14ac:dyDescent="0.25">
      <c r="A1691" s="96" t="s">
        <v>21</v>
      </c>
      <c r="B1691" s="96" t="s">
        <v>274</v>
      </c>
      <c r="C1691" s="96" t="s">
        <v>1707</v>
      </c>
      <c r="D1691" s="96" t="s">
        <v>208</v>
      </c>
      <c r="E1691" s="43">
        <v>46144</v>
      </c>
      <c r="F1691" s="43">
        <v>46149</v>
      </c>
      <c r="G1691" s="96" t="s">
        <v>90</v>
      </c>
      <c r="H1691" s="96" t="s">
        <v>1651</v>
      </c>
      <c r="I1691" s="96" t="s">
        <v>9</v>
      </c>
      <c r="J1691" s="96" t="s">
        <v>91</v>
      </c>
      <c r="K1691" s="96" t="s">
        <v>217</v>
      </c>
      <c r="L1691">
        <v>5</v>
      </c>
      <c r="M1691" t="s">
        <v>11</v>
      </c>
      <c r="N1691" t="s">
        <v>183</v>
      </c>
      <c r="O1691" t="s">
        <v>170</v>
      </c>
      <c r="P1691">
        <v>2026</v>
      </c>
    </row>
    <row r="1692" spans="1:16" x14ac:dyDescent="0.25">
      <c r="A1692" s="96" t="s">
        <v>2</v>
      </c>
      <c r="B1692" s="96" t="s">
        <v>274</v>
      </c>
      <c r="C1692" s="96" t="s">
        <v>5257</v>
      </c>
      <c r="D1692" s="96" t="s">
        <v>203</v>
      </c>
      <c r="E1692" s="43">
        <v>46054</v>
      </c>
      <c r="F1692" s="43">
        <v>46071</v>
      </c>
      <c r="G1692" s="96" t="s">
        <v>90</v>
      </c>
      <c r="H1692" s="96" t="s">
        <v>1653</v>
      </c>
      <c r="I1692" s="96" t="s">
        <v>209</v>
      </c>
      <c r="J1692" s="96" t="s">
        <v>229</v>
      </c>
      <c r="K1692" s="96" t="s">
        <v>230</v>
      </c>
      <c r="L1692">
        <v>17</v>
      </c>
      <c r="M1692" t="s">
        <v>19</v>
      </c>
      <c r="N1692" t="s">
        <v>32</v>
      </c>
      <c r="O1692" t="s">
        <v>170</v>
      </c>
      <c r="P1692">
        <v>2026</v>
      </c>
    </row>
    <row r="1693" spans="1:16" x14ac:dyDescent="0.25">
      <c r="A1693" s="96" t="s">
        <v>2</v>
      </c>
      <c r="B1693" s="96" t="s">
        <v>261</v>
      </c>
      <c r="C1693" s="96" t="s">
        <v>1709</v>
      </c>
      <c r="D1693" s="96" t="s">
        <v>192</v>
      </c>
      <c r="E1693" s="43">
        <v>46030</v>
      </c>
      <c r="F1693" s="43">
        <v>46137</v>
      </c>
      <c r="G1693" s="96" t="s">
        <v>90</v>
      </c>
      <c r="H1693" s="96" t="s">
        <v>1655</v>
      </c>
      <c r="I1693" s="96" t="s">
        <v>204</v>
      </c>
      <c r="J1693" s="96" t="s">
        <v>173</v>
      </c>
      <c r="K1693" s="96" t="s">
        <v>205</v>
      </c>
      <c r="L1693">
        <v>107</v>
      </c>
      <c r="M1693" t="s">
        <v>28</v>
      </c>
      <c r="N1693" t="s">
        <v>29</v>
      </c>
      <c r="O1693" t="s">
        <v>151</v>
      </c>
      <c r="P1693">
        <v>2026</v>
      </c>
    </row>
    <row r="1694" spans="1:16" hidden="1" x14ac:dyDescent="0.25">
      <c r="A1694" s="96" t="s">
        <v>2</v>
      </c>
      <c r="B1694" s="96" t="s">
        <v>272</v>
      </c>
      <c r="C1694" s="96" t="s">
        <v>1711</v>
      </c>
      <c r="D1694" s="96" t="s">
        <v>203</v>
      </c>
      <c r="E1694" s="43">
        <v>45933</v>
      </c>
      <c r="F1694" s="43">
        <v>46046</v>
      </c>
      <c r="G1694" s="96" t="s">
        <v>92</v>
      </c>
      <c r="H1694" s="96" t="s">
        <v>5258</v>
      </c>
      <c r="I1694" s="96" t="s">
        <v>204</v>
      </c>
      <c r="J1694" s="96" t="s">
        <v>94</v>
      </c>
      <c r="K1694" s="96" t="s">
        <v>246</v>
      </c>
      <c r="L1694">
        <v>113</v>
      </c>
      <c r="M1694" t="s">
        <v>28</v>
      </c>
      <c r="N1694" t="s">
        <v>16</v>
      </c>
      <c r="O1694" t="s">
        <v>151</v>
      </c>
      <c r="P1694">
        <v>2025</v>
      </c>
    </row>
    <row r="1695" spans="1:16" hidden="1" x14ac:dyDescent="0.25">
      <c r="A1695" s="96" t="s">
        <v>2</v>
      </c>
      <c r="B1695" s="96" t="s">
        <v>272</v>
      </c>
      <c r="C1695" s="96" t="s">
        <v>1713</v>
      </c>
      <c r="D1695" s="96" t="s">
        <v>40</v>
      </c>
      <c r="E1695" s="43">
        <v>45682</v>
      </c>
      <c r="F1695" s="43">
        <v>45687</v>
      </c>
      <c r="G1695" s="96" t="s">
        <v>90</v>
      </c>
      <c r="H1695" s="96" t="s">
        <v>5259</v>
      </c>
      <c r="I1695" s="96" t="s">
        <v>228</v>
      </c>
      <c r="J1695" s="96" t="s">
        <v>216</v>
      </c>
      <c r="K1695" s="96" t="s">
        <v>200</v>
      </c>
      <c r="L1695">
        <v>5</v>
      </c>
      <c r="M1695" t="s">
        <v>11</v>
      </c>
      <c r="N1695" t="s">
        <v>181</v>
      </c>
      <c r="O1695" t="s">
        <v>151</v>
      </c>
      <c r="P1695">
        <v>2025</v>
      </c>
    </row>
    <row r="1696" spans="1:16" hidden="1" x14ac:dyDescent="0.25">
      <c r="A1696" s="96" t="s">
        <v>2</v>
      </c>
      <c r="B1696" s="96" t="s">
        <v>211</v>
      </c>
      <c r="C1696" s="96" t="s">
        <v>1716</v>
      </c>
      <c r="D1696" s="96" t="s">
        <v>215</v>
      </c>
      <c r="E1696" s="43">
        <v>46005</v>
      </c>
      <c r="F1696" s="43">
        <v>46029</v>
      </c>
      <c r="G1696" s="96" t="s">
        <v>95</v>
      </c>
      <c r="H1696" s="96" t="s">
        <v>5260</v>
      </c>
      <c r="I1696" s="96" t="s">
        <v>9</v>
      </c>
      <c r="J1696" s="96" t="s">
        <v>216</v>
      </c>
      <c r="K1696" s="96" t="s">
        <v>195</v>
      </c>
      <c r="L1696">
        <v>24</v>
      </c>
      <c r="M1696" t="s">
        <v>19</v>
      </c>
      <c r="N1696" t="s">
        <v>25</v>
      </c>
      <c r="O1696" t="s">
        <v>170</v>
      </c>
      <c r="P1696">
        <v>2025</v>
      </c>
    </row>
    <row r="1697" spans="1:16" x14ac:dyDescent="0.25">
      <c r="A1697" s="96" t="s">
        <v>2</v>
      </c>
      <c r="B1697" s="96" t="s">
        <v>269</v>
      </c>
      <c r="C1697" s="96" t="s">
        <v>1717</v>
      </c>
      <c r="D1697" s="96" t="s">
        <v>203</v>
      </c>
      <c r="E1697" s="43">
        <v>46046</v>
      </c>
      <c r="F1697" s="43">
        <v>46126</v>
      </c>
      <c r="G1697" s="96" t="s">
        <v>92</v>
      </c>
      <c r="H1697" s="96" t="s">
        <v>1659</v>
      </c>
      <c r="I1697" s="96" t="s">
        <v>157</v>
      </c>
      <c r="J1697" s="96" t="s">
        <v>216</v>
      </c>
      <c r="K1697" s="96" t="s">
        <v>157</v>
      </c>
      <c r="L1697">
        <v>80</v>
      </c>
      <c r="M1697" t="s">
        <v>28</v>
      </c>
      <c r="N1697" t="s">
        <v>29</v>
      </c>
      <c r="O1697" t="s">
        <v>152</v>
      </c>
      <c r="P1697">
        <v>2026</v>
      </c>
    </row>
    <row r="1698" spans="1:16" x14ac:dyDescent="0.25">
      <c r="A1698" s="96" t="s">
        <v>175</v>
      </c>
      <c r="B1698" s="96" t="s">
        <v>226</v>
      </c>
      <c r="C1698" s="96" t="s">
        <v>1718</v>
      </c>
      <c r="D1698" s="96" t="s">
        <v>40</v>
      </c>
      <c r="E1698" s="43">
        <v>46063</v>
      </c>
      <c r="F1698" s="43">
        <v>46147</v>
      </c>
      <c r="G1698" s="96" t="s">
        <v>90</v>
      </c>
      <c r="H1698" s="96" t="s">
        <v>5261</v>
      </c>
      <c r="I1698" s="96" t="s">
        <v>228</v>
      </c>
      <c r="J1698" s="96" t="s">
        <v>97</v>
      </c>
      <c r="K1698" s="96" t="s">
        <v>217</v>
      </c>
      <c r="L1698">
        <v>84</v>
      </c>
      <c r="M1698" t="s">
        <v>28</v>
      </c>
      <c r="N1698" t="s">
        <v>32</v>
      </c>
      <c r="O1698" t="s">
        <v>151</v>
      </c>
      <c r="P1698">
        <v>2026</v>
      </c>
    </row>
    <row r="1699" spans="1:16" hidden="1" x14ac:dyDescent="0.25">
      <c r="A1699" s="96" t="s">
        <v>2</v>
      </c>
      <c r="B1699" s="96" t="s">
        <v>240</v>
      </c>
      <c r="C1699" s="96" t="s">
        <v>1719</v>
      </c>
      <c r="D1699" s="96" t="s">
        <v>208</v>
      </c>
      <c r="E1699" s="43">
        <v>45661</v>
      </c>
      <c r="F1699" s="43">
        <v>45722</v>
      </c>
      <c r="G1699" s="96" t="s">
        <v>90</v>
      </c>
      <c r="H1699" s="96" t="s">
        <v>5262</v>
      </c>
      <c r="I1699" s="96" t="s">
        <v>204</v>
      </c>
      <c r="J1699" s="96" t="s">
        <v>174</v>
      </c>
      <c r="K1699" s="96" t="s">
        <v>233</v>
      </c>
      <c r="L1699">
        <v>61</v>
      </c>
      <c r="M1699" t="s">
        <v>28</v>
      </c>
      <c r="N1699" t="s">
        <v>181</v>
      </c>
      <c r="O1699" t="s">
        <v>149</v>
      </c>
      <c r="P1699">
        <v>2025</v>
      </c>
    </row>
    <row r="1700" spans="1:16" hidden="1" x14ac:dyDescent="0.25">
      <c r="A1700" s="96" t="s">
        <v>2</v>
      </c>
      <c r="B1700" s="96" t="s">
        <v>213</v>
      </c>
      <c r="C1700" s="96" t="s">
        <v>5263</v>
      </c>
      <c r="D1700" s="96" t="s">
        <v>40</v>
      </c>
      <c r="E1700" s="43">
        <v>45667</v>
      </c>
      <c r="F1700" s="43">
        <v>45767</v>
      </c>
      <c r="G1700" s="96" t="s">
        <v>90</v>
      </c>
      <c r="H1700" s="96" t="s">
        <v>1662</v>
      </c>
      <c r="I1700" s="96" t="s">
        <v>204</v>
      </c>
      <c r="J1700" s="96" t="s">
        <v>229</v>
      </c>
      <c r="K1700" s="96" t="s">
        <v>195</v>
      </c>
      <c r="L1700">
        <v>100</v>
      </c>
      <c r="M1700" t="s">
        <v>28</v>
      </c>
      <c r="N1700" t="s">
        <v>181</v>
      </c>
      <c r="O1700" t="s">
        <v>149</v>
      </c>
      <c r="P1700">
        <v>2025</v>
      </c>
    </row>
    <row r="1701" spans="1:16" x14ac:dyDescent="0.25">
      <c r="A1701" s="96" t="s">
        <v>2</v>
      </c>
      <c r="B1701" s="96" t="s">
        <v>288</v>
      </c>
      <c r="C1701" s="96" t="s">
        <v>1720</v>
      </c>
      <c r="D1701" s="96" t="s">
        <v>10</v>
      </c>
      <c r="E1701" s="43">
        <v>46059</v>
      </c>
      <c r="F1701" s="43">
        <v>46150</v>
      </c>
      <c r="G1701" s="96" t="s">
        <v>90</v>
      </c>
      <c r="H1701" s="96" t="s">
        <v>1663</v>
      </c>
      <c r="I1701" s="96" t="s">
        <v>157</v>
      </c>
      <c r="J1701" s="96" t="s">
        <v>165</v>
      </c>
      <c r="K1701" s="96" t="s">
        <v>230</v>
      </c>
      <c r="L1701">
        <v>91</v>
      </c>
      <c r="M1701" t="s">
        <v>28</v>
      </c>
      <c r="N1701" t="s">
        <v>32</v>
      </c>
      <c r="O1701" t="s">
        <v>170</v>
      </c>
      <c r="P1701">
        <v>2026</v>
      </c>
    </row>
    <row r="1702" spans="1:16" hidden="1" x14ac:dyDescent="0.25">
      <c r="A1702" s="96" t="s">
        <v>2</v>
      </c>
      <c r="B1702" s="96" t="s">
        <v>190</v>
      </c>
      <c r="C1702" s="96" t="s">
        <v>5264</v>
      </c>
      <c r="D1702" s="96" t="s">
        <v>223</v>
      </c>
      <c r="E1702" s="43">
        <v>45962</v>
      </c>
      <c r="F1702" s="43">
        <v>45982</v>
      </c>
      <c r="G1702" s="96" t="s">
        <v>92</v>
      </c>
      <c r="H1702" s="96" t="s">
        <v>1664</v>
      </c>
      <c r="I1702" s="96" t="s">
        <v>228</v>
      </c>
      <c r="J1702" s="96" t="s">
        <v>199</v>
      </c>
      <c r="K1702" s="96" t="s">
        <v>246</v>
      </c>
      <c r="L1702">
        <v>20</v>
      </c>
      <c r="M1702" t="s">
        <v>19</v>
      </c>
      <c r="N1702" t="s">
        <v>20</v>
      </c>
      <c r="O1702" t="s">
        <v>150</v>
      </c>
      <c r="P1702">
        <v>2025</v>
      </c>
    </row>
    <row r="1703" spans="1:16" x14ac:dyDescent="0.25">
      <c r="A1703" s="96" t="s">
        <v>2</v>
      </c>
      <c r="B1703" s="96" t="s">
        <v>302</v>
      </c>
      <c r="C1703" s="96" t="s">
        <v>1721</v>
      </c>
      <c r="D1703" s="96" t="s">
        <v>223</v>
      </c>
      <c r="E1703" s="43">
        <v>46091</v>
      </c>
      <c r="F1703" s="43">
        <v>46146</v>
      </c>
      <c r="G1703" s="96" t="s">
        <v>92</v>
      </c>
      <c r="H1703" s="96" t="s">
        <v>1666</v>
      </c>
      <c r="I1703" s="96" t="s">
        <v>228</v>
      </c>
      <c r="J1703" s="96" t="s">
        <v>97</v>
      </c>
      <c r="K1703" s="96" t="s">
        <v>200</v>
      </c>
      <c r="L1703">
        <v>55</v>
      </c>
      <c r="M1703" t="s">
        <v>24</v>
      </c>
      <c r="N1703" t="s">
        <v>35</v>
      </c>
      <c r="O1703" t="s">
        <v>150</v>
      </c>
      <c r="P1703">
        <v>2026</v>
      </c>
    </row>
    <row r="1704" spans="1:16" x14ac:dyDescent="0.25">
      <c r="A1704" s="96" t="s">
        <v>2</v>
      </c>
      <c r="B1704" s="96" t="s">
        <v>302</v>
      </c>
      <c r="C1704" s="96" t="s">
        <v>1722</v>
      </c>
      <c r="D1704" s="96" t="s">
        <v>223</v>
      </c>
      <c r="E1704" s="43">
        <v>46042</v>
      </c>
      <c r="F1704" s="43">
        <v>46097</v>
      </c>
      <c r="G1704" s="96" t="s">
        <v>92</v>
      </c>
      <c r="H1704" s="96" t="s">
        <v>1668</v>
      </c>
      <c r="I1704" s="96" t="s">
        <v>157</v>
      </c>
      <c r="J1704" s="96" t="s">
        <v>93</v>
      </c>
      <c r="K1704" s="96" t="s">
        <v>230</v>
      </c>
      <c r="L1704">
        <v>55</v>
      </c>
      <c r="M1704" t="s">
        <v>24</v>
      </c>
      <c r="N1704" t="s">
        <v>29</v>
      </c>
      <c r="O1704" t="s">
        <v>150</v>
      </c>
      <c r="P1704">
        <v>2026</v>
      </c>
    </row>
    <row r="1705" spans="1:16" hidden="1" x14ac:dyDescent="0.25">
      <c r="A1705" s="96" t="s">
        <v>2</v>
      </c>
      <c r="B1705" s="96" t="s">
        <v>206</v>
      </c>
      <c r="C1705" s="96" t="s">
        <v>5265</v>
      </c>
      <c r="D1705" s="96" t="s">
        <v>34</v>
      </c>
      <c r="E1705" s="43">
        <v>45714</v>
      </c>
      <c r="F1705" s="43">
        <v>45816</v>
      </c>
      <c r="G1705" s="96" t="s">
        <v>90</v>
      </c>
      <c r="H1705" s="96" t="s">
        <v>1670</v>
      </c>
      <c r="I1705" s="96" t="s">
        <v>194</v>
      </c>
      <c r="J1705" s="96" t="s">
        <v>173</v>
      </c>
      <c r="K1705" s="96" t="s">
        <v>200</v>
      </c>
      <c r="L1705">
        <v>102</v>
      </c>
      <c r="M1705" t="s">
        <v>28</v>
      </c>
      <c r="N1705" t="s">
        <v>188</v>
      </c>
      <c r="O1705" t="s">
        <v>152</v>
      </c>
      <c r="P1705">
        <v>2025</v>
      </c>
    </row>
    <row r="1706" spans="1:16" hidden="1" x14ac:dyDescent="0.25">
      <c r="A1706" s="96" t="s">
        <v>2</v>
      </c>
      <c r="B1706" s="96" t="s">
        <v>231</v>
      </c>
      <c r="C1706" s="96" t="s">
        <v>1723</v>
      </c>
      <c r="D1706" s="96" t="s">
        <v>208</v>
      </c>
      <c r="E1706" s="43">
        <v>45922</v>
      </c>
      <c r="F1706" s="43">
        <v>46041</v>
      </c>
      <c r="G1706" s="96" t="s">
        <v>92</v>
      </c>
      <c r="H1706" s="96" t="s">
        <v>5266</v>
      </c>
      <c r="I1706" s="96" t="s">
        <v>225</v>
      </c>
      <c r="J1706" s="96" t="s">
        <v>283</v>
      </c>
      <c r="K1706" s="96" t="s">
        <v>246</v>
      </c>
      <c r="L1706">
        <v>119</v>
      </c>
      <c r="M1706" t="s">
        <v>28</v>
      </c>
      <c r="N1706" t="s">
        <v>12</v>
      </c>
      <c r="O1706" t="s">
        <v>170</v>
      </c>
      <c r="P1706">
        <v>2025</v>
      </c>
    </row>
    <row r="1707" spans="1:16" hidden="1" x14ac:dyDescent="0.25">
      <c r="A1707" s="96" t="s">
        <v>2</v>
      </c>
      <c r="B1707" s="96" t="s">
        <v>255</v>
      </c>
      <c r="C1707" s="96" t="s">
        <v>1724</v>
      </c>
      <c r="D1707" s="96" t="s">
        <v>203</v>
      </c>
      <c r="E1707" s="43">
        <v>45790</v>
      </c>
      <c r="F1707" s="43">
        <v>45829</v>
      </c>
      <c r="G1707" s="96" t="s">
        <v>90</v>
      </c>
      <c r="H1707" s="96" t="s">
        <v>1672</v>
      </c>
      <c r="I1707" s="96" t="s">
        <v>194</v>
      </c>
      <c r="J1707" s="96" t="s">
        <v>229</v>
      </c>
      <c r="K1707" s="96" t="s">
        <v>217</v>
      </c>
      <c r="L1707">
        <v>39</v>
      </c>
      <c r="M1707" t="s">
        <v>24</v>
      </c>
      <c r="N1707" t="s">
        <v>182</v>
      </c>
      <c r="O1707" t="s">
        <v>150</v>
      </c>
      <c r="P1707">
        <v>2025</v>
      </c>
    </row>
    <row r="1708" spans="1:16" hidden="1" x14ac:dyDescent="0.25">
      <c r="A1708" s="96" t="s">
        <v>2</v>
      </c>
      <c r="B1708" s="96" t="s">
        <v>272</v>
      </c>
      <c r="C1708" s="96" t="s">
        <v>1725</v>
      </c>
      <c r="D1708" s="96" t="s">
        <v>34</v>
      </c>
      <c r="E1708" s="43">
        <v>45714</v>
      </c>
      <c r="F1708" s="43">
        <v>45758</v>
      </c>
      <c r="G1708" s="96" t="s">
        <v>92</v>
      </c>
      <c r="H1708" s="96" t="s">
        <v>1674</v>
      </c>
      <c r="I1708" s="96" t="s">
        <v>228</v>
      </c>
      <c r="J1708" s="96" t="s">
        <v>177</v>
      </c>
      <c r="K1708" s="96" t="s">
        <v>205</v>
      </c>
      <c r="L1708">
        <v>44</v>
      </c>
      <c r="M1708" t="s">
        <v>24</v>
      </c>
      <c r="N1708" t="s">
        <v>188</v>
      </c>
      <c r="O1708" t="s">
        <v>151</v>
      </c>
      <c r="P1708">
        <v>2025</v>
      </c>
    </row>
    <row r="1709" spans="1:16" hidden="1" x14ac:dyDescent="0.25">
      <c r="A1709" s="96" t="s">
        <v>2</v>
      </c>
      <c r="B1709" s="96" t="s">
        <v>211</v>
      </c>
      <c r="C1709" s="96" t="s">
        <v>5267</v>
      </c>
      <c r="D1709" s="96" t="s">
        <v>40</v>
      </c>
      <c r="E1709" s="43">
        <v>45962</v>
      </c>
      <c r="F1709" s="43">
        <v>45982</v>
      </c>
      <c r="G1709" s="96" t="s">
        <v>92</v>
      </c>
      <c r="H1709" s="96" t="s">
        <v>1676</v>
      </c>
      <c r="I1709" s="96" t="s">
        <v>157</v>
      </c>
      <c r="J1709" s="96" t="s">
        <v>177</v>
      </c>
      <c r="K1709" s="96" t="s">
        <v>233</v>
      </c>
      <c r="L1709">
        <v>20</v>
      </c>
      <c r="M1709" t="s">
        <v>19</v>
      </c>
      <c r="N1709" t="s">
        <v>20</v>
      </c>
      <c r="O1709" t="s">
        <v>170</v>
      </c>
      <c r="P1709">
        <v>2025</v>
      </c>
    </row>
    <row r="1710" spans="1:16" hidden="1" x14ac:dyDescent="0.25">
      <c r="A1710" s="96" t="s">
        <v>189</v>
      </c>
      <c r="B1710" s="96" t="s">
        <v>322</v>
      </c>
      <c r="C1710" s="96" t="s">
        <v>1726</v>
      </c>
      <c r="D1710" s="96" t="s">
        <v>34</v>
      </c>
      <c r="E1710" s="43">
        <v>45733</v>
      </c>
      <c r="F1710" s="43">
        <v>45793</v>
      </c>
      <c r="G1710" s="96" t="s">
        <v>92</v>
      </c>
      <c r="H1710" s="96" t="s">
        <v>5268</v>
      </c>
      <c r="I1710" s="96" t="s">
        <v>194</v>
      </c>
      <c r="J1710" s="96" t="s">
        <v>96</v>
      </c>
      <c r="K1710" s="96" t="s">
        <v>233</v>
      </c>
      <c r="L1710">
        <v>60</v>
      </c>
      <c r="M1710" t="s">
        <v>24</v>
      </c>
      <c r="N1710" t="s">
        <v>186</v>
      </c>
      <c r="O1710" t="s">
        <v>150</v>
      </c>
      <c r="P1710">
        <v>2025</v>
      </c>
    </row>
    <row r="1711" spans="1:16" x14ac:dyDescent="0.25">
      <c r="A1711" s="96" t="s">
        <v>2</v>
      </c>
      <c r="B1711" s="96" t="s">
        <v>218</v>
      </c>
      <c r="C1711" s="96" t="s">
        <v>1728</v>
      </c>
      <c r="D1711" s="96" t="s">
        <v>192</v>
      </c>
      <c r="E1711" s="43">
        <v>46092</v>
      </c>
      <c r="F1711" s="43">
        <v>46150</v>
      </c>
      <c r="G1711" s="96" t="s">
        <v>92</v>
      </c>
      <c r="H1711" s="96" t="s">
        <v>5269</v>
      </c>
      <c r="I1711" s="96" t="s">
        <v>194</v>
      </c>
      <c r="J1711" s="96" t="s">
        <v>283</v>
      </c>
      <c r="K1711" s="96" t="s">
        <v>246</v>
      </c>
      <c r="L1711">
        <v>58</v>
      </c>
      <c r="M1711" t="s">
        <v>24</v>
      </c>
      <c r="N1711" t="s">
        <v>35</v>
      </c>
      <c r="O1711" t="s">
        <v>152</v>
      </c>
      <c r="P1711">
        <v>2026</v>
      </c>
    </row>
    <row r="1712" spans="1:16" x14ac:dyDescent="0.25">
      <c r="A1712" s="96" t="s">
        <v>175</v>
      </c>
      <c r="B1712" s="96" t="s">
        <v>374</v>
      </c>
      <c r="C1712" s="96" t="s">
        <v>1729</v>
      </c>
      <c r="D1712" s="96" t="s">
        <v>208</v>
      </c>
      <c r="E1712" s="43">
        <v>46044</v>
      </c>
      <c r="F1712" s="43">
        <v>46090</v>
      </c>
      <c r="G1712" s="96" t="s">
        <v>92</v>
      </c>
      <c r="H1712" s="96" t="s">
        <v>1679</v>
      </c>
      <c r="I1712" s="96" t="s">
        <v>209</v>
      </c>
      <c r="J1712" s="96" t="s">
        <v>94</v>
      </c>
      <c r="K1712" s="96" t="s">
        <v>217</v>
      </c>
      <c r="L1712">
        <v>46</v>
      </c>
      <c r="M1712" t="s">
        <v>24</v>
      </c>
      <c r="N1712" t="s">
        <v>29</v>
      </c>
      <c r="O1712" t="s">
        <v>150</v>
      </c>
      <c r="P1712">
        <v>2026</v>
      </c>
    </row>
    <row r="1713" spans="1:16" hidden="1" x14ac:dyDescent="0.25">
      <c r="A1713" s="96" t="s">
        <v>2</v>
      </c>
      <c r="B1713" s="96" t="s">
        <v>190</v>
      </c>
      <c r="C1713" s="96" t="s">
        <v>1730</v>
      </c>
      <c r="D1713" s="96" t="s">
        <v>237</v>
      </c>
      <c r="E1713" s="43">
        <v>45679</v>
      </c>
      <c r="F1713" s="43">
        <v>45772</v>
      </c>
      <c r="G1713" s="96" t="s">
        <v>92</v>
      </c>
      <c r="H1713" s="96" t="s">
        <v>5270</v>
      </c>
      <c r="I1713" s="96" t="s">
        <v>204</v>
      </c>
      <c r="J1713" s="96" t="s">
        <v>93</v>
      </c>
      <c r="K1713" s="96" t="s">
        <v>217</v>
      </c>
      <c r="L1713">
        <v>93</v>
      </c>
      <c r="M1713" t="s">
        <v>28</v>
      </c>
      <c r="N1713" t="s">
        <v>181</v>
      </c>
      <c r="O1713" t="s">
        <v>150</v>
      </c>
      <c r="P1713">
        <v>2025</v>
      </c>
    </row>
    <row r="1714" spans="1:16" x14ac:dyDescent="0.25">
      <c r="A1714" s="96" t="s">
        <v>2</v>
      </c>
      <c r="B1714" s="96" t="s">
        <v>218</v>
      </c>
      <c r="C1714" s="96" t="s">
        <v>1731</v>
      </c>
      <c r="D1714" s="96" t="s">
        <v>223</v>
      </c>
      <c r="E1714" s="43">
        <v>46080</v>
      </c>
      <c r="F1714" s="43">
        <v>46150</v>
      </c>
      <c r="G1714" s="96" t="s">
        <v>92</v>
      </c>
      <c r="H1714" s="96" t="s">
        <v>1681</v>
      </c>
      <c r="I1714" s="96" t="s">
        <v>157</v>
      </c>
      <c r="J1714" s="96" t="s">
        <v>91</v>
      </c>
      <c r="K1714" s="96" t="s">
        <v>210</v>
      </c>
      <c r="L1714">
        <v>70</v>
      </c>
      <c r="M1714" t="s">
        <v>28</v>
      </c>
      <c r="N1714" t="s">
        <v>32</v>
      </c>
      <c r="O1714" t="s">
        <v>152</v>
      </c>
      <c r="P1714">
        <v>2026</v>
      </c>
    </row>
    <row r="1715" spans="1:16" x14ac:dyDescent="0.25">
      <c r="A1715" s="96" t="s">
        <v>2</v>
      </c>
      <c r="B1715" s="96" t="s">
        <v>274</v>
      </c>
      <c r="C1715" s="96" t="s">
        <v>1732</v>
      </c>
      <c r="D1715" s="96" t="s">
        <v>215</v>
      </c>
      <c r="E1715" s="43">
        <v>46111</v>
      </c>
      <c r="F1715" s="43">
        <v>46134</v>
      </c>
      <c r="G1715" s="96" t="s">
        <v>92</v>
      </c>
      <c r="H1715" s="96" t="s">
        <v>1683</v>
      </c>
      <c r="I1715" s="96" t="s">
        <v>157</v>
      </c>
      <c r="J1715" s="96" t="s">
        <v>169</v>
      </c>
      <c r="K1715" s="96" t="s">
        <v>233</v>
      </c>
      <c r="L1715">
        <v>23</v>
      </c>
      <c r="M1715" t="s">
        <v>19</v>
      </c>
      <c r="N1715" t="s">
        <v>35</v>
      </c>
      <c r="O1715" t="s">
        <v>170</v>
      </c>
      <c r="P1715">
        <v>2026</v>
      </c>
    </row>
    <row r="1716" spans="1:16" x14ac:dyDescent="0.25">
      <c r="A1716" s="96" t="s">
        <v>2</v>
      </c>
      <c r="B1716" s="96" t="s">
        <v>226</v>
      </c>
      <c r="C1716" s="96" t="s">
        <v>5271</v>
      </c>
      <c r="D1716" s="96" t="s">
        <v>10</v>
      </c>
      <c r="E1716" s="43">
        <v>46086</v>
      </c>
      <c r="F1716" s="43">
        <v>46089</v>
      </c>
      <c r="G1716" s="96" t="s">
        <v>92</v>
      </c>
      <c r="H1716" s="96" t="s">
        <v>1684</v>
      </c>
      <c r="I1716" s="96" t="s">
        <v>225</v>
      </c>
      <c r="J1716" s="96" t="s">
        <v>94</v>
      </c>
      <c r="K1716" s="96" t="s">
        <v>217</v>
      </c>
      <c r="L1716">
        <v>3</v>
      </c>
      <c r="M1716" t="s">
        <v>11</v>
      </c>
      <c r="N1716" t="s">
        <v>35</v>
      </c>
      <c r="O1716" t="s">
        <v>151</v>
      </c>
      <c r="P1716">
        <v>2026</v>
      </c>
    </row>
    <row r="1717" spans="1:16" hidden="1" x14ac:dyDescent="0.25">
      <c r="A1717" s="96" t="s">
        <v>189</v>
      </c>
      <c r="B1717" s="96" t="s">
        <v>264</v>
      </c>
      <c r="C1717" s="96" t="s">
        <v>5272</v>
      </c>
      <c r="D1717" s="96" t="s">
        <v>215</v>
      </c>
      <c r="E1717" s="43">
        <v>45749</v>
      </c>
      <c r="F1717" s="43">
        <v>45769</v>
      </c>
      <c r="G1717" s="96" t="s">
        <v>92</v>
      </c>
      <c r="H1717" s="96" t="s">
        <v>5273</v>
      </c>
      <c r="I1717" s="96" t="s">
        <v>209</v>
      </c>
      <c r="J1717" s="96" t="s">
        <v>93</v>
      </c>
      <c r="K1717" s="96" t="s">
        <v>210</v>
      </c>
      <c r="L1717">
        <v>20</v>
      </c>
      <c r="M1717" t="s">
        <v>19</v>
      </c>
      <c r="N1717" t="s">
        <v>185</v>
      </c>
      <c r="O1717" t="s">
        <v>152</v>
      </c>
      <c r="P1717">
        <v>2025</v>
      </c>
    </row>
    <row r="1718" spans="1:16" hidden="1" x14ac:dyDescent="0.25">
      <c r="A1718" s="96" t="s">
        <v>2</v>
      </c>
      <c r="B1718" s="96" t="s">
        <v>264</v>
      </c>
      <c r="C1718" s="96" t="s">
        <v>1734</v>
      </c>
      <c r="D1718" s="96" t="s">
        <v>10</v>
      </c>
      <c r="E1718" s="43">
        <v>45703</v>
      </c>
      <c r="F1718" s="43">
        <v>45750</v>
      </c>
      <c r="G1718" s="96" t="s">
        <v>92</v>
      </c>
      <c r="H1718" s="96" t="s">
        <v>5274</v>
      </c>
      <c r="I1718" s="96" t="s">
        <v>204</v>
      </c>
      <c r="J1718" s="96" t="s">
        <v>173</v>
      </c>
      <c r="K1718" s="96" t="s">
        <v>210</v>
      </c>
      <c r="L1718">
        <v>47</v>
      </c>
      <c r="M1718" t="s">
        <v>24</v>
      </c>
      <c r="N1718" t="s">
        <v>188</v>
      </c>
      <c r="O1718" t="s">
        <v>152</v>
      </c>
      <c r="P1718">
        <v>2025</v>
      </c>
    </row>
    <row r="1719" spans="1:16" x14ac:dyDescent="0.25">
      <c r="A1719" s="96" t="s">
        <v>2</v>
      </c>
      <c r="B1719" s="96" t="s">
        <v>261</v>
      </c>
      <c r="C1719" s="96" t="s">
        <v>1735</v>
      </c>
      <c r="D1719" s="96" t="s">
        <v>223</v>
      </c>
      <c r="E1719" s="43">
        <v>46099</v>
      </c>
      <c r="F1719" s="43">
        <v>46143</v>
      </c>
      <c r="G1719" s="96" t="s">
        <v>92</v>
      </c>
      <c r="H1719" s="96" t="s">
        <v>5275</v>
      </c>
      <c r="I1719" s="96" t="s">
        <v>157</v>
      </c>
      <c r="J1719" s="96" t="s">
        <v>165</v>
      </c>
      <c r="K1719" s="96" t="s">
        <v>210</v>
      </c>
      <c r="L1719">
        <v>44</v>
      </c>
      <c r="M1719" t="s">
        <v>24</v>
      </c>
      <c r="N1719" t="s">
        <v>35</v>
      </c>
      <c r="O1719" t="s">
        <v>151</v>
      </c>
      <c r="P1719">
        <v>2026</v>
      </c>
    </row>
    <row r="1720" spans="1:16" hidden="1" x14ac:dyDescent="0.25">
      <c r="A1720" s="96" t="s">
        <v>2</v>
      </c>
      <c r="B1720" s="96" t="s">
        <v>251</v>
      </c>
      <c r="C1720" s="96" t="s">
        <v>1736</v>
      </c>
      <c r="D1720" s="96" t="s">
        <v>223</v>
      </c>
      <c r="E1720" s="43">
        <v>45919</v>
      </c>
      <c r="F1720" s="43">
        <v>46022</v>
      </c>
      <c r="G1720" s="96" t="s">
        <v>92</v>
      </c>
      <c r="H1720" s="96" t="s">
        <v>5276</v>
      </c>
      <c r="I1720" s="96" t="s">
        <v>9</v>
      </c>
      <c r="J1720" s="96" t="s">
        <v>97</v>
      </c>
      <c r="K1720" s="96" t="s">
        <v>205</v>
      </c>
      <c r="L1720">
        <v>103</v>
      </c>
      <c r="M1720" t="s">
        <v>28</v>
      </c>
      <c r="N1720" t="s">
        <v>12</v>
      </c>
      <c r="O1720" t="s">
        <v>170</v>
      </c>
      <c r="P1720">
        <v>2025</v>
      </c>
    </row>
    <row r="1721" spans="1:16" hidden="1" x14ac:dyDescent="0.25">
      <c r="A1721" s="96" t="s">
        <v>2</v>
      </c>
      <c r="B1721" s="96" t="s">
        <v>206</v>
      </c>
      <c r="C1721" s="96" t="s">
        <v>1737</v>
      </c>
      <c r="D1721" s="96" t="s">
        <v>208</v>
      </c>
      <c r="E1721" s="43">
        <v>45816</v>
      </c>
      <c r="F1721" s="43">
        <v>45895</v>
      </c>
      <c r="G1721" s="96" t="s">
        <v>90</v>
      </c>
      <c r="H1721" s="96" t="s">
        <v>5277</v>
      </c>
      <c r="I1721" s="96" t="s">
        <v>157</v>
      </c>
      <c r="J1721" s="96" t="s">
        <v>174</v>
      </c>
      <c r="K1721" s="96" t="s">
        <v>200</v>
      </c>
      <c r="L1721">
        <v>79</v>
      </c>
      <c r="M1721" t="s">
        <v>28</v>
      </c>
      <c r="N1721" t="s">
        <v>184</v>
      </c>
      <c r="O1721" t="s">
        <v>152</v>
      </c>
      <c r="P1721">
        <v>2025</v>
      </c>
    </row>
    <row r="1722" spans="1:16" hidden="1" x14ac:dyDescent="0.25">
      <c r="A1722" s="96" t="s">
        <v>175</v>
      </c>
      <c r="B1722" s="96" t="s">
        <v>272</v>
      </c>
      <c r="C1722" s="96" t="s">
        <v>5278</v>
      </c>
      <c r="D1722" s="96" t="s">
        <v>40</v>
      </c>
      <c r="E1722" s="43">
        <v>45720</v>
      </c>
      <c r="F1722" s="43">
        <v>45835</v>
      </c>
      <c r="G1722" s="96" t="s">
        <v>92</v>
      </c>
      <c r="H1722" s="96" t="s">
        <v>5279</v>
      </c>
      <c r="I1722" s="96" t="s">
        <v>194</v>
      </c>
      <c r="J1722" s="96" t="s">
        <v>94</v>
      </c>
      <c r="K1722" s="96" t="s">
        <v>195</v>
      </c>
      <c r="L1722">
        <v>115</v>
      </c>
      <c r="M1722" t="s">
        <v>28</v>
      </c>
      <c r="N1722" t="s">
        <v>186</v>
      </c>
      <c r="O1722" t="s">
        <v>151</v>
      </c>
      <c r="P1722">
        <v>2025</v>
      </c>
    </row>
    <row r="1723" spans="1:16" x14ac:dyDescent="0.25">
      <c r="A1723" s="96" t="s">
        <v>175</v>
      </c>
      <c r="B1723" s="96" t="s">
        <v>226</v>
      </c>
      <c r="C1723" s="96" t="s">
        <v>1738</v>
      </c>
      <c r="D1723" s="96" t="s">
        <v>237</v>
      </c>
      <c r="E1723" s="43">
        <v>46133</v>
      </c>
      <c r="F1723" s="43">
        <v>46149</v>
      </c>
      <c r="G1723" s="96" t="s">
        <v>92</v>
      </c>
      <c r="H1723" s="96" t="s">
        <v>5280</v>
      </c>
      <c r="I1723" s="96" t="s">
        <v>225</v>
      </c>
      <c r="J1723" s="96" t="s">
        <v>174</v>
      </c>
      <c r="K1723" s="96" t="s">
        <v>210</v>
      </c>
      <c r="L1723">
        <v>16</v>
      </c>
      <c r="M1723" t="s">
        <v>19</v>
      </c>
      <c r="N1723" t="s">
        <v>37</v>
      </c>
      <c r="O1723" t="s">
        <v>151</v>
      </c>
      <c r="P1723">
        <v>2026</v>
      </c>
    </row>
    <row r="1724" spans="1:16" x14ac:dyDescent="0.25">
      <c r="A1724" s="96" t="s">
        <v>2</v>
      </c>
      <c r="B1724" s="96" t="s">
        <v>226</v>
      </c>
      <c r="C1724" s="96" t="s">
        <v>1739</v>
      </c>
      <c r="D1724" s="96" t="s">
        <v>10</v>
      </c>
      <c r="E1724" s="43">
        <v>46130</v>
      </c>
      <c r="F1724" s="43">
        <v>46148</v>
      </c>
      <c r="G1724" s="96" t="s">
        <v>90</v>
      </c>
      <c r="H1724" s="96" t="s">
        <v>5281</v>
      </c>
      <c r="I1724" s="96" t="s">
        <v>228</v>
      </c>
      <c r="J1724" s="96" t="s">
        <v>177</v>
      </c>
      <c r="K1724" s="96" t="s">
        <v>195</v>
      </c>
      <c r="L1724">
        <v>18</v>
      </c>
      <c r="M1724" t="s">
        <v>19</v>
      </c>
      <c r="N1724" t="s">
        <v>37</v>
      </c>
      <c r="O1724" t="s">
        <v>151</v>
      </c>
      <c r="P1724">
        <v>2026</v>
      </c>
    </row>
    <row r="1725" spans="1:16" hidden="1" x14ac:dyDescent="0.25">
      <c r="A1725" s="96" t="s">
        <v>2</v>
      </c>
      <c r="B1725" s="96" t="s">
        <v>231</v>
      </c>
      <c r="C1725" s="96" t="s">
        <v>5282</v>
      </c>
      <c r="D1725" s="96" t="s">
        <v>237</v>
      </c>
      <c r="E1725" s="43">
        <v>45943</v>
      </c>
      <c r="F1725" s="43">
        <v>45956</v>
      </c>
      <c r="G1725" s="96" t="s">
        <v>90</v>
      </c>
      <c r="H1725" s="96" t="s">
        <v>5283</v>
      </c>
      <c r="I1725" s="96" t="s">
        <v>225</v>
      </c>
      <c r="J1725" s="96" t="s">
        <v>98</v>
      </c>
      <c r="K1725" s="96" t="s">
        <v>157</v>
      </c>
      <c r="L1725">
        <v>13</v>
      </c>
      <c r="M1725" t="s">
        <v>15</v>
      </c>
      <c r="N1725" t="s">
        <v>16</v>
      </c>
      <c r="O1725" t="s">
        <v>170</v>
      </c>
      <c r="P1725">
        <v>2025</v>
      </c>
    </row>
    <row r="1726" spans="1:16" hidden="1" x14ac:dyDescent="0.25">
      <c r="A1726" s="96" t="s">
        <v>2</v>
      </c>
      <c r="B1726" s="96" t="s">
        <v>257</v>
      </c>
      <c r="C1726" s="96" t="s">
        <v>1740</v>
      </c>
      <c r="D1726" s="96" t="s">
        <v>208</v>
      </c>
      <c r="E1726" s="43">
        <v>45853</v>
      </c>
      <c r="F1726" s="43">
        <v>45896</v>
      </c>
      <c r="G1726" s="96" t="s">
        <v>92</v>
      </c>
      <c r="H1726" s="96" t="s">
        <v>5284</v>
      </c>
      <c r="I1726" s="96" t="s">
        <v>225</v>
      </c>
      <c r="J1726" s="96" t="s">
        <v>216</v>
      </c>
      <c r="K1726" s="96" t="s">
        <v>210</v>
      </c>
      <c r="L1726">
        <v>43</v>
      </c>
      <c r="M1726" t="s">
        <v>24</v>
      </c>
      <c r="N1726" t="s">
        <v>187</v>
      </c>
      <c r="O1726" t="s">
        <v>151</v>
      </c>
      <c r="P1726">
        <v>2025</v>
      </c>
    </row>
    <row r="1727" spans="1:16" x14ac:dyDescent="0.25">
      <c r="A1727" s="96" t="s">
        <v>2</v>
      </c>
      <c r="B1727" s="96" t="s">
        <v>196</v>
      </c>
      <c r="C1727" s="96" t="s">
        <v>1741</v>
      </c>
      <c r="D1727" s="96" t="s">
        <v>237</v>
      </c>
      <c r="E1727" s="43">
        <v>46051</v>
      </c>
      <c r="F1727" s="43">
        <v>46138</v>
      </c>
      <c r="G1727" s="96" t="s">
        <v>92</v>
      </c>
      <c r="H1727" s="96" t="s">
        <v>5285</v>
      </c>
      <c r="I1727" s="96" t="s">
        <v>204</v>
      </c>
      <c r="J1727" s="96" t="s">
        <v>172</v>
      </c>
      <c r="K1727" s="96" t="s">
        <v>246</v>
      </c>
      <c r="L1727">
        <v>87</v>
      </c>
      <c r="M1727" t="s">
        <v>28</v>
      </c>
      <c r="N1727" t="s">
        <v>29</v>
      </c>
      <c r="O1727" t="s">
        <v>152</v>
      </c>
      <c r="P1727">
        <v>2026</v>
      </c>
    </row>
    <row r="1728" spans="1:16" hidden="1" x14ac:dyDescent="0.25">
      <c r="A1728" s="96" t="s">
        <v>2</v>
      </c>
      <c r="B1728" s="96" t="s">
        <v>211</v>
      </c>
      <c r="C1728" s="96" t="s">
        <v>1742</v>
      </c>
      <c r="D1728" s="96" t="s">
        <v>192</v>
      </c>
      <c r="E1728" s="43">
        <v>46022</v>
      </c>
      <c r="F1728" s="43">
        <v>46122</v>
      </c>
      <c r="G1728" s="96" t="s">
        <v>92</v>
      </c>
      <c r="H1728" s="96" t="s">
        <v>5286</v>
      </c>
      <c r="I1728" s="96" t="s">
        <v>228</v>
      </c>
      <c r="J1728" s="96" t="s">
        <v>97</v>
      </c>
      <c r="K1728" s="96" t="s">
        <v>233</v>
      </c>
      <c r="L1728">
        <v>100</v>
      </c>
      <c r="M1728" t="s">
        <v>28</v>
      </c>
      <c r="N1728" t="s">
        <v>25</v>
      </c>
      <c r="O1728" t="s">
        <v>170</v>
      </c>
      <c r="P1728">
        <v>2025</v>
      </c>
    </row>
    <row r="1729" spans="1:16" hidden="1" x14ac:dyDescent="0.25">
      <c r="A1729" s="96" t="s">
        <v>2</v>
      </c>
      <c r="B1729" s="96" t="s">
        <v>231</v>
      </c>
      <c r="C1729" s="96" t="s">
        <v>1744</v>
      </c>
      <c r="D1729" s="96" t="s">
        <v>208</v>
      </c>
      <c r="E1729" s="43">
        <v>45835</v>
      </c>
      <c r="F1729" s="43">
        <v>45872</v>
      </c>
      <c r="G1729" s="96" t="s">
        <v>90</v>
      </c>
      <c r="H1729" s="96" t="s">
        <v>1691</v>
      </c>
      <c r="I1729" s="96" t="s">
        <v>204</v>
      </c>
      <c r="J1729" s="96" t="s">
        <v>177</v>
      </c>
      <c r="K1729" s="96" t="s">
        <v>217</v>
      </c>
      <c r="L1729">
        <v>37</v>
      </c>
      <c r="M1729" t="s">
        <v>24</v>
      </c>
      <c r="N1729" t="s">
        <v>184</v>
      </c>
      <c r="O1729" t="s">
        <v>170</v>
      </c>
      <c r="P1729">
        <v>2025</v>
      </c>
    </row>
    <row r="1730" spans="1:16" hidden="1" x14ac:dyDescent="0.25">
      <c r="A1730" s="96" t="s">
        <v>2</v>
      </c>
      <c r="B1730" s="96" t="s">
        <v>272</v>
      </c>
      <c r="C1730" s="96" t="s">
        <v>1746</v>
      </c>
      <c r="D1730" s="96" t="s">
        <v>14</v>
      </c>
      <c r="E1730" s="43">
        <v>45921</v>
      </c>
      <c r="F1730" s="43">
        <v>46014</v>
      </c>
      <c r="G1730" s="96" t="s">
        <v>90</v>
      </c>
      <c r="H1730" s="96" t="s">
        <v>5287</v>
      </c>
      <c r="I1730" s="96" t="s">
        <v>9</v>
      </c>
      <c r="J1730" s="96" t="s">
        <v>283</v>
      </c>
      <c r="K1730" s="96" t="s">
        <v>230</v>
      </c>
      <c r="L1730">
        <v>93</v>
      </c>
      <c r="M1730" t="s">
        <v>28</v>
      </c>
      <c r="N1730" t="s">
        <v>12</v>
      </c>
      <c r="O1730" t="s">
        <v>151</v>
      </c>
      <c r="P1730">
        <v>2025</v>
      </c>
    </row>
    <row r="1731" spans="1:16" hidden="1" x14ac:dyDescent="0.25">
      <c r="A1731" s="96" t="s">
        <v>175</v>
      </c>
      <c r="B1731" s="96" t="s">
        <v>238</v>
      </c>
      <c r="C1731" s="96" t="s">
        <v>1748</v>
      </c>
      <c r="D1731" s="96" t="s">
        <v>14</v>
      </c>
      <c r="E1731" s="43">
        <v>45681</v>
      </c>
      <c r="F1731" s="43">
        <v>45726</v>
      </c>
      <c r="G1731" s="96" t="s">
        <v>92</v>
      </c>
      <c r="H1731" s="96" t="s">
        <v>5288</v>
      </c>
      <c r="I1731" s="96" t="s">
        <v>228</v>
      </c>
      <c r="J1731" s="96" t="s">
        <v>177</v>
      </c>
      <c r="K1731" s="96" t="s">
        <v>246</v>
      </c>
      <c r="L1731">
        <v>45</v>
      </c>
      <c r="M1731" t="s">
        <v>24</v>
      </c>
      <c r="N1731" t="s">
        <v>181</v>
      </c>
      <c r="O1731" t="s">
        <v>170</v>
      </c>
      <c r="P1731">
        <v>2025</v>
      </c>
    </row>
    <row r="1732" spans="1:16" x14ac:dyDescent="0.25">
      <c r="A1732" s="96" t="s">
        <v>2</v>
      </c>
      <c r="B1732" s="96" t="s">
        <v>305</v>
      </c>
      <c r="C1732" s="96" t="s">
        <v>1749</v>
      </c>
      <c r="D1732" s="96" t="s">
        <v>14</v>
      </c>
      <c r="E1732" s="43">
        <v>46145</v>
      </c>
      <c r="F1732" s="43">
        <v>46150</v>
      </c>
      <c r="G1732" s="96" t="s">
        <v>92</v>
      </c>
      <c r="H1732" s="96" t="s">
        <v>5289</v>
      </c>
      <c r="I1732" s="96" t="s">
        <v>228</v>
      </c>
      <c r="J1732" s="96" t="s">
        <v>229</v>
      </c>
      <c r="K1732" s="96" t="s">
        <v>217</v>
      </c>
      <c r="L1732">
        <v>5</v>
      </c>
      <c r="M1732" t="s">
        <v>11</v>
      </c>
      <c r="N1732" t="s">
        <v>183</v>
      </c>
      <c r="O1732" t="s">
        <v>170</v>
      </c>
      <c r="P1732">
        <v>2026</v>
      </c>
    </row>
    <row r="1733" spans="1:16" hidden="1" x14ac:dyDescent="0.25">
      <c r="A1733" s="96" t="s">
        <v>2</v>
      </c>
      <c r="B1733" s="96" t="s">
        <v>264</v>
      </c>
      <c r="C1733" s="96" t="s">
        <v>1750</v>
      </c>
      <c r="D1733" s="96" t="s">
        <v>192</v>
      </c>
      <c r="E1733" s="43">
        <v>45994</v>
      </c>
      <c r="F1733" s="43">
        <v>46002</v>
      </c>
      <c r="G1733" s="96" t="s">
        <v>92</v>
      </c>
      <c r="H1733" s="96" t="s">
        <v>1694</v>
      </c>
      <c r="I1733" s="96" t="s">
        <v>228</v>
      </c>
      <c r="J1733" s="96" t="s">
        <v>98</v>
      </c>
      <c r="K1733" s="96" t="s">
        <v>205</v>
      </c>
      <c r="L1733">
        <v>8</v>
      </c>
      <c r="M1733" t="s">
        <v>15</v>
      </c>
      <c r="N1733" t="s">
        <v>25</v>
      </c>
      <c r="O1733" t="s">
        <v>152</v>
      </c>
      <c r="P1733">
        <v>2025</v>
      </c>
    </row>
    <row r="1734" spans="1:16" hidden="1" x14ac:dyDescent="0.25">
      <c r="A1734" s="96" t="s">
        <v>2</v>
      </c>
      <c r="B1734" s="96" t="s">
        <v>257</v>
      </c>
      <c r="C1734" s="96" t="s">
        <v>1751</v>
      </c>
      <c r="D1734" s="96" t="s">
        <v>14</v>
      </c>
      <c r="E1734" s="43">
        <v>45911</v>
      </c>
      <c r="F1734" s="43">
        <v>45963</v>
      </c>
      <c r="G1734" s="96" t="s">
        <v>92</v>
      </c>
      <c r="H1734" s="96" t="s">
        <v>1696</v>
      </c>
      <c r="I1734" s="96" t="s">
        <v>194</v>
      </c>
      <c r="J1734" s="96" t="s">
        <v>91</v>
      </c>
      <c r="K1734" s="96" t="s">
        <v>195</v>
      </c>
      <c r="L1734">
        <v>52</v>
      </c>
      <c r="M1734" t="s">
        <v>24</v>
      </c>
      <c r="N1734" t="s">
        <v>12</v>
      </c>
      <c r="O1734" t="s">
        <v>151</v>
      </c>
      <c r="P1734">
        <v>2025</v>
      </c>
    </row>
    <row r="1735" spans="1:16" hidden="1" x14ac:dyDescent="0.25">
      <c r="A1735" s="96" t="s">
        <v>2</v>
      </c>
      <c r="B1735" s="96" t="s">
        <v>322</v>
      </c>
      <c r="C1735" s="96" t="s">
        <v>5290</v>
      </c>
      <c r="D1735" s="96" t="s">
        <v>208</v>
      </c>
      <c r="E1735" s="43">
        <v>45974</v>
      </c>
      <c r="F1735" s="43">
        <v>46094</v>
      </c>
      <c r="G1735" s="96" t="s">
        <v>95</v>
      </c>
      <c r="H1735" s="96" t="s">
        <v>5291</v>
      </c>
      <c r="I1735" s="96" t="s">
        <v>228</v>
      </c>
      <c r="J1735" s="96" t="s">
        <v>283</v>
      </c>
      <c r="K1735" s="96" t="s">
        <v>200</v>
      </c>
      <c r="L1735">
        <v>120</v>
      </c>
      <c r="M1735" t="s">
        <v>28</v>
      </c>
      <c r="N1735" t="s">
        <v>20</v>
      </c>
      <c r="O1735" t="s">
        <v>150</v>
      </c>
      <c r="P1735">
        <v>2025</v>
      </c>
    </row>
    <row r="1736" spans="1:16" x14ac:dyDescent="0.25">
      <c r="A1736" s="96" t="s">
        <v>2</v>
      </c>
      <c r="B1736" s="96" t="s">
        <v>302</v>
      </c>
      <c r="C1736" s="96" t="s">
        <v>1752</v>
      </c>
      <c r="D1736" s="96" t="s">
        <v>34</v>
      </c>
      <c r="E1736" s="43">
        <v>46128</v>
      </c>
      <c r="F1736" s="43">
        <v>46148</v>
      </c>
      <c r="G1736" s="96" t="s">
        <v>92</v>
      </c>
      <c r="H1736" s="96" t="s">
        <v>5292</v>
      </c>
      <c r="I1736" s="96" t="s">
        <v>225</v>
      </c>
      <c r="J1736" s="96" t="s">
        <v>174</v>
      </c>
      <c r="K1736" s="96" t="s">
        <v>210</v>
      </c>
      <c r="L1736">
        <v>20</v>
      </c>
      <c r="M1736" t="s">
        <v>19</v>
      </c>
      <c r="N1736" t="s">
        <v>37</v>
      </c>
      <c r="O1736" t="s">
        <v>150</v>
      </c>
      <c r="P1736">
        <v>2026</v>
      </c>
    </row>
    <row r="1737" spans="1:16" hidden="1" x14ac:dyDescent="0.25">
      <c r="A1737" s="96" t="s">
        <v>2</v>
      </c>
      <c r="B1737" s="96" t="s">
        <v>257</v>
      </c>
      <c r="C1737" s="96" t="s">
        <v>1753</v>
      </c>
      <c r="D1737" s="96" t="s">
        <v>215</v>
      </c>
      <c r="E1737" s="43">
        <v>45825</v>
      </c>
      <c r="F1737" s="43">
        <v>45906</v>
      </c>
      <c r="G1737" s="96" t="s">
        <v>92</v>
      </c>
      <c r="H1737" s="96" t="s">
        <v>5293</v>
      </c>
      <c r="I1737" s="96" t="s">
        <v>204</v>
      </c>
      <c r="J1737" s="96" t="s">
        <v>177</v>
      </c>
      <c r="K1737" s="96" t="s">
        <v>200</v>
      </c>
      <c r="L1737">
        <v>81</v>
      </c>
      <c r="M1737" t="s">
        <v>28</v>
      </c>
      <c r="N1737" t="s">
        <v>184</v>
      </c>
      <c r="O1737" t="s">
        <v>151</v>
      </c>
      <c r="P1737">
        <v>2025</v>
      </c>
    </row>
    <row r="1738" spans="1:16" hidden="1" x14ac:dyDescent="0.25">
      <c r="A1738" s="96" t="s">
        <v>2</v>
      </c>
      <c r="B1738" s="96" t="s">
        <v>211</v>
      </c>
      <c r="C1738" s="96" t="s">
        <v>1754</v>
      </c>
      <c r="D1738" s="96" t="s">
        <v>40</v>
      </c>
      <c r="E1738" s="43">
        <v>45897</v>
      </c>
      <c r="F1738" s="43">
        <v>45955</v>
      </c>
      <c r="G1738" s="96" t="s">
        <v>90</v>
      </c>
      <c r="H1738" s="96" t="s">
        <v>5294</v>
      </c>
      <c r="I1738" s="96" t="s">
        <v>9</v>
      </c>
      <c r="J1738" s="96" t="s">
        <v>169</v>
      </c>
      <c r="K1738" s="96" t="s">
        <v>210</v>
      </c>
      <c r="L1738">
        <v>58</v>
      </c>
      <c r="M1738" t="s">
        <v>24</v>
      </c>
      <c r="N1738" t="s">
        <v>8</v>
      </c>
      <c r="O1738" t="s">
        <v>170</v>
      </c>
      <c r="P1738">
        <v>2025</v>
      </c>
    </row>
    <row r="1739" spans="1:16" x14ac:dyDescent="0.25">
      <c r="A1739" s="96" t="s">
        <v>2</v>
      </c>
      <c r="B1739" s="96" t="s">
        <v>201</v>
      </c>
      <c r="C1739" s="96" t="s">
        <v>1755</v>
      </c>
      <c r="D1739" s="96" t="s">
        <v>34</v>
      </c>
      <c r="E1739" s="43">
        <v>46026</v>
      </c>
      <c r="F1739" s="43">
        <v>46070</v>
      </c>
      <c r="G1739" s="96" t="s">
        <v>92</v>
      </c>
      <c r="H1739" s="96" t="s">
        <v>5295</v>
      </c>
      <c r="I1739" s="96" t="s">
        <v>225</v>
      </c>
      <c r="J1739" s="96" t="s">
        <v>173</v>
      </c>
      <c r="K1739" s="96" t="s">
        <v>246</v>
      </c>
      <c r="L1739">
        <v>44</v>
      </c>
      <c r="M1739" t="s">
        <v>24</v>
      </c>
      <c r="N1739" t="s">
        <v>29</v>
      </c>
      <c r="O1739" t="s">
        <v>170</v>
      </c>
      <c r="P1739">
        <v>2026</v>
      </c>
    </row>
    <row r="1740" spans="1:16" hidden="1" x14ac:dyDescent="0.25">
      <c r="A1740" s="96" t="s">
        <v>2</v>
      </c>
      <c r="B1740" s="96" t="s">
        <v>264</v>
      </c>
      <c r="C1740" s="96" t="s">
        <v>1756</v>
      </c>
      <c r="D1740" s="96" t="s">
        <v>215</v>
      </c>
      <c r="E1740" s="43">
        <v>45808</v>
      </c>
      <c r="F1740" s="43">
        <v>45907</v>
      </c>
      <c r="G1740" s="96" t="s">
        <v>92</v>
      </c>
      <c r="H1740" s="96" t="s">
        <v>5296</v>
      </c>
      <c r="I1740" s="96" t="s">
        <v>194</v>
      </c>
      <c r="J1740" s="96" t="s">
        <v>165</v>
      </c>
      <c r="K1740" s="96" t="s">
        <v>200</v>
      </c>
      <c r="L1740">
        <v>99</v>
      </c>
      <c r="M1740" t="s">
        <v>28</v>
      </c>
      <c r="N1740" t="s">
        <v>182</v>
      </c>
      <c r="O1740" t="s">
        <v>152</v>
      </c>
      <c r="P1740">
        <v>2025</v>
      </c>
    </row>
    <row r="1741" spans="1:16" hidden="1" x14ac:dyDescent="0.25">
      <c r="A1741" s="96" t="s">
        <v>189</v>
      </c>
      <c r="B1741" s="96" t="s">
        <v>211</v>
      </c>
      <c r="C1741" s="96" t="s">
        <v>1757</v>
      </c>
      <c r="D1741" s="96" t="s">
        <v>10</v>
      </c>
      <c r="E1741" s="43">
        <v>45811</v>
      </c>
      <c r="F1741" s="43">
        <v>45858</v>
      </c>
      <c r="G1741" s="96" t="s">
        <v>90</v>
      </c>
      <c r="H1741" s="96" t="s">
        <v>5297</v>
      </c>
      <c r="I1741" s="96" t="s">
        <v>209</v>
      </c>
      <c r="J1741" s="96" t="s">
        <v>173</v>
      </c>
      <c r="K1741" s="96" t="s">
        <v>217</v>
      </c>
      <c r="L1741">
        <v>47</v>
      </c>
      <c r="M1741" t="s">
        <v>24</v>
      </c>
      <c r="N1741" t="s">
        <v>184</v>
      </c>
      <c r="O1741" t="s">
        <v>170</v>
      </c>
      <c r="P1741">
        <v>2025</v>
      </c>
    </row>
    <row r="1742" spans="1:16" hidden="1" x14ac:dyDescent="0.25">
      <c r="A1742" s="96" t="s">
        <v>175</v>
      </c>
      <c r="B1742" s="96" t="s">
        <v>213</v>
      </c>
      <c r="C1742" s="96" t="s">
        <v>1758</v>
      </c>
      <c r="D1742" s="96" t="s">
        <v>10</v>
      </c>
      <c r="E1742" s="43">
        <v>45981</v>
      </c>
      <c r="F1742" s="43">
        <v>46057</v>
      </c>
      <c r="G1742" s="96" t="s">
        <v>92</v>
      </c>
      <c r="H1742" s="96" t="s">
        <v>5298</v>
      </c>
      <c r="I1742" s="96" t="s">
        <v>194</v>
      </c>
      <c r="J1742" s="96" t="s">
        <v>165</v>
      </c>
      <c r="K1742" s="96" t="s">
        <v>195</v>
      </c>
      <c r="L1742">
        <v>76</v>
      </c>
      <c r="M1742" t="s">
        <v>28</v>
      </c>
      <c r="N1742" t="s">
        <v>20</v>
      </c>
      <c r="O1742" t="s">
        <v>149</v>
      </c>
      <c r="P1742">
        <v>2025</v>
      </c>
    </row>
    <row r="1743" spans="1:16" x14ac:dyDescent="0.25">
      <c r="A1743" s="96" t="s">
        <v>2</v>
      </c>
      <c r="B1743" s="96" t="s">
        <v>288</v>
      </c>
      <c r="C1743" s="96" t="s">
        <v>1759</v>
      </c>
      <c r="D1743" s="96" t="s">
        <v>14</v>
      </c>
      <c r="E1743" s="43">
        <v>46147</v>
      </c>
      <c r="F1743" s="43">
        <v>46147</v>
      </c>
      <c r="G1743" s="96" t="s">
        <v>95</v>
      </c>
      <c r="H1743" s="96" t="s">
        <v>5299</v>
      </c>
      <c r="I1743" s="96" t="s">
        <v>204</v>
      </c>
      <c r="J1743" s="96" t="s">
        <v>165</v>
      </c>
      <c r="K1743" s="96" t="s">
        <v>205</v>
      </c>
      <c r="L1743">
        <v>0</v>
      </c>
      <c r="M1743" t="s">
        <v>11</v>
      </c>
      <c r="N1743" t="s">
        <v>183</v>
      </c>
      <c r="O1743" t="s">
        <v>170</v>
      </c>
      <c r="P1743">
        <v>2026</v>
      </c>
    </row>
    <row r="1744" spans="1:16" x14ac:dyDescent="0.25">
      <c r="A1744" s="96" t="s">
        <v>2</v>
      </c>
      <c r="B1744" s="96" t="s">
        <v>317</v>
      </c>
      <c r="C1744" s="96" t="s">
        <v>5300</v>
      </c>
      <c r="D1744" s="96" t="s">
        <v>215</v>
      </c>
      <c r="E1744" s="43">
        <v>46049</v>
      </c>
      <c r="F1744" s="43">
        <v>46064</v>
      </c>
      <c r="G1744" s="96" t="s">
        <v>95</v>
      </c>
      <c r="H1744" s="96" t="s">
        <v>5301</v>
      </c>
      <c r="I1744" s="96" t="s">
        <v>225</v>
      </c>
      <c r="J1744" s="96" t="s">
        <v>174</v>
      </c>
      <c r="K1744" s="96" t="s">
        <v>233</v>
      </c>
      <c r="L1744">
        <v>15</v>
      </c>
      <c r="M1744" t="s">
        <v>19</v>
      </c>
      <c r="N1744" t="s">
        <v>29</v>
      </c>
      <c r="O1744" t="s">
        <v>170</v>
      </c>
      <c r="P1744">
        <v>2026</v>
      </c>
    </row>
    <row r="1745" spans="1:16" hidden="1" x14ac:dyDescent="0.25">
      <c r="A1745" s="96" t="s">
        <v>2</v>
      </c>
      <c r="B1745" s="96" t="s">
        <v>213</v>
      </c>
      <c r="C1745" s="96" t="s">
        <v>5302</v>
      </c>
      <c r="D1745" s="96" t="s">
        <v>10</v>
      </c>
      <c r="E1745" s="43">
        <v>45958</v>
      </c>
      <c r="F1745" s="43">
        <v>46044</v>
      </c>
      <c r="G1745" s="96" t="s">
        <v>92</v>
      </c>
      <c r="H1745" s="96" t="s">
        <v>5303</v>
      </c>
      <c r="I1745" s="96" t="s">
        <v>228</v>
      </c>
      <c r="J1745" s="96" t="s">
        <v>168</v>
      </c>
      <c r="K1745" s="96" t="s">
        <v>195</v>
      </c>
      <c r="L1745">
        <v>86</v>
      </c>
      <c r="M1745" t="s">
        <v>28</v>
      </c>
      <c r="N1745" t="s">
        <v>16</v>
      </c>
      <c r="O1745" t="s">
        <v>149</v>
      </c>
      <c r="P1745">
        <v>2025</v>
      </c>
    </row>
    <row r="1746" spans="1:16" x14ac:dyDescent="0.25">
      <c r="A1746" s="96" t="s">
        <v>175</v>
      </c>
      <c r="B1746" s="96" t="s">
        <v>269</v>
      </c>
      <c r="C1746" s="96" t="s">
        <v>1760</v>
      </c>
      <c r="D1746" s="96" t="s">
        <v>10</v>
      </c>
      <c r="E1746" s="43">
        <v>46121</v>
      </c>
      <c r="F1746" s="43">
        <v>46151</v>
      </c>
      <c r="G1746" s="96" t="s">
        <v>92</v>
      </c>
      <c r="H1746" s="96" t="s">
        <v>5304</v>
      </c>
      <c r="I1746" s="96" t="s">
        <v>225</v>
      </c>
      <c r="J1746" s="96" t="s">
        <v>199</v>
      </c>
      <c r="K1746" s="96" t="s">
        <v>230</v>
      </c>
      <c r="L1746">
        <v>30</v>
      </c>
      <c r="M1746" t="s">
        <v>19</v>
      </c>
      <c r="N1746" t="s">
        <v>37</v>
      </c>
      <c r="O1746" t="s">
        <v>152</v>
      </c>
      <c r="P1746">
        <v>2026</v>
      </c>
    </row>
    <row r="1747" spans="1:16" x14ac:dyDescent="0.25">
      <c r="A1747" s="96" t="s">
        <v>2</v>
      </c>
      <c r="B1747" s="96" t="s">
        <v>196</v>
      </c>
      <c r="C1747" s="96" t="s">
        <v>1761</v>
      </c>
      <c r="D1747" s="96" t="s">
        <v>223</v>
      </c>
      <c r="E1747" s="43">
        <v>46113</v>
      </c>
      <c r="F1747" s="43">
        <v>46148</v>
      </c>
      <c r="G1747" s="96" t="s">
        <v>95</v>
      </c>
      <c r="H1747" s="96" t="s">
        <v>5305</v>
      </c>
      <c r="I1747" s="96" t="s">
        <v>209</v>
      </c>
      <c r="J1747" s="96" t="s">
        <v>216</v>
      </c>
      <c r="K1747" s="96" t="s">
        <v>230</v>
      </c>
      <c r="L1747">
        <v>35</v>
      </c>
      <c r="M1747" t="s">
        <v>24</v>
      </c>
      <c r="N1747" t="s">
        <v>37</v>
      </c>
      <c r="O1747" t="s">
        <v>152</v>
      </c>
      <c r="P1747">
        <v>2026</v>
      </c>
    </row>
    <row r="1748" spans="1:16" x14ac:dyDescent="0.25">
      <c r="A1748" s="96" t="s">
        <v>2</v>
      </c>
      <c r="B1748" s="96" t="s">
        <v>305</v>
      </c>
      <c r="C1748" s="96" t="s">
        <v>1762</v>
      </c>
      <c r="D1748" s="96" t="s">
        <v>40</v>
      </c>
      <c r="E1748" s="43">
        <v>46139</v>
      </c>
      <c r="F1748" s="43">
        <v>46149</v>
      </c>
      <c r="G1748" s="96" t="s">
        <v>95</v>
      </c>
      <c r="H1748" s="96" t="s">
        <v>1704</v>
      </c>
      <c r="I1748" s="96" t="s">
        <v>228</v>
      </c>
      <c r="J1748" s="96" t="s">
        <v>169</v>
      </c>
      <c r="K1748" s="96" t="s">
        <v>246</v>
      </c>
      <c r="L1748">
        <v>10</v>
      </c>
      <c r="M1748" t="s">
        <v>15</v>
      </c>
      <c r="N1748" t="s">
        <v>37</v>
      </c>
      <c r="O1748" t="s">
        <v>170</v>
      </c>
      <c r="P1748">
        <v>2026</v>
      </c>
    </row>
    <row r="1749" spans="1:16" hidden="1" x14ac:dyDescent="0.25">
      <c r="A1749" s="96" t="s">
        <v>2</v>
      </c>
      <c r="B1749" s="96" t="s">
        <v>240</v>
      </c>
      <c r="C1749" s="96" t="s">
        <v>5306</v>
      </c>
      <c r="D1749" s="96" t="s">
        <v>223</v>
      </c>
      <c r="E1749" s="43">
        <v>45861</v>
      </c>
      <c r="F1749" s="43">
        <v>45892</v>
      </c>
      <c r="G1749" s="96" t="s">
        <v>95</v>
      </c>
      <c r="H1749" s="96" t="s">
        <v>5307</v>
      </c>
      <c r="I1749" s="96" t="s">
        <v>204</v>
      </c>
      <c r="J1749" s="96" t="s">
        <v>283</v>
      </c>
      <c r="K1749" s="96" t="s">
        <v>233</v>
      </c>
      <c r="L1749">
        <v>31</v>
      </c>
      <c r="M1749" t="s">
        <v>24</v>
      </c>
      <c r="N1749" t="s">
        <v>187</v>
      </c>
      <c r="O1749" t="s">
        <v>149</v>
      </c>
      <c r="P1749">
        <v>2025</v>
      </c>
    </row>
    <row r="1750" spans="1:16" hidden="1" x14ac:dyDescent="0.25">
      <c r="A1750" s="96" t="s">
        <v>2</v>
      </c>
      <c r="B1750" s="96" t="s">
        <v>238</v>
      </c>
      <c r="C1750" s="96" t="s">
        <v>1764</v>
      </c>
      <c r="D1750" s="96" t="s">
        <v>215</v>
      </c>
      <c r="E1750" s="43">
        <v>45945</v>
      </c>
      <c r="F1750" s="43">
        <v>45994</v>
      </c>
      <c r="G1750" s="96" t="s">
        <v>92</v>
      </c>
      <c r="H1750" s="96" t="s">
        <v>1706</v>
      </c>
      <c r="I1750" s="96" t="s">
        <v>194</v>
      </c>
      <c r="J1750" s="96" t="s">
        <v>199</v>
      </c>
      <c r="K1750" s="96" t="s">
        <v>195</v>
      </c>
      <c r="L1750">
        <v>49</v>
      </c>
      <c r="M1750" t="s">
        <v>24</v>
      </c>
      <c r="N1750" t="s">
        <v>16</v>
      </c>
      <c r="O1750" t="s">
        <v>170</v>
      </c>
      <c r="P1750">
        <v>2025</v>
      </c>
    </row>
    <row r="1751" spans="1:16" x14ac:dyDescent="0.25">
      <c r="A1751" s="96" t="s">
        <v>2</v>
      </c>
      <c r="B1751" s="96" t="s">
        <v>219</v>
      </c>
      <c r="C1751" s="96" t="s">
        <v>5308</v>
      </c>
      <c r="D1751" s="96" t="s">
        <v>223</v>
      </c>
      <c r="E1751" s="43">
        <v>46139</v>
      </c>
      <c r="F1751" s="43">
        <v>46148</v>
      </c>
      <c r="G1751" s="96" t="s">
        <v>95</v>
      </c>
      <c r="H1751" s="96" t="s">
        <v>1708</v>
      </c>
      <c r="I1751" s="96" t="s">
        <v>228</v>
      </c>
      <c r="J1751" s="96" t="s">
        <v>96</v>
      </c>
      <c r="K1751" s="96" t="s">
        <v>205</v>
      </c>
      <c r="L1751">
        <v>9</v>
      </c>
      <c r="M1751" t="s">
        <v>15</v>
      </c>
      <c r="N1751" t="s">
        <v>37</v>
      </c>
      <c r="O1751" t="s">
        <v>149</v>
      </c>
      <c r="P1751">
        <v>2026</v>
      </c>
    </row>
    <row r="1752" spans="1:16" x14ac:dyDescent="0.25">
      <c r="A1752" s="96" t="s">
        <v>2</v>
      </c>
      <c r="B1752" s="96" t="s">
        <v>317</v>
      </c>
      <c r="C1752" s="96" t="s">
        <v>5309</v>
      </c>
      <c r="D1752" s="96" t="s">
        <v>192</v>
      </c>
      <c r="E1752" s="43">
        <v>46032</v>
      </c>
      <c r="F1752" s="43">
        <v>46089</v>
      </c>
      <c r="G1752" s="96" t="s">
        <v>90</v>
      </c>
      <c r="H1752" s="96" t="s">
        <v>5310</v>
      </c>
      <c r="I1752" s="96" t="s">
        <v>209</v>
      </c>
      <c r="J1752" s="96" t="s">
        <v>283</v>
      </c>
      <c r="K1752" s="96" t="s">
        <v>195</v>
      </c>
      <c r="L1752">
        <v>57</v>
      </c>
      <c r="M1752" t="s">
        <v>24</v>
      </c>
      <c r="N1752" t="s">
        <v>29</v>
      </c>
      <c r="O1752" t="s">
        <v>170</v>
      </c>
      <c r="P1752">
        <v>2026</v>
      </c>
    </row>
    <row r="1753" spans="1:16" x14ac:dyDescent="0.25">
      <c r="A1753" s="96" t="s">
        <v>2</v>
      </c>
      <c r="B1753" s="96" t="s">
        <v>374</v>
      </c>
      <c r="C1753" s="96" t="s">
        <v>1766</v>
      </c>
      <c r="D1753" s="96" t="s">
        <v>192</v>
      </c>
      <c r="E1753" s="43">
        <v>46094</v>
      </c>
      <c r="F1753" s="43">
        <v>46151</v>
      </c>
      <c r="G1753" s="96" t="s">
        <v>92</v>
      </c>
      <c r="H1753" s="96" t="s">
        <v>5311</v>
      </c>
      <c r="I1753" s="96" t="s">
        <v>194</v>
      </c>
      <c r="J1753" s="96" t="s">
        <v>93</v>
      </c>
      <c r="K1753" s="96" t="s">
        <v>230</v>
      </c>
      <c r="L1753">
        <v>57</v>
      </c>
      <c r="M1753" t="s">
        <v>24</v>
      </c>
      <c r="N1753" t="s">
        <v>35</v>
      </c>
      <c r="O1753" t="s">
        <v>150</v>
      </c>
      <c r="P1753">
        <v>2026</v>
      </c>
    </row>
    <row r="1754" spans="1:16" hidden="1" x14ac:dyDescent="0.25">
      <c r="A1754" s="96" t="s">
        <v>2</v>
      </c>
      <c r="B1754" s="96" t="s">
        <v>190</v>
      </c>
      <c r="C1754" s="96" t="s">
        <v>1767</v>
      </c>
      <c r="D1754" s="96" t="s">
        <v>192</v>
      </c>
      <c r="E1754" s="43">
        <v>46006</v>
      </c>
      <c r="F1754" s="43">
        <v>46010</v>
      </c>
      <c r="G1754" s="96" t="s">
        <v>90</v>
      </c>
      <c r="H1754" s="96" t="s">
        <v>1710</v>
      </c>
      <c r="I1754" s="96" t="s">
        <v>209</v>
      </c>
      <c r="J1754" s="96" t="s">
        <v>229</v>
      </c>
      <c r="K1754" s="96" t="s">
        <v>217</v>
      </c>
      <c r="L1754">
        <v>4</v>
      </c>
      <c r="M1754" t="s">
        <v>11</v>
      </c>
      <c r="N1754" t="s">
        <v>25</v>
      </c>
      <c r="O1754" t="s">
        <v>150</v>
      </c>
      <c r="P1754">
        <v>2025</v>
      </c>
    </row>
    <row r="1755" spans="1:16" hidden="1" x14ac:dyDescent="0.25">
      <c r="A1755" s="96" t="s">
        <v>171</v>
      </c>
      <c r="B1755" s="96" t="s">
        <v>257</v>
      </c>
      <c r="C1755" s="96" t="s">
        <v>1769</v>
      </c>
      <c r="D1755" s="96" t="s">
        <v>215</v>
      </c>
      <c r="E1755" s="43">
        <v>45836</v>
      </c>
      <c r="F1755" s="43">
        <v>45864</v>
      </c>
      <c r="G1755" s="96" t="s">
        <v>92</v>
      </c>
      <c r="H1755" s="96" t="s">
        <v>1712</v>
      </c>
      <c r="I1755" s="96" t="s">
        <v>9</v>
      </c>
      <c r="J1755" s="96" t="s">
        <v>93</v>
      </c>
      <c r="K1755" s="96" t="s">
        <v>205</v>
      </c>
      <c r="L1755">
        <v>28</v>
      </c>
      <c r="M1755" t="s">
        <v>19</v>
      </c>
      <c r="N1755" t="s">
        <v>184</v>
      </c>
      <c r="O1755" t="s">
        <v>151</v>
      </c>
      <c r="P1755">
        <v>2025</v>
      </c>
    </row>
    <row r="1756" spans="1:16" x14ac:dyDescent="0.25">
      <c r="A1756" s="96" t="s">
        <v>2</v>
      </c>
      <c r="B1756" s="96" t="s">
        <v>244</v>
      </c>
      <c r="C1756" s="96" t="s">
        <v>5312</v>
      </c>
      <c r="D1756" s="96" t="s">
        <v>203</v>
      </c>
      <c r="E1756" s="43">
        <v>46100</v>
      </c>
      <c r="F1756" s="43">
        <v>46148</v>
      </c>
      <c r="G1756" s="96" t="s">
        <v>90</v>
      </c>
      <c r="H1756" s="96" t="s">
        <v>1714</v>
      </c>
      <c r="I1756" s="96" t="s">
        <v>157</v>
      </c>
      <c r="J1756" s="96" t="s">
        <v>97</v>
      </c>
      <c r="K1756" s="96" t="s">
        <v>157</v>
      </c>
      <c r="L1756">
        <v>48</v>
      </c>
      <c r="M1756" t="s">
        <v>24</v>
      </c>
      <c r="N1756" t="s">
        <v>35</v>
      </c>
      <c r="O1756" t="s">
        <v>150</v>
      </c>
      <c r="P1756">
        <v>2026</v>
      </c>
    </row>
    <row r="1757" spans="1:16" hidden="1" x14ac:dyDescent="0.25">
      <c r="A1757" s="96" t="s">
        <v>21</v>
      </c>
      <c r="B1757" s="96" t="s">
        <v>190</v>
      </c>
      <c r="C1757" s="96" t="s">
        <v>1770</v>
      </c>
      <c r="D1757" s="96" t="s">
        <v>14</v>
      </c>
      <c r="E1757" s="43">
        <v>45826</v>
      </c>
      <c r="F1757" s="43">
        <v>45911</v>
      </c>
      <c r="G1757" s="96" t="s">
        <v>90</v>
      </c>
      <c r="H1757" s="96" t="s">
        <v>1715</v>
      </c>
      <c r="I1757" s="96" t="s">
        <v>204</v>
      </c>
      <c r="J1757" s="96" t="s">
        <v>165</v>
      </c>
      <c r="K1757" s="96" t="s">
        <v>205</v>
      </c>
      <c r="L1757">
        <v>85</v>
      </c>
      <c r="M1757" t="s">
        <v>28</v>
      </c>
      <c r="N1757" t="s">
        <v>184</v>
      </c>
      <c r="O1757" t="s">
        <v>150</v>
      </c>
      <c r="P1757">
        <v>2025</v>
      </c>
    </row>
    <row r="1758" spans="1:16" hidden="1" x14ac:dyDescent="0.25">
      <c r="A1758" s="96" t="s">
        <v>2</v>
      </c>
      <c r="B1758" s="96" t="s">
        <v>255</v>
      </c>
      <c r="C1758" s="96" t="s">
        <v>1771</v>
      </c>
      <c r="D1758" s="96" t="s">
        <v>237</v>
      </c>
      <c r="E1758" s="43">
        <v>45902</v>
      </c>
      <c r="F1758" s="43">
        <v>46014</v>
      </c>
      <c r="G1758" s="96" t="s">
        <v>92</v>
      </c>
      <c r="H1758" s="96" t="s">
        <v>5313</v>
      </c>
      <c r="I1758" s="96" t="s">
        <v>225</v>
      </c>
      <c r="J1758" s="96" t="s">
        <v>174</v>
      </c>
      <c r="K1758" s="96" t="s">
        <v>195</v>
      </c>
      <c r="L1758">
        <v>112</v>
      </c>
      <c r="M1758" t="s">
        <v>28</v>
      </c>
      <c r="N1758" t="s">
        <v>12</v>
      </c>
      <c r="O1758" t="s">
        <v>150</v>
      </c>
      <c r="P1758">
        <v>2025</v>
      </c>
    </row>
    <row r="1759" spans="1:16" hidden="1" x14ac:dyDescent="0.25">
      <c r="A1759" s="96" t="s">
        <v>189</v>
      </c>
      <c r="B1759" s="96" t="s">
        <v>231</v>
      </c>
      <c r="C1759" s="96" t="s">
        <v>1772</v>
      </c>
      <c r="D1759" s="96" t="s">
        <v>40</v>
      </c>
      <c r="E1759" s="43">
        <v>45958</v>
      </c>
      <c r="F1759" s="43">
        <v>46030</v>
      </c>
      <c r="G1759" s="96" t="s">
        <v>92</v>
      </c>
      <c r="H1759" s="96" t="s">
        <v>5314</v>
      </c>
      <c r="I1759" s="96" t="s">
        <v>194</v>
      </c>
      <c r="J1759" s="96" t="s">
        <v>91</v>
      </c>
      <c r="K1759" s="96" t="s">
        <v>157</v>
      </c>
      <c r="L1759">
        <v>72</v>
      </c>
      <c r="M1759" t="s">
        <v>28</v>
      </c>
      <c r="N1759" t="s">
        <v>16</v>
      </c>
      <c r="O1759" t="s">
        <v>170</v>
      </c>
      <c r="P1759">
        <v>2025</v>
      </c>
    </row>
    <row r="1760" spans="1:16" hidden="1" x14ac:dyDescent="0.25">
      <c r="A1760" s="96" t="s">
        <v>2</v>
      </c>
      <c r="B1760" s="96" t="s">
        <v>213</v>
      </c>
      <c r="C1760" s="96" t="s">
        <v>1773</v>
      </c>
      <c r="D1760" s="96" t="s">
        <v>208</v>
      </c>
      <c r="E1760" s="43">
        <v>45887</v>
      </c>
      <c r="F1760" s="43">
        <v>45889</v>
      </c>
      <c r="G1760" s="96" t="s">
        <v>90</v>
      </c>
      <c r="H1760" s="96" t="s">
        <v>5315</v>
      </c>
      <c r="I1760" s="96" t="s">
        <v>9</v>
      </c>
      <c r="J1760" s="96" t="s">
        <v>94</v>
      </c>
      <c r="K1760" s="96" t="s">
        <v>205</v>
      </c>
      <c r="L1760">
        <v>2</v>
      </c>
      <c r="M1760" t="s">
        <v>11</v>
      </c>
      <c r="N1760" t="s">
        <v>8</v>
      </c>
      <c r="O1760" t="s">
        <v>149</v>
      </c>
      <c r="P1760">
        <v>2025</v>
      </c>
    </row>
    <row r="1761" spans="1:16" x14ac:dyDescent="0.25">
      <c r="A1761" s="96" t="s">
        <v>2</v>
      </c>
      <c r="B1761" s="96" t="s">
        <v>374</v>
      </c>
      <c r="C1761" s="96" t="s">
        <v>5316</v>
      </c>
      <c r="D1761" s="96" t="s">
        <v>208</v>
      </c>
      <c r="E1761" s="43">
        <v>46145</v>
      </c>
      <c r="F1761" s="43">
        <v>46150</v>
      </c>
      <c r="G1761" s="96" t="s">
        <v>90</v>
      </c>
      <c r="H1761" s="96" t="s">
        <v>5317</v>
      </c>
      <c r="I1761" s="96" t="s">
        <v>209</v>
      </c>
      <c r="J1761" s="96" t="s">
        <v>93</v>
      </c>
      <c r="K1761" s="96" t="s">
        <v>205</v>
      </c>
      <c r="L1761">
        <v>5</v>
      </c>
      <c r="M1761" t="s">
        <v>11</v>
      </c>
      <c r="N1761" t="s">
        <v>183</v>
      </c>
      <c r="O1761" t="s">
        <v>150</v>
      </c>
      <c r="P1761">
        <v>2026</v>
      </c>
    </row>
    <row r="1762" spans="1:16" hidden="1" x14ac:dyDescent="0.25">
      <c r="A1762" s="96" t="s">
        <v>2</v>
      </c>
      <c r="B1762" s="96" t="s">
        <v>264</v>
      </c>
      <c r="C1762" s="96" t="s">
        <v>1777</v>
      </c>
      <c r="D1762" s="96" t="s">
        <v>14</v>
      </c>
      <c r="E1762" s="43">
        <v>45869</v>
      </c>
      <c r="F1762" s="43">
        <v>45979</v>
      </c>
      <c r="G1762" s="96" t="s">
        <v>92</v>
      </c>
      <c r="H1762" s="96" t="s">
        <v>5318</v>
      </c>
      <c r="I1762" s="96" t="s">
        <v>157</v>
      </c>
      <c r="J1762" s="96" t="s">
        <v>169</v>
      </c>
      <c r="K1762" s="96" t="s">
        <v>157</v>
      </c>
      <c r="L1762">
        <v>110</v>
      </c>
      <c r="M1762" t="s">
        <v>28</v>
      </c>
      <c r="N1762" t="s">
        <v>187</v>
      </c>
      <c r="O1762" t="s">
        <v>152</v>
      </c>
      <c r="P1762">
        <v>2025</v>
      </c>
    </row>
    <row r="1763" spans="1:16" hidden="1" x14ac:dyDescent="0.25">
      <c r="A1763" s="96" t="s">
        <v>2</v>
      </c>
      <c r="B1763" s="96" t="s">
        <v>322</v>
      </c>
      <c r="C1763" s="96" t="s">
        <v>5319</v>
      </c>
      <c r="D1763" s="96" t="s">
        <v>192</v>
      </c>
      <c r="E1763" s="43">
        <v>45979</v>
      </c>
      <c r="F1763" s="43">
        <v>46071</v>
      </c>
      <c r="G1763" s="96" t="s">
        <v>92</v>
      </c>
      <c r="H1763" s="96" t="s">
        <v>5320</v>
      </c>
      <c r="I1763" s="96" t="s">
        <v>225</v>
      </c>
      <c r="J1763" s="96" t="s">
        <v>283</v>
      </c>
      <c r="K1763" s="96" t="s">
        <v>157</v>
      </c>
      <c r="L1763">
        <v>92</v>
      </c>
      <c r="M1763" t="s">
        <v>28</v>
      </c>
      <c r="N1763" t="s">
        <v>20</v>
      </c>
      <c r="O1763" t="s">
        <v>150</v>
      </c>
      <c r="P1763">
        <v>2025</v>
      </c>
    </row>
    <row r="1764" spans="1:16" hidden="1" x14ac:dyDescent="0.25">
      <c r="A1764" s="96" t="s">
        <v>2</v>
      </c>
      <c r="B1764" s="96" t="s">
        <v>255</v>
      </c>
      <c r="C1764" s="96" t="s">
        <v>1780</v>
      </c>
      <c r="D1764" s="96" t="s">
        <v>208</v>
      </c>
      <c r="E1764" s="43">
        <v>45774</v>
      </c>
      <c r="F1764" s="43">
        <v>45859</v>
      </c>
      <c r="G1764" s="96" t="s">
        <v>90</v>
      </c>
      <c r="H1764" s="96" t="s">
        <v>5321</v>
      </c>
      <c r="I1764" s="96" t="s">
        <v>9</v>
      </c>
      <c r="J1764" s="96" t="s">
        <v>229</v>
      </c>
      <c r="K1764" s="96" t="s">
        <v>217</v>
      </c>
      <c r="L1764">
        <v>85</v>
      </c>
      <c r="M1764" t="s">
        <v>28</v>
      </c>
      <c r="N1764" t="s">
        <v>185</v>
      </c>
      <c r="O1764" t="s">
        <v>150</v>
      </c>
      <c r="P1764">
        <v>2025</v>
      </c>
    </row>
    <row r="1765" spans="1:16" x14ac:dyDescent="0.25">
      <c r="A1765" s="96" t="s">
        <v>2</v>
      </c>
      <c r="B1765" s="96" t="s">
        <v>249</v>
      </c>
      <c r="C1765" s="96" t="s">
        <v>5322</v>
      </c>
      <c r="D1765" s="96" t="s">
        <v>34</v>
      </c>
      <c r="E1765" s="43">
        <v>46084</v>
      </c>
      <c r="F1765" s="43">
        <v>46144</v>
      </c>
      <c r="G1765" s="96" t="s">
        <v>90</v>
      </c>
      <c r="H1765" s="96" t="s">
        <v>5323</v>
      </c>
      <c r="I1765" s="96" t="s">
        <v>204</v>
      </c>
      <c r="J1765" s="96" t="s">
        <v>229</v>
      </c>
      <c r="K1765" s="96" t="s">
        <v>217</v>
      </c>
      <c r="L1765">
        <v>60</v>
      </c>
      <c r="M1765" t="s">
        <v>24</v>
      </c>
      <c r="N1765" t="s">
        <v>35</v>
      </c>
      <c r="O1765" t="s">
        <v>170</v>
      </c>
      <c r="P1765">
        <v>2026</v>
      </c>
    </row>
    <row r="1766" spans="1:16" x14ac:dyDescent="0.25">
      <c r="A1766" s="96" t="s">
        <v>2</v>
      </c>
      <c r="B1766" s="96" t="s">
        <v>249</v>
      </c>
      <c r="C1766" s="96" t="s">
        <v>5324</v>
      </c>
      <c r="D1766" s="96" t="s">
        <v>203</v>
      </c>
      <c r="E1766" s="43">
        <v>46089</v>
      </c>
      <c r="F1766" s="43">
        <v>46128</v>
      </c>
      <c r="G1766" s="96" t="s">
        <v>92</v>
      </c>
      <c r="H1766" s="96" t="s">
        <v>5325</v>
      </c>
      <c r="I1766" s="96" t="s">
        <v>194</v>
      </c>
      <c r="J1766" s="96" t="s">
        <v>169</v>
      </c>
      <c r="K1766" s="96" t="s">
        <v>233</v>
      </c>
      <c r="L1766">
        <v>39</v>
      </c>
      <c r="M1766" t="s">
        <v>24</v>
      </c>
      <c r="N1766" t="s">
        <v>35</v>
      </c>
      <c r="O1766" t="s">
        <v>170</v>
      </c>
      <c r="P1766">
        <v>2026</v>
      </c>
    </row>
    <row r="1767" spans="1:16" x14ac:dyDescent="0.25">
      <c r="A1767" s="96" t="s">
        <v>2</v>
      </c>
      <c r="B1767" s="96" t="s">
        <v>218</v>
      </c>
      <c r="C1767" s="96" t="s">
        <v>1781</v>
      </c>
      <c r="D1767" s="96" t="s">
        <v>10</v>
      </c>
      <c r="E1767" s="43">
        <v>46052</v>
      </c>
      <c r="F1767" s="43">
        <v>46062</v>
      </c>
      <c r="G1767" s="96" t="s">
        <v>92</v>
      </c>
      <c r="H1767" s="96" t="s">
        <v>5326</v>
      </c>
      <c r="I1767" s="96" t="s">
        <v>204</v>
      </c>
      <c r="J1767" s="96" t="s">
        <v>98</v>
      </c>
      <c r="K1767" s="96" t="s">
        <v>246</v>
      </c>
      <c r="L1767">
        <v>10</v>
      </c>
      <c r="M1767" t="s">
        <v>15</v>
      </c>
      <c r="N1767" t="s">
        <v>29</v>
      </c>
      <c r="O1767" t="s">
        <v>152</v>
      </c>
      <c r="P1767">
        <v>2026</v>
      </c>
    </row>
    <row r="1768" spans="1:16" hidden="1" x14ac:dyDescent="0.25">
      <c r="A1768" s="96" t="s">
        <v>2</v>
      </c>
      <c r="B1768" s="96" t="s">
        <v>253</v>
      </c>
      <c r="C1768" s="96" t="s">
        <v>5327</v>
      </c>
      <c r="D1768" s="96" t="s">
        <v>34</v>
      </c>
      <c r="E1768" s="43">
        <v>45828</v>
      </c>
      <c r="F1768" s="43">
        <v>45869</v>
      </c>
      <c r="G1768" s="96" t="s">
        <v>90</v>
      </c>
      <c r="H1768" s="96" t="s">
        <v>5328</v>
      </c>
      <c r="I1768" s="96" t="s">
        <v>157</v>
      </c>
      <c r="J1768" s="96" t="s">
        <v>216</v>
      </c>
      <c r="K1768" s="96" t="s">
        <v>157</v>
      </c>
      <c r="L1768">
        <v>41</v>
      </c>
      <c r="M1768" t="s">
        <v>24</v>
      </c>
      <c r="N1768" t="s">
        <v>184</v>
      </c>
      <c r="O1768" t="s">
        <v>152</v>
      </c>
      <c r="P1768">
        <v>2025</v>
      </c>
    </row>
    <row r="1769" spans="1:16" hidden="1" x14ac:dyDescent="0.25">
      <c r="A1769" s="96" t="s">
        <v>2</v>
      </c>
      <c r="B1769" s="96" t="s">
        <v>255</v>
      </c>
      <c r="C1769" s="96" t="s">
        <v>1782</v>
      </c>
      <c r="D1769" s="96" t="s">
        <v>237</v>
      </c>
      <c r="E1769" s="43">
        <v>45970</v>
      </c>
      <c r="F1769" s="43">
        <v>45977</v>
      </c>
      <c r="G1769" s="96" t="s">
        <v>90</v>
      </c>
      <c r="H1769" s="96" t="s">
        <v>5329</v>
      </c>
      <c r="I1769" s="96" t="s">
        <v>225</v>
      </c>
      <c r="J1769" s="96" t="s">
        <v>93</v>
      </c>
      <c r="K1769" s="96" t="s">
        <v>210</v>
      </c>
      <c r="L1769">
        <v>7</v>
      </c>
      <c r="M1769" t="s">
        <v>11</v>
      </c>
      <c r="N1769" t="s">
        <v>20</v>
      </c>
      <c r="O1769" t="s">
        <v>150</v>
      </c>
      <c r="P1769">
        <v>2025</v>
      </c>
    </row>
    <row r="1770" spans="1:16" x14ac:dyDescent="0.25">
      <c r="A1770" s="96" t="s">
        <v>2</v>
      </c>
      <c r="B1770" s="96" t="s">
        <v>196</v>
      </c>
      <c r="C1770" s="96" t="s">
        <v>1784</v>
      </c>
      <c r="D1770" s="96" t="s">
        <v>215</v>
      </c>
      <c r="E1770" s="43">
        <v>46067</v>
      </c>
      <c r="F1770" s="43">
        <v>46147</v>
      </c>
      <c r="G1770" s="96" t="s">
        <v>92</v>
      </c>
      <c r="H1770" s="96" t="s">
        <v>5330</v>
      </c>
      <c r="I1770" s="96" t="s">
        <v>209</v>
      </c>
      <c r="J1770" s="96" t="s">
        <v>93</v>
      </c>
      <c r="K1770" s="96" t="s">
        <v>205</v>
      </c>
      <c r="L1770">
        <v>80</v>
      </c>
      <c r="M1770" t="s">
        <v>28</v>
      </c>
      <c r="N1770" t="s">
        <v>32</v>
      </c>
      <c r="O1770" t="s">
        <v>152</v>
      </c>
      <c r="P1770">
        <v>2026</v>
      </c>
    </row>
    <row r="1771" spans="1:16" hidden="1" x14ac:dyDescent="0.25">
      <c r="A1771" s="96" t="s">
        <v>2</v>
      </c>
      <c r="B1771" s="96" t="s">
        <v>238</v>
      </c>
      <c r="C1771" s="96" t="s">
        <v>1786</v>
      </c>
      <c r="D1771" s="96" t="s">
        <v>40</v>
      </c>
      <c r="E1771" s="43">
        <v>45841</v>
      </c>
      <c r="F1771" s="43">
        <v>45904</v>
      </c>
      <c r="G1771" s="96" t="s">
        <v>92</v>
      </c>
      <c r="H1771" s="96" t="s">
        <v>5331</v>
      </c>
      <c r="I1771" s="96" t="s">
        <v>209</v>
      </c>
      <c r="J1771" s="96" t="s">
        <v>93</v>
      </c>
      <c r="K1771" s="96" t="s">
        <v>230</v>
      </c>
      <c r="L1771">
        <v>63</v>
      </c>
      <c r="M1771" t="s">
        <v>28</v>
      </c>
      <c r="N1771" t="s">
        <v>187</v>
      </c>
      <c r="O1771" t="s">
        <v>170</v>
      </c>
      <c r="P1771">
        <v>2025</v>
      </c>
    </row>
    <row r="1772" spans="1:16" hidden="1" x14ac:dyDescent="0.25">
      <c r="A1772" s="96" t="s">
        <v>171</v>
      </c>
      <c r="B1772" s="96" t="s">
        <v>257</v>
      </c>
      <c r="C1772" s="96" t="s">
        <v>5332</v>
      </c>
      <c r="D1772" s="96" t="s">
        <v>215</v>
      </c>
      <c r="E1772" s="43">
        <v>45695</v>
      </c>
      <c r="F1772" s="43">
        <v>45704</v>
      </c>
      <c r="G1772" s="96" t="s">
        <v>95</v>
      </c>
      <c r="H1772" s="96" t="s">
        <v>5333</v>
      </c>
      <c r="I1772" s="96" t="s">
        <v>209</v>
      </c>
      <c r="J1772" s="96" t="s">
        <v>169</v>
      </c>
      <c r="K1772" s="96" t="s">
        <v>217</v>
      </c>
      <c r="L1772">
        <v>9</v>
      </c>
      <c r="M1772" t="s">
        <v>15</v>
      </c>
      <c r="N1772" t="s">
        <v>188</v>
      </c>
      <c r="O1772" t="s">
        <v>151</v>
      </c>
      <c r="P1772">
        <v>2025</v>
      </c>
    </row>
    <row r="1773" spans="1:16" x14ac:dyDescent="0.25">
      <c r="A1773" s="96" t="s">
        <v>2</v>
      </c>
      <c r="B1773" s="96" t="s">
        <v>226</v>
      </c>
      <c r="C1773" s="96" t="s">
        <v>1787</v>
      </c>
      <c r="D1773" s="96" t="s">
        <v>192</v>
      </c>
      <c r="E1773" s="43">
        <v>46033</v>
      </c>
      <c r="F1773" s="43">
        <v>46080</v>
      </c>
      <c r="G1773" s="96" t="s">
        <v>95</v>
      </c>
      <c r="H1773" s="96" t="s">
        <v>1727</v>
      </c>
      <c r="I1773" s="96" t="s">
        <v>225</v>
      </c>
      <c r="J1773" s="96" t="s">
        <v>168</v>
      </c>
      <c r="K1773" s="96" t="s">
        <v>157</v>
      </c>
      <c r="L1773">
        <v>47</v>
      </c>
      <c r="M1773" t="s">
        <v>24</v>
      </c>
      <c r="N1773" t="s">
        <v>29</v>
      </c>
      <c r="O1773" t="s">
        <v>151</v>
      </c>
      <c r="P1773">
        <v>2026</v>
      </c>
    </row>
    <row r="1774" spans="1:16" hidden="1" x14ac:dyDescent="0.25">
      <c r="A1774" s="96" t="s">
        <v>2</v>
      </c>
      <c r="B1774" s="96" t="s">
        <v>272</v>
      </c>
      <c r="C1774" s="96" t="s">
        <v>5334</v>
      </c>
      <c r="D1774" s="96" t="s">
        <v>34</v>
      </c>
      <c r="E1774" s="43">
        <v>45775</v>
      </c>
      <c r="F1774" s="43">
        <v>45867</v>
      </c>
      <c r="G1774" s="96" t="s">
        <v>92</v>
      </c>
      <c r="H1774" s="96" t="s">
        <v>5335</v>
      </c>
      <c r="I1774" s="96" t="s">
        <v>9</v>
      </c>
      <c r="J1774" s="96" t="s">
        <v>216</v>
      </c>
      <c r="K1774" s="96" t="s">
        <v>210</v>
      </c>
      <c r="L1774">
        <v>92</v>
      </c>
      <c r="M1774" t="s">
        <v>28</v>
      </c>
      <c r="N1774" t="s">
        <v>185</v>
      </c>
      <c r="O1774" t="s">
        <v>151</v>
      </c>
      <c r="P1774">
        <v>2025</v>
      </c>
    </row>
    <row r="1775" spans="1:16" hidden="1" x14ac:dyDescent="0.25">
      <c r="A1775" s="96" t="s">
        <v>2</v>
      </c>
      <c r="B1775" s="96" t="s">
        <v>247</v>
      </c>
      <c r="C1775" s="96" t="s">
        <v>5336</v>
      </c>
      <c r="D1775" s="96" t="s">
        <v>223</v>
      </c>
      <c r="E1775" s="43">
        <v>45878</v>
      </c>
      <c r="F1775" s="43">
        <v>45976</v>
      </c>
      <c r="G1775" s="96" t="s">
        <v>92</v>
      </c>
      <c r="H1775" s="96" t="s">
        <v>5337</v>
      </c>
      <c r="I1775" s="96" t="s">
        <v>204</v>
      </c>
      <c r="J1775" s="96" t="s">
        <v>165</v>
      </c>
      <c r="K1775" s="96" t="s">
        <v>195</v>
      </c>
      <c r="L1775">
        <v>98</v>
      </c>
      <c r="M1775" t="s">
        <v>28</v>
      </c>
      <c r="N1775" t="s">
        <v>8</v>
      </c>
      <c r="O1775" t="s">
        <v>150</v>
      </c>
      <c r="P1775">
        <v>2025</v>
      </c>
    </row>
    <row r="1776" spans="1:16" hidden="1" x14ac:dyDescent="0.25">
      <c r="A1776" s="96" t="s">
        <v>175</v>
      </c>
      <c r="B1776" s="96" t="s">
        <v>231</v>
      </c>
      <c r="C1776" s="96" t="s">
        <v>1788</v>
      </c>
      <c r="D1776" s="96" t="s">
        <v>237</v>
      </c>
      <c r="E1776" s="43">
        <v>45880</v>
      </c>
      <c r="F1776" s="43">
        <v>45979</v>
      </c>
      <c r="G1776" s="96" t="s">
        <v>92</v>
      </c>
      <c r="H1776" s="96" t="s">
        <v>5338</v>
      </c>
      <c r="I1776" s="96" t="s">
        <v>209</v>
      </c>
      <c r="J1776" s="96" t="s">
        <v>176</v>
      </c>
      <c r="K1776" s="96" t="s">
        <v>205</v>
      </c>
      <c r="L1776">
        <v>99</v>
      </c>
      <c r="M1776" t="s">
        <v>28</v>
      </c>
      <c r="N1776" t="s">
        <v>8</v>
      </c>
      <c r="O1776" t="s">
        <v>170</v>
      </c>
      <c r="P1776">
        <v>2025</v>
      </c>
    </row>
    <row r="1777" spans="1:16" x14ac:dyDescent="0.25">
      <c r="A1777" s="96" t="s">
        <v>2</v>
      </c>
      <c r="B1777" s="96" t="s">
        <v>226</v>
      </c>
      <c r="C1777" s="96" t="s">
        <v>5339</v>
      </c>
      <c r="D1777" s="96" t="s">
        <v>10</v>
      </c>
      <c r="E1777" s="43">
        <v>46039</v>
      </c>
      <c r="F1777" s="43">
        <v>46042</v>
      </c>
      <c r="G1777" s="96" t="s">
        <v>92</v>
      </c>
      <c r="H1777" s="96" t="s">
        <v>5340</v>
      </c>
      <c r="I1777" s="96" t="s">
        <v>209</v>
      </c>
      <c r="J1777" s="96" t="s">
        <v>98</v>
      </c>
      <c r="K1777" s="96" t="s">
        <v>230</v>
      </c>
      <c r="L1777">
        <v>3</v>
      </c>
      <c r="M1777" t="s">
        <v>11</v>
      </c>
      <c r="N1777" t="s">
        <v>29</v>
      </c>
      <c r="O1777" t="s">
        <v>151</v>
      </c>
      <c r="P1777">
        <v>2026</v>
      </c>
    </row>
    <row r="1778" spans="1:16" hidden="1" x14ac:dyDescent="0.25">
      <c r="A1778" s="96" t="s">
        <v>2</v>
      </c>
      <c r="B1778" s="96" t="s">
        <v>206</v>
      </c>
      <c r="C1778" s="96" t="s">
        <v>1789</v>
      </c>
      <c r="D1778" s="96" t="s">
        <v>192</v>
      </c>
      <c r="E1778" s="43">
        <v>45958</v>
      </c>
      <c r="F1778" s="43">
        <v>45975</v>
      </c>
      <c r="G1778" s="96" t="s">
        <v>92</v>
      </c>
      <c r="H1778" s="96" t="s">
        <v>1733</v>
      </c>
      <c r="I1778" s="96" t="s">
        <v>228</v>
      </c>
      <c r="J1778" s="96" t="s">
        <v>283</v>
      </c>
      <c r="K1778" s="96" t="s">
        <v>233</v>
      </c>
      <c r="L1778">
        <v>17</v>
      </c>
      <c r="M1778" t="s">
        <v>19</v>
      </c>
      <c r="N1778" t="s">
        <v>16</v>
      </c>
      <c r="O1778" t="s">
        <v>152</v>
      </c>
      <c r="P1778">
        <v>2025</v>
      </c>
    </row>
    <row r="1779" spans="1:16" hidden="1" x14ac:dyDescent="0.25">
      <c r="A1779" s="96" t="s">
        <v>2</v>
      </c>
      <c r="B1779" s="96" t="s">
        <v>206</v>
      </c>
      <c r="C1779" s="96" t="s">
        <v>5341</v>
      </c>
      <c r="D1779" s="96" t="s">
        <v>34</v>
      </c>
      <c r="E1779" s="43">
        <v>45757</v>
      </c>
      <c r="F1779" s="43">
        <v>45773</v>
      </c>
      <c r="G1779" s="96" t="s">
        <v>92</v>
      </c>
      <c r="H1779" s="96" t="s">
        <v>5342</v>
      </c>
      <c r="I1779" s="96" t="s">
        <v>225</v>
      </c>
      <c r="J1779" s="96" t="s">
        <v>98</v>
      </c>
      <c r="K1779" s="96" t="s">
        <v>195</v>
      </c>
      <c r="L1779">
        <v>16</v>
      </c>
      <c r="M1779" t="s">
        <v>19</v>
      </c>
      <c r="N1779" t="s">
        <v>185</v>
      </c>
      <c r="O1779" t="s">
        <v>152</v>
      </c>
      <c r="P1779">
        <v>2025</v>
      </c>
    </row>
    <row r="1780" spans="1:16" hidden="1" x14ac:dyDescent="0.25">
      <c r="A1780" s="96" t="s">
        <v>2</v>
      </c>
      <c r="B1780" s="96" t="s">
        <v>272</v>
      </c>
      <c r="C1780" s="96" t="s">
        <v>1790</v>
      </c>
      <c r="D1780" s="96" t="s">
        <v>40</v>
      </c>
      <c r="E1780" s="43">
        <v>45938</v>
      </c>
      <c r="F1780" s="43">
        <v>45963</v>
      </c>
      <c r="G1780" s="96" t="s">
        <v>92</v>
      </c>
      <c r="H1780" s="96" t="s">
        <v>5343</v>
      </c>
      <c r="I1780" s="96" t="s">
        <v>194</v>
      </c>
      <c r="J1780" s="96" t="s">
        <v>176</v>
      </c>
      <c r="K1780" s="96" t="s">
        <v>210</v>
      </c>
      <c r="L1780">
        <v>25</v>
      </c>
      <c r="M1780" t="s">
        <v>19</v>
      </c>
      <c r="N1780" t="s">
        <v>16</v>
      </c>
      <c r="O1780" t="s">
        <v>151</v>
      </c>
      <c r="P1780">
        <v>2025</v>
      </c>
    </row>
    <row r="1781" spans="1:16" x14ac:dyDescent="0.25">
      <c r="A1781" s="96" t="s">
        <v>2</v>
      </c>
      <c r="B1781" s="96" t="s">
        <v>218</v>
      </c>
      <c r="C1781" s="96" t="s">
        <v>1791</v>
      </c>
      <c r="D1781" s="96" t="s">
        <v>223</v>
      </c>
      <c r="E1781" s="43">
        <v>46073</v>
      </c>
      <c r="F1781" s="43">
        <v>46150</v>
      </c>
      <c r="G1781" s="96" t="s">
        <v>92</v>
      </c>
      <c r="H1781" s="96" t="s">
        <v>5344</v>
      </c>
      <c r="I1781" s="96" t="s">
        <v>204</v>
      </c>
      <c r="J1781" s="96" t="s">
        <v>169</v>
      </c>
      <c r="K1781" s="96" t="s">
        <v>217</v>
      </c>
      <c r="L1781">
        <v>77</v>
      </c>
      <c r="M1781" t="s">
        <v>28</v>
      </c>
      <c r="N1781" t="s">
        <v>32</v>
      </c>
      <c r="O1781" t="s">
        <v>152</v>
      </c>
      <c r="P1781">
        <v>2026</v>
      </c>
    </row>
    <row r="1782" spans="1:16" x14ac:dyDescent="0.25">
      <c r="A1782" s="96" t="s">
        <v>2</v>
      </c>
      <c r="B1782" s="96" t="s">
        <v>288</v>
      </c>
      <c r="C1782" s="96" t="s">
        <v>1792</v>
      </c>
      <c r="D1782" s="96" t="s">
        <v>203</v>
      </c>
      <c r="E1782" s="43">
        <v>46141</v>
      </c>
      <c r="F1782" s="43">
        <v>46146</v>
      </c>
      <c r="G1782" s="96" t="s">
        <v>92</v>
      </c>
      <c r="H1782" s="96" t="s">
        <v>5345</v>
      </c>
      <c r="I1782" s="96" t="s">
        <v>228</v>
      </c>
      <c r="J1782" s="96" t="s">
        <v>172</v>
      </c>
      <c r="K1782" s="96" t="s">
        <v>205</v>
      </c>
      <c r="L1782">
        <v>5</v>
      </c>
      <c r="M1782" t="s">
        <v>11</v>
      </c>
      <c r="N1782" t="s">
        <v>37</v>
      </c>
      <c r="O1782" t="s">
        <v>170</v>
      </c>
      <c r="P1782">
        <v>2026</v>
      </c>
    </row>
    <row r="1783" spans="1:16" hidden="1" x14ac:dyDescent="0.25">
      <c r="A1783" s="96" t="s">
        <v>2</v>
      </c>
      <c r="B1783" s="96" t="s">
        <v>221</v>
      </c>
      <c r="C1783" s="96" t="s">
        <v>1793</v>
      </c>
      <c r="D1783" s="96" t="s">
        <v>10</v>
      </c>
      <c r="E1783" s="43">
        <v>45885</v>
      </c>
      <c r="F1783" s="43">
        <v>45949</v>
      </c>
      <c r="G1783" s="96" t="s">
        <v>92</v>
      </c>
      <c r="H1783" s="96" t="s">
        <v>5346</v>
      </c>
      <c r="I1783" s="96" t="s">
        <v>209</v>
      </c>
      <c r="J1783" s="96" t="s">
        <v>96</v>
      </c>
      <c r="K1783" s="96" t="s">
        <v>200</v>
      </c>
      <c r="L1783">
        <v>64</v>
      </c>
      <c r="M1783" t="s">
        <v>28</v>
      </c>
      <c r="N1783" t="s">
        <v>8</v>
      </c>
      <c r="O1783" t="s">
        <v>170</v>
      </c>
      <c r="P1783">
        <v>2025</v>
      </c>
    </row>
    <row r="1784" spans="1:16" hidden="1" x14ac:dyDescent="0.25">
      <c r="A1784" s="96" t="s">
        <v>2</v>
      </c>
      <c r="B1784" s="96" t="s">
        <v>264</v>
      </c>
      <c r="C1784" s="96" t="s">
        <v>5347</v>
      </c>
      <c r="D1784" s="96" t="s">
        <v>10</v>
      </c>
      <c r="E1784" s="43">
        <v>45731</v>
      </c>
      <c r="F1784" s="43">
        <v>45788</v>
      </c>
      <c r="G1784" s="96" t="s">
        <v>90</v>
      </c>
      <c r="H1784" s="96" t="s">
        <v>5348</v>
      </c>
      <c r="I1784" s="96" t="s">
        <v>228</v>
      </c>
      <c r="J1784" s="96" t="s">
        <v>97</v>
      </c>
      <c r="K1784" s="96" t="s">
        <v>157</v>
      </c>
      <c r="L1784">
        <v>57</v>
      </c>
      <c r="M1784" t="s">
        <v>24</v>
      </c>
      <c r="N1784" t="s">
        <v>186</v>
      </c>
      <c r="O1784" t="s">
        <v>152</v>
      </c>
      <c r="P1784">
        <v>2025</v>
      </c>
    </row>
    <row r="1785" spans="1:16" hidden="1" x14ac:dyDescent="0.25">
      <c r="A1785" s="96" t="s">
        <v>2</v>
      </c>
      <c r="B1785" s="96" t="s">
        <v>213</v>
      </c>
      <c r="C1785" s="96" t="s">
        <v>1794</v>
      </c>
      <c r="D1785" s="96" t="s">
        <v>215</v>
      </c>
      <c r="E1785" s="43">
        <v>45677</v>
      </c>
      <c r="F1785" s="43">
        <v>45780</v>
      </c>
      <c r="G1785" s="96" t="s">
        <v>95</v>
      </c>
      <c r="H1785" s="96" t="s">
        <v>5349</v>
      </c>
      <c r="I1785" s="96" t="s">
        <v>225</v>
      </c>
      <c r="J1785" s="96" t="s">
        <v>176</v>
      </c>
      <c r="K1785" s="96" t="s">
        <v>157</v>
      </c>
      <c r="L1785">
        <v>103</v>
      </c>
      <c r="M1785" t="s">
        <v>28</v>
      </c>
      <c r="N1785" t="s">
        <v>181</v>
      </c>
      <c r="O1785" t="s">
        <v>149</v>
      </c>
      <c r="P1785">
        <v>2025</v>
      </c>
    </row>
    <row r="1786" spans="1:16" hidden="1" x14ac:dyDescent="0.25">
      <c r="A1786" s="96" t="s">
        <v>2</v>
      </c>
      <c r="B1786" s="96" t="s">
        <v>211</v>
      </c>
      <c r="C1786" s="96" t="s">
        <v>1795</v>
      </c>
      <c r="D1786" s="96" t="s">
        <v>34</v>
      </c>
      <c r="E1786" s="43">
        <v>45850</v>
      </c>
      <c r="F1786" s="43">
        <v>45858</v>
      </c>
      <c r="G1786" s="96" t="s">
        <v>92</v>
      </c>
      <c r="H1786" s="96" t="s">
        <v>5350</v>
      </c>
      <c r="I1786" s="96" t="s">
        <v>209</v>
      </c>
      <c r="J1786" s="96" t="s">
        <v>169</v>
      </c>
      <c r="K1786" s="96" t="s">
        <v>157</v>
      </c>
      <c r="L1786">
        <v>8</v>
      </c>
      <c r="M1786" t="s">
        <v>15</v>
      </c>
      <c r="N1786" t="s">
        <v>187</v>
      </c>
      <c r="O1786" t="s">
        <v>170</v>
      </c>
      <c r="P1786">
        <v>2025</v>
      </c>
    </row>
    <row r="1787" spans="1:16" hidden="1" x14ac:dyDescent="0.25">
      <c r="A1787" s="96" t="s">
        <v>2</v>
      </c>
      <c r="B1787" s="96" t="s">
        <v>272</v>
      </c>
      <c r="C1787" s="96" t="s">
        <v>1796</v>
      </c>
      <c r="D1787" s="96" t="s">
        <v>192</v>
      </c>
      <c r="E1787" s="43">
        <v>45774</v>
      </c>
      <c r="F1787" s="43">
        <v>45775</v>
      </c>
      <c r="G1787" s="96" t="s">
        <v>92</v>
      </c>
      <c r="H1787" s="96" t="s">
        <v>5351</v>
      </c>
      <c r="I1787" s="96" t="s">
        <v>228</v>
      </c>
      <c r="J1787" s="96" t="s">
        <v>216</v>
      </c>
      <c r="K1787" s="96" t="s">
        <v>210</v>
      </c>
      <c r="L1787">
        <v>1</v>
      </c>
      <c r="M1787" t="s">
        <v>11</v>
      </c>
      <c r="N1787" t="s">
        <v>185</v>
      </c>
      <c r="O1787" t="s">
        <v>151</v>
      </c>
      <c r="P1787">
        <v>2025</v>
      </c>
    </row>
    <row r="1788" spans="1:16" hidden="1" x14ac:dyDescent="0.25">
      <c r="A1788" s="96" t="s">
        <v>2</v>
      </c>
      <c r="B1788" s="96" t="s">
        <v>253</v>
      </c>
      <c r="C1788" s="96" t="s">
        <v>5352</v>
      </c>
      <c r="D1788" s="96" t="s">
        <v>203</v>
      </c>
      <c r="E1788" s="43">
        <v>45982</v>
      </c>
      <c r="F1788" s="43">
        <v>46099</v>
      </c>
      <c r="G1788" s="96" t="s">
        <v>92</v>
      </c>
      <c r="H1788" s="96" t="s">
        <v>5353</v>
      </c>
      <c r="I1788" s="96" t="s">
        <v>209</v>
      </c>
      <c r="J1788" s="96" t="s">
        <v>216</v>
      </c>
      <c r="K1788" s="96" t="s">
        <v>157</v>
      </c>
      <c r="L1788">
        <v>117</v>
      </c>
      <c r="M1788" t="s">
        <v>28</v>
      </c>
      <c r="N1788" t="s">
        <v>20</v>
      </c>
      <c r="O1788" t="s">
        <v>152</v>
      </c>
      <c r="P1788">
        <v>2025</v>
      </c>
    </row>
    <row r="1789" spans="1:16" x14ac:dyDescent="0.25">
      <c r="A1789" s="96" t="s">
        <v>2</v>
      </c>
      <c r="B1789" s="96" t="s">
        <v>249</v>
      </c>
      <c r="C1789" s="96" t="s">
        <v>5354</v>
      </c>
      <c r="D1789" s="96" t="s">
        <v>237</v>
      </c>
      <c r="E1789" s="43">
        <v>46113</v>
      </c>
      <c r="F1789" s="43">
        <v>46150</v>
      </c>
      <c r="G1789" s="96" t="s">
        <v>95</v>
      </c>
      <c r="H1789" s="96" t="s">
        <v>5355</v>
      </c>
      <c r="I1789" s="96" t="s">
        <v>228</v>
      </c>
      <c r="J1789" s="96" t="s">
        <v>199</v>
      </c>
      <c r="K1789" s="96" t="s">
        <v>157</v>
      </c>
      <c r="L1789">
        <v>37</v>
      </c>
      <c r="M1789" t="s">
        <v>24</v>
      </c>
      <c r="N1789" t="s">
        <v>37</v>
      </c>
      <c r="O1789" t="s">
        <v>170</v>
      </c>
      <c r="P1789">
        <v>2026</v>
      </c>
    </row>
    <row r="1790" spans="1:16" x14ac:dyDescent="0.25">
      <c r="A1790" s="96" t="s">
        <v>2</v>
      </c>
      <c r="B1790" s="96" t="s">
        <v>274</v>
      </c>
      <c r="C1790" s="96" t="s">
        <v>1797</v>
      </c>
      <c r="D1790" s="96" t="s">
        <v>10</v>
      </c>
      <c r="E1790" s="43">
        <v>46089</v>
      </c>
      <c r="F1790" s="43">
        <v>46150</v>
      </c>
      <c r="G1790" s="96" t="s">
        <v>92</v>
      </c>
      <c r="H1790" s="96" t="s">
        <v>1743</v>
      </c>
      <c r="I1790" s="96" t="s">
        <v>194</v>
      </c>
      <c r="J1790" s="96" t="s">
        <v>94</v>
      </c>
      <c r="K1790" s="96" t="s">
        <v>246</v>
      </c>
      <c r="L1790">
        <v>61</v>
      </c>
      <c r="M1790" t="s">
        <v>28</v>
      </c>
      <c r="N1790" t="s">
        <v>35</v>
      </c>
      <c r="O1790" t="s">
        <v>170</v>
      </c>
      <c r="P1790">
        <v>2026</v>
      </c>
    </row>
    <row r="1791" spans="1:16" hidden="1" x14ac:dyDescent="0.25">
      <c r="A1791" s="96" t="s">
        <v>175</v>
      </c>
      <c r="B1791" s="96" t="s">
        <v>238</v>
      </c>
      <c r="C1791" s="96" t="s">
        <v>5356</v>
      </c>
      <c r="D1791" s="96" t="s">
        <v>40</v>
      </c>
      <c r="E1791" s="43">
        <v>45973</v>
      </c>
      <c r="F1791" s="43">
        <v>46048</v>
      </c>
      <c r="G1791" s="96" t="s">
        <v>92</v>
      </c>
      <c r="H1791" s="96" t="s">
        <v>1745</v>
      </c>
      <c r="I1791" s="96" t="s">
        <v>204</v>
      </c>
      <c r="J1791" s="96" t="s">
        <v>199</v>
      </c>
      <c r="K1791" s="96" t="s">
        <v>195</v>
      </c>
      <c r="L1791">
        <v>75</v>
      </c>
      <c r="M1791" t="s">
        <v>28</v>
      </c>
      <c r="N1791" t="s">
        <v>20</v>
      </c>
      <c r="O1791" t="s">
        <v>170</v>
      </c>
      <c r="P1791">
        <v>2025</v>
      </c>
    </row>
    <row r="1792" spans="1:16" hidden="1" x14ac:dyDescent="0.25">
      <c r="A1792" s="96" t="s">
        <v>2</v>
      </c>
      <c r="B1792" s="96" t="s">
        <v>247</v>
      </c>
      <c r="C1792" s="96" t="s">
        <v>5357</v>
      </c>
      <c r="D1792" s="96" t="s">
        <v>215</v>
      </c>
      <c r="E1792" s="43">
        <v>45955</v>
      </c>
      <c r="F1792" s="43">
        <v>46071</v>
      </c>
      <c r="G1792" s="96" t="s">
        <v>90</v>
      </c>
      <c r="H1792" s="96" t="s">
        <v>1747</v>
      </c>
      <c r="I1792" s="96" t="s">
        <v>204</v>
      </c>
      <c r="J1792" s="96" t="s">
        <v>93</v>
      </c>
      <c r="K1792" s="96" t="s">
        <v>200</v>
      </c>
      <c r="L1792">
        <v>116</v>
      </c>
      <c r="M1792" t="s">
        <v>28</v>
      </c>
      <c r="N1792" t="s">
        <v>16</v>
      </c>
      <c r="O1792" t="s">
        <v>150</v>
      </c>
      <c r="P1792">
        <v>2025</v>
      </c>
    </row>
    <row r="1793" spans="1:16" x14ac:dyDescent="0.25">
      <c r="A1793" s="96" t="s">
        <v>189</v>
      </c>
      <c r="B1793" s="96" t="s">
        <v>226</v>
      </c>
      <c r="C1793" s="96" t="s">
        <v>1798</v>
      </c>
      <c r="D1793" s="96" t="s">
        <v>192</v>
      </c>
      <c r="E1793" s="43">
        <v>46050</v>
      </c>
      <c r="F1793" s="43">
        <v>46139</v>
      </c>
      <c r="G1793" s="96" t="s">
        <v>90</v>
      </c>
      <c r="H1793" s="96" t="s">
        <v>5358</v>
      </c>
      <c r="I1793" s="96" t="s">
        <v>209</v>
      </c>
      <c r="J1793" s="96" t="s">
        <v>169</v>
      </c>
      <c r="K1793" s="96" t="s">
        <v>205</v>
      </c>
      <c r="L1793">
        <v>89</v>
      </c>
      <c r="M1793" t="s">
        <v>28</v>
      </c>
      <c r="N1793" t="s">
        <v>29</v>
      </c>
      <c r="O1793" t="s">
        <v>151</v>
      </c>
      <c r="P1793">
        <v>2026</v>
      </c>
    </row>
    <row r="1794" spans="1:16" x14ac:dyDescent="0.25">
      <c r="A1794" s="96" t="s">
        <v>2</v>
      </c>
      <c r="B1794" s="96" t="s">
        <v>317</v>
      </c>
      <c r="C1794" s="96" t="s">
        <v>5359</v>
      </c>
      <c r="D1794" s="96" t="s">
        <v>223</v>
      </c>
      <c r="E1794" s="43">
        <v>46107</v>
      </c>
      <c r="F1794" s="43">
        <v>46146</v>
      </c>
      <c r="G1794" s="96" t="s">
        <v>92</v>
      </c>
      <c r="H1794" s="96" t="s">
        <v>5360</v>
      </c>
      <c r="I1794" s="96" t="s">
        <v>228</v>
      </c>
      <c r="J1794" s="96" t="s">
        <v>174</v>
      </c>
      <c r="K1794" s="96" t="s">
        <v>246</v>
      </c>
      <c r="L1794">
        <v>39</v>
      </c>
      <c r="M1794" t="s">
        <v>24</v>
      </c>
      <c r="N1794" t="s">
        <v>35</v>
      </c>
      <c r="O1794" t="s">
        <v>170</v>
      </c>
      <c r="P1794">
        <v>2026</v>
      </c>
    </row>
    <row r="1795" spans="1:16" hidden="1" x14ac:dyDescent="0.25">
      <c r="A1795" s="96" t="s">
        <v>2</v>
      </c>
      <c r="B1795" s="96" t="s">
        <v>272</v>
      </c>
      <c r="C1795" s="96" t="s">
        <v>1799</v>
      </c>
      <c r="D1795" s="96" t="s">
        <v>237</v>
      </c>
      <c r="E1795" s="43">
        <v>45772</v>
      </c>
      <c r="F1795" s="43">
        <v>45891</v>
      </c>
      <c r="G1795" s="96" t="s">
        <v>95</v>
      </c>
      <c r="H1795" s="96" t="s">
        <v>5361</v>
      </c>
      <c r="I1795" s="96" t="s">
        <v>194</v>
      </c>
      <c r="J1795" s="96" t="s">
        <v>169</v>
      </c>
      <c r="K1795" s="96" t="s">
        <v>230</v>
      </c>
      <c r="L1795">
        <v>119</v>
      </c>
      <c r="M1795" t="s">
        <v>28</v>
      </c>
      <c r="N1795" t="s">
        <v>185</v>
      </c>
      <c r="O1795" t="s">
        <v>151</v>
      </c>
      <c r="P1795">
        <v>2025</v>
      </c>
    </row>
    <row r="1796" spans="1:16" x14ac:dyDescent="0.25">
      <c r="A1796" s="96" t="s">
        <v>175</v>
      </c>
      <c r="B1796" s="96" t="s">
        <v>201</v>
      </c>
      <c r="C1796" s="96" t="s">
        <v>5362</v>
      </c>
      <c r="D1796" s="96" t="s">
        <v>14</v>
      </c>
      <c r="E1796" s="43">
        <v>46078</v>
      </c>
      <c r="F1796" s="43">
        <v>46118</v>
      </c>
      <c r="G1796" s="96" t="s">
        <v>90</v>
      </c>
      <c r="H1796" s="96" t="s">
        <v>5363</v>
      </c>
      <c r="I1796" s="96" t="s">
        <v>157</v>
      </c>
      <c r="J1796" s="96" t="s">
        <v>93</v>
      </c>
      <c r="K1796" s="96" t="s">
        <v>246</v>
      </c>
      <c r="L1796">
        <v>40</v>
      </c>
      <c r="M1796" t="s">
        <v>24</v>
      </c>
      <c r="N1796" t="s">
        <v>32</v>
      </c>
      <c r="O1796" t="s">
        <v>170</v>
      </c>
      <c r="P1796">
        <v>2026</v>
      </c>
    </row>
    <row r="1797" spans="1:16" x14ac:dyDescent="0.25">
      <c r="A1797" s="96" t="s">
        <v>2</v>
      </c>
      <c r="B1797" s="96" t="s">
        <v>244</v>
      </c>
      <c r="C1797" s="96" t="s">
        <v>5364</v>
      </c>
      <c r="D1797" s="96" t="s">
        <v>203</v>
      </c>
      <c r="E1797" s="43">
        <v>46047</v>
      </c>
      <c r="F1797" s="43">
        <v>46146</v>
      </c>
      <c r="G1797" s="96" t="s">
        <v>90</v>
      </c>
      <c r="H1797" s="96" t="s">
        <v>5365</v>
      </c>
      <c r="I1797" s="96" t="s">
        <v>228</v>
      </c>
      <c r="J1797" s="96" t="s">
        <v>91</v>
      </c>
      <c r="K1797" s="96" t="s">
        <v>217</v>
      </c>
      <c r="L1797">
        <v>99</v>
      </c>
      <c r="M1797" t="s">
        <v>28</v>
      </c>
      <c r="N1797" t="s">
        <v>29</v>
      </c>
      <c r="O1797" t="s">
        <v>150</v>
      </c>
      <c r="P1797">
        <v>2026</v>
      </c>
    </row>
    <row r="1798" spans="1:16" hidden="1" x14ac:dyDescent="0.25">
      <c r="A1798" s="96" t="s">
        <v>2</v>
      </c>
      <c r="B1798" s="96" t="s">
        <v>255</v>
      </c>
      <c r="C1798" s="96" t="s">
        <v>5366</v>
      </c>
      <c r="D1798" s="96" t="s">
        <v>192</v>
      </c>
      <c r="E1798" s="43">
        <v>45734</v>
      </c>
      <c r="F1798" s="43">
        <v>45759</v>
      </c>
      <c r="G1798" s="96" t="s">
        <v>92</v>
      </c>
      <c r="H1798" s="96" t="s">
        <v>5367</v>
      </c>
      <c r="I1798" s="96" t="s">
        <v>228</v>
      </c>
      <c r="J1798" s="96" t="s">
        <v>174</v>
      </c>
      <c r="K1798" s="96" t="s">
        <v>210</v>
      </c>
      <c r="L1798">
        <v>25</v>
      </c>
      <c r="M1798" t="s">
        <v>19</v>
      </c>
      <c r="N1798" t="s">
        <v>186</v>
      </c>
      <c r="O1798" t="s">
        <v>150</v>
      </c>
      <c r="P1798">
        <v>2025</v>
      </c>
    </row>
    <row r="1799" spans="1:16" x14ac:dyDescent="0.25">
      <c r="A1799" s="96" t="s">
        <v>2</v>
      </c>
      <c r="B1799" s="96" t="s">
        <v>234</v>
      </c>
      <c r="C1799" s="96" t="s">
        <v>1800</v>
      </c>
      <c r="D1799" s="96" t="s">
        <v>223</v>
      </c>
      <c r="E1799" s="43">
        <v>46108</v>
      </c>
      <c r="F1799" s="43">
        <v>46151</v>
      </c>
      <c r="G1799" s="96" t="s">
        <v>95</v>
      </c>
      <c r="H1799" s="96" t="s">
        <v>5368</v>
      </c>
      <c r="I1799" s="96" t="s">
        <v>225</v>
      </c>
      <c r="J1799" s="96" t="s">
        <v>229</v>
      </c>
      <c r="K1799" s="96" t="s">
        <v>246</v>
      </c>
      <c r="L1799">
        <v>43</v>
      </c>
      <c r="M1799" t="s">
        <v>24</v>
      </c>
      <c r="N1799" t="s">
        <v>35</v>
      </c>
      <c r="O1799" t="s">
        <v>150</v>
      </c>
      <c r="P1799">
        <v>2026</v>
      </c>
    </row>
    <row r="1800" spans="1:16" hidden="1" x14ac:dyDescent="0.25">
      <c r="A1800" s="96" t="s">
        <v>2</v>
      </c>
      <c r="B1800" s="96" t="s">
        <v>322</v>
      </c>
      <c r="C1800" s="96" t="s">
        <v>1801</v>
      </c>
      <c r="D1800" s="96" t="s">
        <v>215</v>
      </c>
      <c r="E1800" s="43">
        <v>45679</v>
      </c>
      <c r="F1800" s="43">
        <v>45796</v>
      </c>
      <c r="G1800" s="96" t="s">
        <v>92</v>
      </c>
      <c r="H1800" s="96" t="s">
        <v>5369</v>
      </c>
      <c r="I1800" s="96" t="s">
        <v>194</v>
      </c>
      <c r="J1800" s="96" t="s">
        <v>96</v>
      </c>
      <c r="K1800" s="96" t="s">
        <v>230</v>
      </c>
      <c r="L1800">
        <v>117</v>
      </c>
      <c r="M1800" t="s">
        <v>28</v>
      </c>
      <c r="N1800" t="s">
        <v>181</v>
      </c>
      <c r="O1800" t="s">
        <v>150</v>
      </c>
      <c r="P1800">
        <v>2025</v>
      </c>
    </row>
    <row r="1801" spans="1:16" x14ac:dyDescent="0.25">
      <c r="A1801" s="96" t="s">
        <v>2</v>
      </c>
      <c r="B1801" s="96" t="s">
        <v>261</v>
      </c>
      <c r="C1801" s="96" t="s">
        <v>1802</v>
      </c>
      <c r="D1801" s="96" t="s">
        <v>192</v>
      </c>
      <c r="E1801" s="43">
        <v>46115</v>
      </c>
      <c r="F1801" s="43">
        <v>46149</v>
      </c>
      <c r="G1801" s="96" t="s">
        <v>92</v>
      </c>
      <c r="H1801" s="96" t="s">
        <v>5370</v>
      </c>
      <c r="I1801" s="96" t="s">
        <v>9</v>
      </c>
      <c r="J1801" s="96" t="s">
        <v>173</v>
      </c>
      <c r="K1801" s="96" t="s">
        <v>246</v>
      </c>
      <c r="L1801">
        <v>34</v>
      </c>
      <c r="M1801" t="s">
        <v>24</v>
      </c>
      <c r="N1801" t="s">
        <v>37</v>
      </c>
      <c r="O1801" t="s">
        <v>151</v>
      </c>
      <c r="P1801">
        <v>2026</v>
      </c>
    </row>
    <row r="1802" spans="1:16" hidden="1" x14ac:dyDescent="0.25">
      <c r="A1802" s="96" t="s">
        <v>2</v>
      </c>
      <c r="B1802" s="96" t="s">
        <v>272</v>
      </c>
      <c r="C1802" s="96" t="s">
        <v>5371</v>
      </c>
      <c r="D1802" s="96" t="s">
        <v>34</v>
      </c>
      <c r="E1802" s="43">
        <v>45665</v>
      </c>
      <c r="F1802" s="43">
        <v>45773</v>
      </c>
      <c r="G1802" s="96" t="s">
        <v>90</v>
      </c>
      <c r="H1802" s="96" t="s">
        <v>5372</v>
      </c>
      <c r="I1802" s="96" t="s">
        <v>157</v>
      </c>
      <c r="J1802" s="96" t="s">
        <v>173</v>
      </c>
      <c r="K1802" s="96" t="s">
        <v>157</v>
      </c>
      <c r="L1802">
        <v>108</v>
      </c>
      <c r="M1802" t="s">
        <v>28</v>
      </c>
      <c r="N1802" t="s">
        <v>181</v>
      </c>
      <c r="O1802" t="s">
        <v>151</v>
      </c>
      <c r="P1802">
        <v>2025</v>
      </c>
    </row>
    <row r="1803" spans="1:16" hidden="1" x14ac:dyDescent="0.25">
      <c r="A1803" s="96" t="s">
        <v>2</v>
      </c>
      <c r="B1803" s="96" t="s">
        <v>213</v>
      </c>
      <c r="C1803" s="96" t="s">
        <v>5373</v>
      </c>
      <c r="D1803" s="96" t="s">
        <v>215</v>
      </c>
      <c r="E1803" s="43">
        <v>45993</v>
      </c>
      <c r="F1803" s="43">
        <v>46084</v>
      </c>
      <c r="G1803" s="96" t="s">
        <v>92</v>
      </c>
      <c r="H1803" s="96" t="s">
        <v>5374</v>
      </c>
      <c r="I1803" s="96" t="s">
        <v>209</v>
      </c>
      <c r="J1803" s="96" t="s">
        <v>172</v>
      </c>
      <c r="K1803" s="96" t="s">
        <v>230</v>
      </c>
      <c r="L1803">
        <v>91</v>
      </c>
      <c r="M1803" t="s">
        <v>28</v>
      </c>
      <c r="N1803" t="s">
        <v>25</v>
      </c>
      <c r="O1803" t="s">
        <v>149</v>
      </c>
      <c r="P1803">
        <v>2025</v>
      </c>
    </row>
    <row r="1804" spans="1:16" hidden="1" x14ac:dyDescent="0.25">
      <c r="A1804" s="96" t="s">
        <v>2</v>
      </c>
      <c r="B1804" s="96" t="s">
        <v>253</v>
      </c>
      <c r="C1804" s="96" t="s">
        <v>1803</v>
      </c>
      <c r="D1804" s="96" t="s">
        <v>223</v>
      </c>
      <c r="E1804" s="43">
        <v>45823</v>
      </c>
      <c r="F1804" s="43">
        <v>45927</v>
      </c>
      <c r="G1804" s="96" t="s">
        <v>92</v>
      </c>
      <c r="H1804" s="96" t="s">
        <v>5375</v>
      </c>
      <c r="I1804" s="96" t="s">
        <v>194</v>
      </c>
      <c r="J1804" s="96" t="s">
        <v>172</v>
      </c>
      <c r="K1804" s="96" t="s">
        <v>246</v>
      </c>
      <c r="L1804">
        <v>104</v>
      </c>
      <c r="M1804" t="s">
        <v>28</v>
      </c>
      <c r="N1804" t="s">
        <v>184</v>
      </c>
      <c r="O1804" t="s">
        <v>152</v>
      </c>
      <c r="P1804">
        <v>2025</v>
      </c>
    </row>
    <row r="1805" spans="1:16" hidden="1" x14ac:dyDescent="0.25">
      <c r="A1805" s="96" t="s">
        <v>2</v>
      </c>
      <c r="B1805" s="96" t="s">
        <v>206</v>
      </c>
      <c r="C1805" s="96" t="s">
        <v>5376</v>
      </c>
      <c r="D1805" s="96" t="s">
        <v>192</v>
      </c>
      <c r="E1805" s="43">
        <v>45933</v>
      </c>
      <c r="F1805" s="43">
        <v>46011</v>
      </c>
      <c r="G1805" s="96" t="s">
        <v>92</v>
      </c>
      <c r="H1805" s="96" t="s">
        <v>5377</v>
      </c>
      <c r="I1805" s="96" t="s">
        <v>209</v>
      </c>
      <c r="J1805" s="96" t="s">
        <v>177</v>
      </c>
      <c r="K1805" s="96" t="s">
        <v>230</v>
      </c>
      <c r="L1805">
        <v>78</v>
      </c>
      <c r="M1805" t="s">
        <v>28</v>
      </c>
      <c r="N1805" t="s">
        <v>16</v>
      </c>
      <c r="O1805" t="s">
        <v>152</v>
      </c>
      <c r="P1805">
        <v>2025</v>
      </c>
    </row>
    <row r="1806" spans="1:16" hidden="1" x14ac:dyDescent="0.25">
      <c r="A1806" s="96" t="s">
        <v>2</v>
      </c>
      <c r="B1806" s="96" t="s">
        <v>211</v>
      </c>
      <c r="C1806" s="96" t="s">
        <v>5378</v>
      </c>
      <c r="D1806" s="96" t="s">
        <v>34</v>
      </c>
      <c r="E1806" s="43">
        <v>45868</v>
      </c>
      <c r="F1806" s="43">
        <v>45873</v>
      </c>
      <c r="G1806" s="96" t="s">
        <v>90</v>
      </c>
      <c r="H1806" s="96" t="s">
        <v>5379</v>
      </c>
      <c r="I1806" s="96" t="s">
        <v>194</v>
      </c>
      <c r="J1806" s="96" t="s">
        <v>172</v>
      </c>
      <c r="K1806" s="96" t="s">
        <v>210</v>
      </c>
      <c r="L1806">
        <v>5</v>
      </c>
      <c r="M1806" t="s">
        <v>11</v>
      </c>
      <c r="N1806" t="s">
        <v>187</v>
      </c>
      <c r="O1806" t="s">
        <v>170</v>
      </c>
      <c r="P1806">
        <v>2025</v>
      </c>
    </row>
    <row r="1807" spans="1:16" x14ac:dyDescent="0.25">
      <c r="A1807" s="96" t="s">
        <v>2</v>
      </c>
      <c r="B1807" s="96" t="s">
        <v>201</v>
      </c>
      <c r="C1807" s="96" t="s">
        <v>1804</v>
      </c>
      <c r="D1807" s="96" t="s">
        <v>14</v>
      </c>
      <c r="E1807" s="43">
        <v>46070</v>
      </c>
      <c r="F1807" s="43">
        <v>46090</v>
      </c>
      <c r="G1807" s="96" t="s">
        <v>92</v>
      </c>
      <c r="H1807" s="96" t="s">
        <v>5380</v>
      </c>
      <c r="I1807" s="96" t="s">
        <v>194</v>
      </c>
      <c r="J1807" s="96" t="s">
        <v>177</v>
      </c>
      <c r="K1807" s="96" t="s">
        <v>217</v>
      </c>
      <c r="L1807">
        <v>20</v>
      </c>
      <c r="M1807" t="s">
        <v>19</v>
      </c>
      <c r="N1807" t="s">
        <v>32</v>
      </c>
      <c r="O1807" t="s">
        <v>170</v>
      </c>
      <c r="P1807">
        <v>2026</v>
      </c>
    </row>
    <row r="1808" spans="1:16" hidden="1" x14ac:dyDescent="0.25">
      <c r="A1808" s="96" t="s">
        <v>2</v>
      </c>
      <c r="B1808" s="96" t="s">
        <v>213</v>
      </c>
      <c r="C1808" s="96" t="s">
        <v>1805</v>
      </c>
      <c r="D1808" s="96" t="s">
        <v>192</v>
      </c>
      <c r="E1808" s="43">
        <v>45894</v>
      </c>
      <c r="F1808" s="43">
        <v>45898</v>
      </c>
      <c r="G1808" s="96" t="s">
        <v>92</v>
      </c>
      <c r="H1808" s="96" t="s">
        <v>5381</v>
      </c>
      <c r="I1808" s="96" t="s">
        <v>157</v>
      </c>
      <c r="J1808" s="96" t="s">
        <v>91</v>
      </c>
      <c r="K1808" s="96" t="s">
        <v>230</v>
      </c>
      <c r="L1808">
        <v>4</v>
      </c>
      <c r="M1808" t="s">
        <v>11</v>
      </c>
      <c r="N1808" t="s">
        <v>8</v>
      </c>
      <c r="O1808" t="s">
        <v>149</v>
      </c>
      <c r="P1808">
        <v>2025</v>
      </c>
    </row>
    <row r="1809" spans="1:16" hidden="1" x14ac:dyDescent="0.25">
      <c r="A1809" s="96" t="s">
        <v>21</v>
      </c>
      <c r="B1809" s="96" t="s">
        <v>272</v>
      </c>
      <c r="C1809" s="96" t="s">
        <v>5382</v>
      </c>
      <c r="D1809" s="96" t="s">
        <v>14</v>
      </c>
      <c r="E1809" s="43">
        <v>45674</v>
      </c>
      <c r="F1809" s="43">
        <v>45733</v>
      </c>
      <c r="G1809" s="96" t="s">
        <v>90</v>
      </c>
      <c r="H1809" s="96" t="s">
        <v>5383</v>
      </c>
      <c r="I1809" s="96" t="s">
        <v>228</v>
      </c>
      <c r="J1809" s="96" t="s">
        <v>91</v>
      </c>
      <c r="K1809" s="96" t="s">
        <v>205</v>
      </c>
      <c r="L1809">
        <v>59</v>
      </c>
      <c r="M1809" t="s">
        <v>24</v>
      </c>
      <c r="N1809" t="s">
        <v>181</v>
      </c>
      <c r="O1809" t="s">
        <v>151</v>
      </c>
      <c r="P1809">
        <v>2025</v>
      </c>
    </row>
    <row r="1810" spans="1:16" x14ac:dyDescent="0.25">
      <c r="A1810" s="96" t="s">
        <v>2</v>
      </c>
      <c r="B1810" s="96" t="s">
        <v>305</v>
      </c>
      <c r="C1810" s="96" t="s">
        <v>1806</v>
      </c>
      <c r="D1810" s="96" t="s">
        <v>14</v>
      </c>
      <c r="E1810" s="43">
        <v>46082</v>
      </c>
      <c r="F1810" s="43">
        <v>46146</v>
      </c>
      <c r="G1810" s="96" t="s">
        <v>92</v>
      </c>
      <c r="H1810" s="96" t="s">
        <v>5384</v>
      </c>
      <c r="I1810" s="96" t="s">
        <v>9</v>
      </c>
      <c r="J1810" s="96" t="s">
        <v>174</v>
      </c>
      <c r="K1810" s="96" t="s">
        <v>205</v>
      </c>
      <c r="L1810">
        <v>64</v>
      </c>
      <c r="M1810" t="s">
        <v>28</v>
      </c>
      <c r="N1810" t="s">
        <v>35</v>
      </c>
      <c r="O1810" t="s">
        <v>170</v>
      </c>
      <c r="P1810">
        <v>2026</v>
      </c>
    </row>
    <row r="1811" spans="1:16" hidden="1" x14ac:dyDescent="0.25">
      <c r="A1811" s="96" t="s">
        <v>2</v>
      </c>
      <c r="B1811" s="96" t="s">
        <v>257</v>
      </c>
      <c r="C1811" s="96" t="s">
        <v>1807</v>
      </c>
      <c r="D1811" s="96" t="s">
        <v>203</v>
      </c>
      <c r="E1811" s="43">
        <v>45801</v>
      </c>
      <c r="F1811" s="43">
        <v>45825</v>
      </c>
      <c r="G1811" s="96" t="s">
        <v>90</v>
      </c>
      <c r="H1811" s="96" t="s">
        <v>5385</v>
      </c>
      <c r="I1811" s="96" t="s">
        <v>228</v>
      </c>
      <c r="J1811" s="96" t="s">
        <v>93</v>
      </c>
      <c r="K1811" s="96" t="s">
        <v>210</v>
      </c>
      <c r="L1811">
        <v>24</v>
      </c>
      <c r="M1811" t="s">
        <v>19</v>
      </c>
      <c r="N1811" t="s">
        <v>182</v>
      </c>
      <c r="O1811" t="s">
        <v>151</v>
      </c>
      <c r="P1811">
        <v>2025</v>
      </c>
    </row>
    <row r="1812" spans="1:16" x14ac:dyDescent="0.25">
      <c r="A1812" s="96" t="s">
        <v>2</v>
      </c>
      <c r="B1812" s="96" t="s">
        <v>226</v>
      </c>
      <c r="C1812" s="96" t="s">
        <v>1808</v>
      </c>
      <c r="D1812" s="96" t="s">
        <v>14</v>
      </c>
      <c r="E1812" s="43">
        <v>46060</v>
      </c>
      <c r="F1812" s="43">
        <v>46068</v>
      </c>
      <c r="G1812" s="96" t="s">
        <v>90</v>
      </c>
      <c r="H1812" s="96" t="s">
        <v>5386</v>
      </c>
      <c r="I1812" s="96" t="s">
        <v>225</v>
      </c>
      <c r="J1812" s="96" t="s">
        <v>283</v>
      </c>
      <c r="K1812" s="96" t="s">
        <v>157</v>
      </c>
      <c r="L1812">
        <v>8</v>
      </c>
      <c r="M1812" t="s">
        <v>15</v>
      </c>
      <c r="N1812" t="s">
        <v>32</v>
      </c>
      <c r="O1812" t="s">
        <v>151</v>
      </c>
      <c r="P1812">
        <v>2026</v>
      </c>
    </row>
    <row r="1813" spans="1:16" x14ac:dyDescent="0.25">
      <c r="A1813" s="96" t="s">
        <v>2</v>
      </c>
      <c r="B1813" s="96" t="s">
        <v>261</v>
      </c>
      <c r="C1813" s="96" t="s">
        <v>1809</v>
      </c>
      <c r="D1813" s="96" t="s">
        <v>34</v>
      </c>
      <c r="E1813" s="43">
        <v>46027</v>
      </c>
      <c r="F1813" s="43">
        <v>46110</v>
      </c>
      <c r="G1813" s="96" t="s">
        <v>90</v>
      </c>
      <c r="H1813" s="96" t="s">
        <v>5387</v>
      </c>
      <c r="I1813" s="96" t="s">
        <v>204</v>
      </c>
      <c r="J1813" s="96" t="s">
        <v>93</v>
      </c>
      <c r="K1813" s="96" t="s">
        <v>205</v>
      </c>
      <c r="L1813">
        <v>83</v>
      </c>
      <c r="M1813" t="s">
        <v>28</v>
      </c>
      <c r="N1813" t="s">
        <v>29</v>
      </c>
      <c r="O1813" t="s">
        <v>151</v>
      </c>
      <c r="P1813">
        <v>2026</v>
      </c>
    </row>
    <row r="1814" spans="1:16" hidden="1" x14ac:dyDescent="0.25">
      <c r="A1814" s="96" t="s">
        <v>2</v>
      </c>
      <c r="B1814" s="96" t="s">
        <v>264</v>
      </c>
      <c r="C1814" s="96" t="s">
        <v>1810</v>
      </c>
      <c r="D1814" s="96" t="s">
        <v>208</v>
      </c>
      <c r="E1814" s="43">
        <v>45896</v>
      </c>
      <c r="F1814" s="43">
        <v>45985</v>
      </c>
      <c r="G1814" s="96" t="s">
        <v>90</v>
      </c>
      <c r="H1814" s="96" t="s">
        <v>5388</v>
      </c>
      <c r="I1814" s="96" t="s">
        <v>9</v>
      </c>
      <c r="J1814" s="96" t="s">
        <v>168</v>
      </c>
      <c r="K1814" s="96" t="s">
        <v>217</v>
      </c>
      <c r="L1814">
        <v>89</v>
      </c>
      <c r="M1814" t="s">
        <v>28</v>
      </c>
      <c r="N1814" t="s">
        <v>8</v>
      </c>
      <c r="O1814" t="s">
        <v>152</v>
      </c>
      <c r="P1814">
        <v>2025</v>
      </c>
    </row>
    <row r="1815" spans="1:16" hidden="1" x14ac:dyDescent="0.25">
      <c r="A1815" s="96" t="s">
        <v>2</v>
      </c>
      <c r="B1815" s="96" t="s">
        <v>251</v>
      </c>
      <c r="C1815" s="96" t="s">
        <v>5389</v>
      </c>
      <c r="D1815" s="96" t="s">
        <v>192</v>
      </c>
      <c r="E1815" s="43">
        <v>45897</v>
      </c>
      <c r="F1815" s="43">
        <v>45956</v>
      </c>
      <c r="G1815" s="96" t="s">
        <v>90</v>
      </c>
      <c r="H1815" s="96" t="s">
        <v>1763</v>
      </c>
      <c r="I1815" s="96" t="s">
        <v>194</v>
      </c>
      <c r="J1815" s="96" t="s">
        <v>173</v>
      </c>
      <c r="K1815" s="96" t="s">
        <v>157</v>
      </c>
      <c r="L1815">
        <v>59</v>
      </c>
      <c r="M1815" t="s">
        <v>24</v>
      </c>
      <c r="N1815" t="s">
        <v>8</v>
      </c>
      <c r="O1815" t="s">
        <v>170</v>
      </c>
      <c r="P1815">
        <v>2025</v>
      </c>
    </row>
    <row r="1816" spans="1:16" hidden="1" x14ac:dyDescent="0.25">
      <c r="A1816" s="96" t="s">
        <v>2</v>
      </c>
      <c r="B1816" s="96" t="s">
        <v>211</v>
      </c>
      <c r="C1816" s="96" t="s">
        <v>1811</v>
      </c>
      <c r="D1816" s="96" t="s">
        <v>237</v>
      </c>
      <c r="E1816" s="43">
        <v>45862</v>
      </c>
      <c r="F1816" s="43">
        <v>45929</v>
      </c>
      <c r="G1816" s="96" t="s">
        <v>95</v>
      </c>
      <c r="H1816" s="96" t="s">
        <v>5390</v>
      </c>
      <c r="I1816" s="96" t="s">
        <v>204</v>
      </c>
      <c r="J1816" s="96" t="s">
        <v>199</v>
      </c>
      <c r="K1816" s="96" t="s">
        <v>246</v>
      </c>
      <c r="L1816">
        <v>67</v>
      </c>
      <c r="M1816" t="s">
        <v>28</v>
      </c>
      <c r="N1816" t="s">
        <v>187</v>
      </c>
      <c r="O1816" t="s">
        <v>170</v>
      </c>
      <c r="P1816">
        <v>2025</v>
      </c>
    </row>
    <row r="1817" spans="1:16" hidden="1" x14ac:dyDescent="0.25">
      <c r="A1817" s="96" t="s">
        <v>2</v>
      </c>
      <c r="B1817" s="96" t="s">
        <v>272</v>
      </c>
      <c r="C1817" s="96" t="s">
        <v>1812</v>
      </c>
      <c r="D1817" s="96" t="s">
        <v>14</v>
      </c>
      <c r="E1817" s="43">
        <v>45761</v>
      </c>
      <c r="F1817" s="43">
        <v>45771</v>
      </c>
      <c r="G1817" s="96" t="s">
        <v>92</v>
      </c>
      <c r="H1817" s="96" t="s">
        <v>1765</v>
      </c>
      <c r="I1817" s="96" t="s">
        <v>225</v>
      </c>
      <c r="J1817" s="96" t="s">
        <v>93</v>
      </c>
      <c r="K1817" s="96" t="s">
        <v>157</v>
      </c>
      <c r="L1817">
        <v>10</v>
      </c>
      <c r="M1817" t="s">
        <v>15</v>
      </c>
      <c r="N1817" t="s">
        <v>185</v>
      </c>
      <c r="O1817" t="s">
        <v>151</v>
      </c>
      <c r="P1817">
        <v>2025</v>
      </c>
    </row>
    <row r="1818" spans="1:16" hidden="1" x14ac:dyDescent="0.25">
      <c r="A1818" s="96" t="s">
        <v>2</v>
      </c>
      <c r="B1818" s="96" t="s">
        <v>322</v>
      </c>
      <c r="C1818" s="96" t="s">
        <v>5391</v>
      </c>
      <c r="D1818" s="96" t="s">
        <v>208</v>
      </c>
      <c r="E1818" s="43">
        <v>45710</v>
      </c>
      <c r="F1818" s="43">
        <v>45757</v>
      </c>
      <c r="G1818" s="96" t="s">
        <v>90</v>
      </c>
      <c r="H1818" s="96" t="s">
        <v>5392</v>
      </c>
      <c r="I1818" s="96" t="s">
        <v>157</v>
      </c>
      <c r="J1818" s="96" t="s">
        <v>96</v>
      </c>
      <c r="K1818" s="96" t="s">
        <v>195</v>
      </c>
      <c r="L1818">
        <v>47</v>
      </c>
      <c r="M1818" t="s">
        <v>24</v>
      </c>
      <c r="N1818" t="s">
        <v>188</v>
      </c>
      <c r="O1818" t="s">
        <v>150</v>
      </c>
      <c r="P1818">
        <v>2025</v>
      </c>
    </row>
    <row r="1819" spans="1:16" hidden="1" x14ac:dyDescent="0.25">
      <c r="A1819" s="96" t="s">
        <v>2</v>
      </c>
      <c r="B1819" s="96" t="s">
        <v>240</v>
      </c>
      <c r="C1819" s="96" t="s">
        <v>1815</v>
      </c>
      <c r="D1819" s="96" t="s">
        <v>203</v>
      </c>
      <c r="E1819" s="43">
        <v>45692</v>
      </c>
      <c r="F1819" s="43">
        <v>45704</v>
      </c>
      <c r="G1819" s="96" t="s">
        <v>92</v>
      </c>
      <c r="H1819" s="96" t="s">
        <v>1768</v>
      </c>
      <c r="I1819" s="96" t="s">
        <v>209</v>
      </c>
      <c r="J1819" s="96" t="s">
        <v>97</v>
      </c>
      <c r="K1819" s="96" t="s">
        <v>195</v>
      </c>
      <c r="L1819">
        <v>12</v>
      </c>
      <c r="M1819" t="s">
        <v>15</v>
      </c>
      <c r="N1819" t="s">
        <v>188</v>
      </c>
      <c r="O1819" t="s">
        <v>149</v>
      </c>
      <c r="P1819">
        <v>2025</v>
      </c>
    </row>
    <row r="1820" spans="1:16" hidden="1" x14ac:dyDescent="0.25">
      <c r="A1820" s="96" t="s">
        <v>2</v>
      </c>
      <c r="B1820" s="96" t="s">
        <v>211</v>
      </c>
      <c r="C1820" s="96" t="s">
        <v>1817</v>
      </c>
      <c r="D1820" s="96" t="s">
        <v>215</v>
      </c>
      <c r="E1820" s="43">
        <v>45664</v>
      </c>
      <c r="F1820" s="43">
        <v>45712</v>
      </c>
      <c r="G1820" s="96" t="s">
        <v>92</v>
      </c>
      <c r="H1820" s="96" t="s">
        <v>5393</v>
      </c>
      <c r="I1820" s="96" t="s">
        <v>209</v>
      </c>
      <c r="J1820" s="96" t="s">
        <v>229</v>
      </c>
      <c r="K1820" s="96" t="s">
        <v>195</v>
      </c>
      <c r="L1820">
        <v>48</v>
      </c>
      <c r="M1820" t="s">
        <v>24</v>
      </c>
      <c r="N1820" t="s">
        <v>181</v>
      </c>
      <c r="O1820" t="s">
        <v>170</v>
      </c>
      <c r="P1820">
        <v>2025</v>
      </c>
    </row>
    <row r="1821" spans="1:16" hidden="1" x14ac:dyDescent="0.25">
      <c r="A1821" s="96" t="s">
        <v>21</v>
      </c>
      <c r="B1821" s="96" t="s">
        <v>253</v>
      </c>
      <c r="C1821" s="96" t="s">
        <v>5394</v>
      </c>
      <c r="D1821" s="96" t="s">
        <v>40</v>
      </c>
      <c r="E1821" s="43">
        <v>45964</v>
      </c>
      <c r="F1821" s="43">
        <v>46019</v>
      </c>
      <c r="G1821" s="96" t="s">
        <v>95</v>
      </c>
      <c r="H1821" s="96" t="s">
        <v>5395</v>
      </c>
      <c r="I1821" s="96" t="s">
        <v>157</v>
      </c>
      <c r="J1821" s="96" t="s">
        <v>229</v>
      </c>
      <c r="K1821" s="96" t="s">
        <v>200</v>
      </c>
      <c r="L1821">
        <v>55</v>
      </c>
      <c r="M1821" t="s">
        <v>24</v>
      </c>
      <c r="N1821" t="s">
        <v>20</v>
      </c>
      <c r="O1821" t="s">
        <v>152</v>
      </c>
      <c r="P1821">
        <v>2025</v>
      </c>
    </row>
    <row r="1822" spans="1:16" x14ac:dyDescent="0.25">
      <c r="A1822" s="96" t="s">
        <v>189</v>
      </c>
      <c r="B1822" s="96" t="s">
        <v>218</v>
      </c>
      <c r="C1822" s="96" t="s">
        <v>1818</v>
      </c>
      <c r="D1822" s="96" t="s">
        <v>215</v>
      </c>
      <c r="E1822" s="43">
        <v>46077</v>
      </c>
      <c r="F1822" s="43">
        <v>46134</v>
      </c>
      <c r="G1822" s="96" t="s">
        <v>90</v>
      </c>
      <c r="H1822" s="96" t="s">
        <v>5396</v>
      </c>
      <c r="I1822" s="96" t="s">
        <v>225</v>
      </c>
      <c r="J1822" s="96" t="s">
        <v>93</v>
      </c>
      <c r="K1822" s="96" t="s">
        <v>205</v>
      </c>
      <c r="L1822">
        <v>57</v>
      </c>
      <c r="M1822" t="s">
        <v>24</v>
      </c>
      <c r="N1822" t="s">
        <v>32</v>
      </c>
      <c r="O1822" t="s">
        <v>152</v>
      </c>
      <c r="P1822">
        <v>2026</v>
      </c>
    </row>
    <row r="1823" spans="1:16" x14ac:dyDescent="0.25">
      <c r="A1823" s="96" t="s">
        <v>2</v>
      </c>
      <c r="B1823" s="96" t="s">
        <v>274</v>
      </c>
      <c r="C1823" s="96" t="s">
        <v>1819</v>
      </c>
      <c r="D1823" s="96" t="s">
        <v>10</v>
      </c>
      <c r="E1823" s="43">
        <v>46131</v>
      </c>
      <c r="F1823" s="43">
        <v>46148</v>
      </c>
      <c r="G1823" s="96" t="s">
        <v>92</v>
      </c>
      <c r="H1823" s="96" t="s">
        <v>5397</v>
      </c>
      <c r="I1823" s="96" t="s">
        <v>157</v>
      </c>
      <c r="J1823" s="96" t="s">
        <v>169</v>
      </c>
      <c r="K1823" s="96" t="s">
        <v>200</v>
      </c>
      <c r="L1823">
        <v>17</v>
      </c>
      <c r="M1823" t="s">
        <v>19</v>
      </c>
      <c r="N1823" t="s">
        <v>37</v>
      </c>
      <c r="O1823" t="s">
        <v>170</v>
      </c>
      <c r="P1823">
        <v>2026</v>
      </c>
    </row>
    <row r="1824" spans="1:16" hidden="1" x14ac:dyDescent="0.25">
      <c r="A1824" s="96" t="s">
        <v>2</v>
      </c>
      <c r="B1824" s="96" t="s">
        <v>272</v>
      </c>
      <c r="C1824" s="96" t="s">
        <v>5398</v>
      </c>
      <c r="D1824" s="96" t="s">
        <v>40</v>
      </c>
      <c r="E1824" s="43">
        <v>45703</v>
      </c>
      <c r="F1824" s="43">
        <v>45807</v>
      </c>
      <c r="G1824" s="96" t="s">
        <v>92</v>
      </c>
      <c r="H1824" s="96" t="s">
        <v>5399</v>
      </c>
      <c r="I1824" s="96" t="s">
        <v>228</v>
      </c>
      <c r="J1824" s="96" t="s">
        <v>176</v>
      </c>
      <c r="K1824" s="96" t="s">
        <v>157</v>
      </c>
      <c r="L1824">
        <v>104</v>
      </c>
      <c r="M1824" t="s">
        <v>28</v>
      </c>
      <c r="N1824" t="s">
        <v>188</v>
      </c>
      <c r="O1824" t="s">
        <v>151</v>
      </c>
      <c r="P1824">
        <v>2025</v>
      </c>
    </row>
    <row r="1825" spans="1:16" hidden="1" x14ac:dyDescent="0.25">
      <c r="A1825" s="96" t="s">
        <v>2</v>
      </c>
      <c r="B1825" s="96" t="s">
        <v>221</v>
      </c>
      <c r="C1825" s="96" t="s">
        <v>1820</v>
      </c>
      <c r="D1825" s="96" t="s">
        <v>237</v>
      </c>
      <c r="E1825" s="43">
        <v>45798</v>
      </c>
      <c r="F1825" s="43">
        <v>45833</v>
      </c>
      <c r="G1825" s="96" t="s">
        <v>92</v>
      </c>
      <c r="H1825" s="96" t="s">
        <v>5400</v>
      </c>
      <c r="I1825" s="96" t="s">
        <v>225</v>
      </c>
      <c r="J1825" s="96" t="s">
        <v>96</v>
      </c>
      <c r="K1825" s="96" t="s">
        <v>195</v>
      </c>
      <c r="L1825">
        <v>35</v>
      </c>
      <c r="M1825" t="s">
        <v>24</v>
      </c>
      <c r="N1825" t="s">
        <v>182</v>
      </c>
      <c r="O1825" t="s">
        <v>170</v>
      </c>
      <c r="P1825">
        <v>2025</v>
      </c>
    </row>
    <row r="1826" spans="1:16" hidden="1" x14ac:dyDescent="0.25">
      <c r="A1826" s="96" t="s">
        <v>2</v>
      </c>
      <c r="B1826" s="96" t="s">
        <v>264</v>
      </c>
      <c r="C1826" s="96" t="s">
        <v>1821</v>
      </c>
      <c r="D1826" s="96" t="s">
        <v>215</v>
      </c>
      <c r="E1826" s="43">
        <v>45885</v>
      </c>
      <c r="F1826" s="43">
        <v>45918</v>
      </c>
      <c r="G1826" s="96" t="s">
        <v>92</v>
      </c>
      <c r="H1826" s="96" t="s">
        <v>1774</v>
      </c>
      <c r="I1826" s="96" t="s">
        <v>225</v>
      </c>
      <c r="J1826" s="96" t="s">
        <v>168</v>
      </c>
      <c r="K1826" s="96" t="s">
        <v>200</v>
      </c>
      <c r="L1826">
        <v>33</v>
      </c>
      <c r="M1826" t="s">
        <v>24</v>
      </c>
      <c r="N1826" t="s">
        <v>8</v>
      </c>
      <c r="O1826" t="s">
        <v>152</v>
      </c>
      <c r="P1826">
        <v>2025</v>
      </c>
    </row>
    <row r="1827" spans="1:16" x14ac:dyDescent="0.25">
      <c r="A1827" s="96" t="s">
        <v>2</v>
      </c>
      <c r="B1827" s="96" t="s">
        <v>226</v>
      </c>
      <c r="C1827" s="96" t="s">
        <v>1822</v>
      </c>
      <c r="D1827" s="96" t="s">
        <v>203</v>
      </c>
      <c r="E1827" s="43">
        <v>46104</v>
      </c>
      <c r="F1827" s="43">
        <v>46123</v>
      </c>
      <c r="G1827" s="96" t="s">
        <v>92</v>
      </c>
      <c r="H1827" s="96" t="s">
        <v>1775</v>
      </c>
      <c r="I1827" s="96" t="s">
        <v>204</v>
      </c>
      <c r="J1827" s="96" t="s">
        <v>165</v>
      </c>
      <c r="K1827" s="96" t="s">
        <v>157</v>
      </c>
      <c r="L1827">
        <v>19</v>
      </c>
      <c r="M1827" t="s">
        <v>19</v>
      </c>
      <c r="N1827" t="s">
        <v>35</v>
      </c>
      <c r="O1827" t="s">
        <v>151</v>
      </c>
      <c r="P1827">
        <v>2026</v>
      </c>
    </row>
    <row r="1828" spans="1:16" hidden="1" x14ac:dyDescent="0.25">
      <c r="A1828" s="96" t="s">
        <v>2</v>
      </c>
      <c r="B1828" s="96" t="s">
        <v>257</v>
      </c>
      <c r="C1828" s="96" t="s">
        <v>5401</v>
      </c>
      <c r="D1828" s="96" t="s">
        <v>10</v>
      </c>
      <c r="E1828" s="43">
        <v>45765</v>
      </c>
      <c r="F1828" s="43">
        <v>45772</v>
      </c>
      <c r="G1828" s="96" t="s">
        <v>90</v>
      </c>
      <c r="H1828" s="96" t="s">
        <v>1776</v>
      </c>
      <c r="I1828" s="96" t="s">
        <v>225</v>
      </c>
      <c r="J1828" s="96" t="s">
        <v>173</v>
      </c>
      <c r="K1828" s="96" t="s">
        <v>217</v>
      </c>
      <c r="L1828">
        <v>7</v>
      </c>
      <c r="M1828" t="s">
        <v>11</v>
      </c>
      <c r="N1828" t="s">
        <v>185</v>
      </c>
      <c r="O1828" t="s">
        <v>151</v>
      </c>
      <c r="P1828">
        <v>2025</v>
      </c>
    </row>
    <row r="1829" spans="1:16" x14ac:dyDescent="0.25">
      <c r="A1829" s="96" t="s">
        <v>171</v>
      </c>
      <c r="B1829" s="96" t="s">
        <v>196</v>
      </c>
      <c r="C1829" s="96" t="s">
        <v>1823</v>
      </c>
      <c r="D1829" s="96" t="s">
        <v>208</v>
      </c>
      <c r="E1829" s="43">
        <v>46059</v>
      </c>
      <c r="F1829" s="43">
        <v>46068</v>
      </c>
      <c r="G1829" s="96" t="s">
        <v>92</v>
      </c>
      <c r="H1829" s="96" t="s">
        <v>1778</v>
      </c>
      <c r="I1829" s="96" t="s">
        <v>204</v>
      </c>
      <c r="J1829" s="96" t="s">
        <v>176</v>
      </c>
      <c r="K1829" s="96" t="s">
        <v>195</v>
      </c>
      <c r="L1829">
        <v>9</v>
      </c>
      <c r="M1829" t="s">
        <v>15</v>
      </c>
      <c r="N1829" t="s">
        <v>32</v>
      </c>
      <c r="O1829" t="s">
        <v>152</v>
      </c>
      <c r="P1829">
        <v>2026</v>
      </c>
    </row>
    <row r="1830" spans="1:16" hidden="1" x14ac:dyDescent="0.25">
      <c r="A1830" s="96" t="s">
        <v>189</v>
      </c>
      <c r="B1830" s="96" t="s">
        <v>280</v>
      </c>
      <c r="C1830" s="96" t="s">
        <v>1825</v>
      </c>
      <c r="D1830" s="96" t="s">
        <v>203</v>
      </c>
      <c r="E1830" s="43">
        <v>45974</v>
      </c>
      <c r="F1830" s="43">
        <v>46033</v>
      </c>
      <c r="G1830" s="96" t="s">
        <v>92</v>
      </c>
      <c r="H1830" s="96" t="s">
        <v>1779</v>
      </c>
      <c r="I1830" s="96" t="s">
        <v>204</v>
      </c>
      <c r="J1830" s="96" t="s">
        <v>93</v>
      </c>
      <c r="K1830" s="96" t="s">
        <v>230</v>
      </c>
      <c r="L1830">
        <v>59</v>
      </c>
      <c r="M1830" t="s">
        <v>24</v>
      </c>
      <c r="N1830" t="s">
        <v>20</v>
      </c>
      <c r="O1830" t="s">
        <v>170</v>
      </c>
      <c r="P1830">
        <v>2025</v>
      </c>
    </row>
    <row r="1831" spans="1:16" x14ac:dyDescent="0.25">
      <c r="A1831" s="96" t="s">
        <v>21</v>
      </c>
      <c r="B1831" s="96" t="s">
        <v>219</v>
      </c>
      <c r="C1831" s="96" t="s">
        <v>1827</v>
      </c>
      <c r="D1831" s="96" t="s">
        <v>237</v>
      </c>
      <c r="E1831" s="43">
        <v>46083</v>
      </c>
      <c r="F1831" s="43">
        <v>46119</v>
      </c>
      <c r="G1831" s="96" t="s">
        <v>95</v>
      </c>
      <c r="H1831" s="96" t="s">
        <v>5402</v>
      </c>
      <c r="I1831" s="96" t="s">
        <v>9</v>
      </c>
      <c r="J1831" s="96" t="s">
        <v>174</v>
      </c>
      <c r="K1831" s="96" t="s">
        <v>217</v>
      </c>
      <c r="L1831">
        <v>36</v>
      </c>
      <c r="M1831" t="s">
        <v>24</v>
      </c>
      <c r="N1831" t="s">
        <v>35</v>
      </c>
      <c r="O1831" t="s">
        <v>149</v>
      </c>
      <c r="P1831">
        <v>2026</v>
      </c>
    </row>
    <row r="1832" spans="1:16" hidden="1" x14ac:dyDescent="0.25">
      <c r="A1832" s="96" t="s">
        <v>21</v>
      </c>
      <c r="B1832" s="96" t="s">
        <v>190</v>
      </c>
      <c r="C1832" s="96" t="s">
        <v>1828</v>
      </c>
      <c r="D1832" s="96" t="s">
        <v>237</v>
      </c>
      <c r="E1832" s="43">
        <v>45863</v>
      </c>
      <c r="F1832" s="43">
        <v>45881</v>
      </c>
      <c r="G1832" s="96" t="s">
        <v>92</v>
      </c>
      <c r="H1832" s="96" t="s">
        <v>5403</v>
      </c>
      <c r="I1832" s="96" t="s">
        <v>204</v>
      </c>
      <c r="J1832" s="96" t="s">
        <v>168</v>
      </c>
      <c r="K1832" s="96" t="s">
        <v>157</v>
      </c>
      <c r="L1832">
        <v>18</v>
      </c>
      <c r="M1832" t="s">
        <v>19</v>
      </c>
      <c r="N1832" t="s">
        <v>187</v>
      </c>
      <c r="O1832" t="s">
        <v>150</v>
      </c>
      <c r="P1832">
        <v>2025</v>
      </c>
    </row>
    <row r="1833" spans="1:16" x14ac:dyDescent="0.25">
      <c r="A1833" s="96" t="s">
        <v>2</v>
      </c>
      <c r="B1833" s="96" t="s">
        <v>226</v>
      </c>
      <c r="C1833" s="96" t="s">
        <v>5404</v>
      </c>
      <c r="D1833" s="96" t="s">
        <v>40</v>
      </c>
      <c r="E1833" s="43">
        <v>46068</v>
      </c>
      <c r="F1833" s="43">
        <v>46146</v>
      </c>
      <c r="G1833" s="96" t="s">
        <v>90</v>
      </c>
      <c r="H1833" s="96" t="s">
        <v>1783</v>
      </c>
      <c r="I1833" s="96" t="s">
        <v>194</v>
      </c>
      <c r="J1833" s="96" t="s">
        <v>97</v>
      </c>
      <c r="K1833" s="96" t="s">
        <v>217</v>
      </c>
      <c r="L1833">
        <v>78</v>
      </c>
      <c r="M1833" t="s">
        <v>28</v>
      </c>
      <c r="N1833" t="s">
        <v>32</v>
      </c>
      <c r="O1833" t="s">
        <v>151</v>
      </c>
      <c r="P1833">
        <v>2026</v>
      </c>
    </row>
    <row r="1834" spans="1:16" x14ac:dyDescent="0.25">
      <c r="A1834" s="96" t="s">
        <v>2</v>
      </c>
      <c r="B1834" s="96" t="s">
        <v>261</v>
      </c>
      <c r="C1834" s="96" t="s">
        <v>5405</v>
      </c>
      <c r="D1834" s="96" t="s">
        <v>192</v>
      </c>
      <c r="E1834" s="43">
        <v>46035</v>
      </c>
      <c r="F1834" s="43">
        <v>46151</v>
      </c>
      <c r="G1834" s="96" t="s">
        <v>90</v>
      </c>
      <c r="H1834" s="96" t="s">
        <v>1785</v>
      </c>
      <c r="I1834" s="96" t="s">
        <v>157</v>
      </c>
      <c r="J1834" s="96" t="s">
        <v>169</v>
      </c>
      <c r="K1834" s="96" t="s">
        <v>200</v>
      </c>
      <c r="L1834">
        <v>116</v>
      </c>
      <c r="M1834" t="s">
        <v>28</v>
      </c>
      <c r="N1834" t="s">
        <v>29</v>
      </c>
      <c r="O1834" t="s">
        <v>151</v>
      </c>
      <c r="P1834">
        <v>2026</v>
      </c>
    </row>
    <row r="1835" spans="1:16" hidden="1" x14ac:dyDescent="0.25">
      <c r="A1835" s="96" t="s">
        <v>2</v>
      </c>
      <c r="B1835" s="96" t="s">
        <v>264</v>
      </c>
      <c r="C1835" s="96" t="s">
        <v>1829</v>
      </c>
      <c r="D1835" s="96" t="s">
        <v>10</v>
      </c>
      <c r="E1835" s="43">
        <v>45850</v>
      </c>
      <c r="F1835" s="43">
        <v>45880</v>
      </c>
      <c r="G1835" s="96" t="s">
        <v>90</v>
      </c>
      <c r="H1835" s="96" t="s">
        <v>5406</v>
      </c>
      <c r="I1835" s="96" t="s">
        <v>225</v>
      </c>
      <c r="J1835" s="96" t="s">
        <v>98</v>
      </c>
      <c r="K1835" s="96" t="s">
        <v>157</v>
      </c>
      <c r="L1835">
        <v>30</v>
      </c>
      <c r="M1835" t="s">
        <v>19</v>
      </c>
      <c r="N1835" t="s">
        <v>187</v>
      </c>
      <c r="O1835" t="s">
        <v>152</v>
      </c>
      <c r="P1835">
        <v>2025</v>
      </c>
    </row>
    <row r="1836" spans="1:16" x14ac:dyDescent="0.25">
      <c r="A1836" s="96" t="s">
        <v>2</v>
      </c>
      <c r="B1836" s="96" t="s">
        <v>234</v>
      </c>
      <c r="C1836" s="96" t="s">
        <v>1831</v>
      </c>
      <c r="D1836" s="96" t="s">
        <v>237</v>
      </c>
      <c r="E1836" s="43">
        <v>46140</v>
      </c>
      <c r="F1836" s="43">
        <v>46146</v>
      </c>
      <c r="G1836" s="96" t="s">
        <v>90</v>
      </c>
      <c r="H1836" s="96" t="s">
        <v>5407</v>
      </c>
      <c r="I1836" s="96" t="s">
        <v>228</v>
      </c>
      <c r="J1836" s="96" t="s">
        <v>283</v>
      </c>
      <c r="K1836" s="96" t="s">
        <v>230</v>
      </c>
      <c r="L1836">
        <v>6</v>
      </c>
      <c r="M1836" t="s">
        <v>11</v>
      </c>
      <c r="N1836" t="s">
        <v>37</v>
      </c>
      <c r="O1836" t="s">
        <v>150</v>
      </c>
      <c r="P1836">
        <v>2026</v>
      </c>
    </row>
    <row r="1837" spans="1:16" hidden="1" x14ac:dyDescent="0.25">
      <c r="A1837" s="96" t="s">
        <v>2</v>
      </c>
      <c r="B1837" s="96" t="s">
        <v>190</v>
      </c>
      <c r="C1837" s="96" t="s">
        <v>5408</v>
      </c>
      <c r="D1837" s="96" t="s">
        <v>203</v>
      </c>
      <c r="E1837" s="43">
        <v>45851</v>
      </c>
      <c r="F1837" s="43">
        <v>45855</v>
      </c>
      <c r="G1837" s="96" t="s">
        <v>95</v>
      </c>
      <c r="H1837" s="96" t="s">
        <v>5409</v>
      </c>
      <c r="I1837" s="96" t="s">
        <v>225</v>
      </c>
      <c r="J1837" s="96" t="s">
        <v>168</v>
      </c>
      <c r="K1837" s="96" t="s">
        <v>246</v>
      </c>
      <c r="L1837">
        <v>4</v>
      </c>
      <c r="M1837" t="s">
        <v>11</v>
      </c>
      <c r="N1837" t="s">
        <v>187</v>
      </c>
      <c r="O1837" t="s">
        <v>150</v>
      </c>
      <c r="P1837">
        <v>2025</v>
      </c>
    </row>
    <row r="1838" spans="1:16" x14ac:dyDescent="0.25">
      <c r="A1838" s="96" t="s">
        <v>175</v>
      </c>
      <c r="B1838" s="96" t="s">
        <v>234</v>
      </c>
      <c r="C1838" s="96" t="s">
        <v>1833</v>
      </c>
      <c r="D1838" s="96" t="s">
        <v>223</v>
      </c>
      <c r="E1838" s="43">
        <v>46024</v>
      </c>
      <c r="F1838" s="43">
        <v>46077</v>
      </c>
      <c r="G1838" s="96" t="s">
        <v>92</v>
      </c>
      <c r="H1838" s="96" t="s">
        <v>5410</v>
      </c>
      <c r="I1838" s="96" t="s">
        <v>194</v>
      </c>
      <c r="J1838" s="96" t="s">
        <v>94</v>
      </c>
      <c r="K1838" s="96" t="s">
        <v>200</v>
      </c>
      <c r="L1838">
        <v>53</v>
      </c>
      <c r="M1838" t="s">
        <v>24</v>
      </c>
      <c r="N1838" t="s">
        <v>29</v>
      </c>
      <c r="O1838" t="s">
        <v>150</v>
      </c>
      <c r="P1838">
        <v>2026</v>
      </c>
    </row>
    <row r="1839" spans="1:16" x14ac:dyDescent="0.25">
      <c r="A1839" s="96" t="s">
        <v>2</v>
      </c>
      <c r="B1839" s="96" t="s">
        <v>302</v>
      </c>
      <c r="C1839" s="96" t="s">
        <v>1835</v>
      </c>
      <c r="D1839" s="96" t="s">
        <v>40</v>
      </c>
      <c r="E1839" s="43">
        <v>46067</v>
      </c>
      <c r="F1839" s="43">
        <v>46092</v>
      </c>
      <c r="G1839" s="96" t="s">
        <v>90</v>
      </c>
      <c r="H1839" s="96" t="s">
        <v>5411</v>
      </c>
      <c r="I1839" s="96" t="s">
        <v>204</v>
      </c>
      <c r="J1839" s="96" t="s">
        <v>91</v>
      </c>
      <c r="K1839" s="96" t="s">
        <v>200</v>
      </c>
      <c r="L1839">
        <v>25</v>
      </c>
      <c r="M1839" t="s">
        <v>19</v>
      </c>
      <c r="N1839" t="s">
        <v>32</v>
      </c>
      <c r="O1839" t="s">
        <v>150</v>
      </c>
      <c r="P1839">
        <v>2026</v>
      </c>
    </row>
    <row r="1840" spans="1:16" hidden="1" x14ac:dyDescent="0.25">
      <c r="A1840" s="96" t="s">
        <v>2</v>
      </c>
      <c r="B1840" s="96" t="s">
        <v>257</v>
      </c>
      <c r="C1840" s="96" t="s">
        <v>1837</v>
      </c>
      <c r="D1840" s="96" t="s">
        <v>34</v>
      </c>
      <c r="E1840" s="43">
        <v>46019</v>
      </c>
      <c r="F1840" s="43">
        <v>46094</v>
      </c>
      <c r="G1840" s="96" t="s">
        <v>92</v>
      </c>
      <c r="H1840" s="96" t="s">
        <v>5412</v>
      </c>
      <c r="I1840" s="96" t="s">
        <v>225</v>
      </c>
      <c r="J1840" s="96" t="s">
        <v>98</v>
      </c>
      <c r="K1840" s="96" t="s">
        <v>200</v>
      </c>
      <c r="L1840">
        <v>75</v>
      </c>
      <c r="M1840" t="s">
        <v>28</v>
      </c>
      <c r="N1840" t="s">
        <v>25</v>
      </c>
      <c r="O1840" t="s">
        <v>151</v>
      </c>
      <c r="P1840">
        <v>2025</v>
      </c>
    </row>
    <row r="1841" spans="1:16" x14ac:dyDescent="0.25">
      <c r="A1841" s="96" t="s">
        <v>2</v>
      </c>
      <c r="B1841" s="96" t="s">
        <v>269</v>
      </c>
      <c r="C1841" s="96" t="s">
        <v>1839</v>
      </c>
      <c r="D1841" s="96" t="s">
        <v>223</v>
      </c>
      <c r="E1841" s="43">
        <v>46137</v>
      </c>
      <c r="F1841" s="43">
        <v>46151</v>
      </c>
      <c r="G1841" s="96" t="s">
        <v>92</v>
      </c>
      <c r="H1841" s="96" t="s">
        <v>5413</v>
      </c>
      <c r="I1841" s="96" t="s">
        <v>204</v>
      </c>
      <c r="J1841" s="96" t="s">
        <v>174</v>
      </c>
      <c r="K1841" s="96" t="s">
        <v>230</v>
      </c>
      <c r="L1841">
        <v>14</v>
      </c>
      <c r="M1841" t="s">
        <v>15</v>
      </c>
      <c r="N1841" t="s">
        <v>37</v>
      </c>
      <c r="O1841" t="s">
        <v>152</v>
      </c>
      <c r="P1841">
        <v>2026</v>
      </c>
    </row>
    <row r="1842" spans="1:16" x14ac:dyDescent="0.25">
      <c r="A1842" s="96" t="s">
        <v>2</v>
      </c>
      <c r="B1842" s="96" t="s">
        <v>226</v>
      </c>
      <c r="C1842" s="96" t="s">
        <v>1841</v>
      </c>
      <c r="D1842" s="96" t="s">
        <v>223</v>
      </c>
      <c r="E1842" s="43">
        <v>46080</v>
      </c>
      <c r="F1842" s="43">
        <v>46148</v>
      </c>
      <c r="G1842" s="96" t="s">
        <v>92</v>
      </c>
      <c r="H1842" s="96" t="s">
        <v>5414</v>
      </c>
      <c r="I1842" s="96" t="s">
        <v>157</v>
      </c>
      <c r="J1842" s="96" t="s">
        <v>283</v>
      </c>
      <c r="K1842" s="96" t="s">
        <v>230</v>
      </c>
      <c r="L1842">
        <v>68</v>
      </c>
      <c r="M1842" t="s">
        <v>28</v>
      </c>
      <c r="N1842" t="s">
        <v>32</v>
      </c>
      <c r="O1842" t="s">
        <v>151</v>
      </c>
      <c r="P1842">
        <v>2026</v>
      </c>
    </row>
    <row r="1843" spans="1:16" hidden="1" x14ac:dyDescent="0.25">
      <c r="A1843" s="96" t="s">
        <v>175</v>
      </c>
      <c r="B1843" s="96" t="s">
        <v>247</v>
      </c>
      <c r="C1843" s="96" t="s">
        <v>1843</v>
      </c>
      <c r="D1843" s="96" t="s">
        <v>192</v>
      </c>
      <c r="E1843" s="43">
        <v>45988</v>
      </c>
      <c r="F1843" s="43">
        <v>46047</v>
      </c>
      <c r="G1843" s="96" t="s">
        <v>95</v>
      </c>
      <c r="H1843" s="96" t="s">
        <v>5415</v>
      </c>
      <c r="I1843" s="96" t="s">
        <v>9</v>
      </c>
      <c r="J1843" s="96" t="s">
        <v>96</v>
      </c>
      <c r="K1843" s="96" t="s">
        <v>230</v>
      </c>
      <c r="L1843">
        <v>59</v>
      </c>
      <c r="M1843" t="s">
        <v>24</v>
      </c>
      <c r="N1843" t="s">
        <v>20</v>
      </c>
      <c r="O1843" t="s">
        <v>150</v>
      </c>
      <c r="P1843">
        <v>2025</v>
      </c>
    </row>
    <row r="1844" spans="1:16" hidden="1" x14ac:dyDescent="0.25">
      <c r="A1844" s="96" t="s">
        <v>2</v>
      </c>
      <c r="B1844" s="96" t="s">
        <v>272</v>
      </c>
      <c r="C1844" s="96" t="s">
        <v>1845</v>
      </c>
      <c r="D1844" s="96" t="s">
        <v>192</v>
      </c>
      <c r="E1844" s="43">
        <v>45793</v>
      </c>
      <c r="F1844" s="43">
        <v>45889</v>
      </c>
      <c r="G1844" s="96" t="s">
        <v>92</v>
      </c>
      <c r="H1844" s="96" t="s">
        <v>5416</v>
      </c>
      <c r="I1844" s="96" t="s">
        <v>157</v>
      </c>
      <c r="J1844" s="96" t="s">
        <v>165</v>
      </c>
      <c r="K1844" s="96" t="s">
        <v>210</v>
      </c>
      <c r="L1844">
        <v>96</v>
      </c>
      <c r="M1844" t="s">
        <v>28</v>
      </c>
      <c r="N1844" t="s">
        <v>182</v>
      </c>
      <c r="O1844" t="s">
        <v>151</v>
      </c>
      <c r="P1844">
        <v>2025</v>
      </c>
    </row>
    <row r="1845" spans="1:16" x14ac:dyDescent="0.25">
      <c r="A1845" s="96" t="s">
        <v>2</v>
      </c>
      <c r="B1845" s="96" t="s">
        <v>261</v>
      </c>
      <c r="C1845" s="96" t="s">
        <v>1847</v>
      </c>
      <c r="D1845" s="96" t="s">
        <v>215</v>
      </c>
      <c r="E1845" s="43">
        <v>46094</v>
      </c>
      <c r="F1845" s="43">
        <v>46115</v>
      </c>
      <c r="G1845" s="96" t="s">
        <v>92</v>
      </c>
      <c r="H1845" s="96" t="s">
        <v>5417</v>
      </c>
      <c r="I1845" s="96" t="s">
        <v>9</v>
      </c>
      <c r="J1845" s="96" t="s">
        <v>165</v>
      </c>
      <c r="K1845" s="96" t="s">
        <v>210</v>
      </c>
      <c r="L1845">
        <v>21</v>
      </c>
      <c r="M1845" t="s">
        <v>19</v>
      </c>
      <c r="N1845" t="s">
        <v>35</v>
      </c>
      <c r="O1845" t="s">
        <v>151</v>
      </c>
      <c r="P1845">
        <v>2026</v>
      </c>
    </row>
    <row r="1846" spans="1:16" x14ac:dyDescent="0.25">
      <c r="A1846" s="96" t="s">
        <v>2</v>
      </c>
      <c r="B1846" s="96" t="s">
        <v>374</v>
      </c>
      <c r="C1846" s="96" t="s">
        <v>5418</v>
      </c>
      <c r="D1846" s="96" t="s">
        <v>14</v>
      </c>
      <c r="E1846" s="43">
        <v>46035</v>
      </c>
      <c r="F1846" s="43">
        <v>46064</v>
      </c>
      <c r="G1846" s="96" t="s">
        <v>92</v>
      </c>
      <c r="H1846" s="96" t="s">
        <v>5419</v>
      </c>
      <c r="I1846" s="96" t="s">
        <v>157</v>
      </c>
      <c r="J1846" s="96" t="s">
        <v>176</v>
      </c>
      <c r="K1846" s="96" t="s">
        <v>210</v>
      </c>
      <c r="L1846">
        <v>29</v>
      </c>
      <c r="M1846" t="s">
        <v>19</v>
      </c>
      <c r="N1846" t="s">
        <v>29</v>
      </c>
      <c r="O1846" t="s">
        <v>150</v>
      </c>
      <c r="P1846">
        <v>2026</v>
      </c>
    </row>
    <row r="1847" spans="1:16" hidden="1" x14ac:dyDescent="0.25">
      <c r="A1847" s="96" t="s">
        <v>2</v>
      </c>
      <c r="B1847" s="96" t="s">
        <v>257</v>
      </c>
      <c r="C1847" s="96" t="s">
        <v>1848</v>
      </c>
      <c r="D1847" s="96" t="s">
        <v>203</v>
      </c>
      <c r="E1847" s="43">
        <v>45784</v>
      </c>
      <c r="F1847" s="43">
        <v>45830</v>
      </c>
      <c r="G1847" s="96" t="s">
        <v>90</v>
      </c>
      <c r="H1847" s="96" t="s">
        <v>5420</v>
      </c>
      <c r="I1847" s="96" t="s">
        <v>209</v>
      </c>
      <c r="J1847" s="96" t="s">
        <v>172</v>
      </c>
      <c r="K1847" s="96" t="s">
        <v>233</v>
      </c>
      <c r="L1847">
        <v>46</v>
      </c>
      <c r="M1847" t="s">
        <v>24</v>
      </c>
      <c r="N1847" t="s">
        <v>182</v>
      </c>
      <c r="O1847" t="s">
        <v>151</v>
      </c>
      <c r="P1847">
        <v>2025</v>
      </c>
    </row>
    <row r="1848" spans="1:16" hidden="1" x14ac:dyDescent="0.25">
      <c r="A1848" s="96" t="s">
        <v>175</v>
      </c>
      <c r="B1848" s="96" t="s">
        <v>272</v>
      </c>
      <c r="C1848" s="96" t="s">
        <v>1850</v>
      </c>
      <c r="D1848" s="96" t="s">
        <v>10</v>
      </c>
      <c r="E1848" s="43">
        <v>45769</v>
      </c>
      <c r="F1848" s="43">
        <v>45796</v>
      </c>
      <c r="G1848" s="96" t="s">
        <v>92</v>
      </c>
      <c r="H1848" s="96" t="s">
        <v>5421</v>
      </c>
      <c r="I1848" s="96" t="s">
        <v>225</v>
      </c>
      <c r="J1848" s="96" t="s">
        <v>93</v>
      </c>
      <c r="K1848" s="96" t="s">
        <v>246</v>
      </c>
      <c r="L1848">
        <v>27</v>
      </c>
      <c r="M1848" t="s">
        <v>19</v>
      </c>
      <c r="N1848" t="s">
        <v>185</v>
      </c>
      <c r="O1848" t="s">
        <v>151</v>
      </c>
      <c r="P1848">
        <v>2025</v>
      </c>
    </row>
    <row r="1849" spans="1:16" x14ac:dyDescent="0.25">
      <c r="A1849" s="96" t="s">
        <v>171</v>
      </c>
      <c r="B1849" s="96" t="s">
        <v>249</v>
      </c>
      <c r="C1849" s="96" t="s">
        <v>5422</v>
      </c>
      <c r="D1849" s="96" t="s">
        <v>215</v>
      </c>
      <c r="E1849" s="43">
        <v>46110</v>
      </c>
      <c r="F1849" s="43">
        <v>46149</v>
      </c>
      <c r="G1849" s="96" t="s">
        <v>92</v>
      </c>
      <c r="H1849" s="96" t="s">
        <v>5423</v>
      </c>
      <c r="I1849" s="96" t="s">
        <v>209</v>
      </c>
      <c r="J1849" s="96" t="s">
        <v>176</v>
      </c>
      <c r="K1849" s="96" t="s">
        <v>210</v>
      </c>
      <c r="L1849">
        <v>39</v>
      </c>
      <c r="M1849" t="s">
        <v>24</v>
      </c>
      <c r="N1849" t="s">
        <v>35</v>
      </c>
      <c r="O1849" t="s">
        <v>170</v>
      </c>
      <c r="P1849">
        <v>2026</v>
      </c>
    </row>
    <row r="1850" spans="1:16" hidden="1" x14ac:dyDescent="0.25">
      <c r="A1850" s="96" t="s">
        <v>2</v>
      </c>
      <c r="B1850" s="96" t="s">
        <v>257</v>
      </c>
      <c r="C1850" s="96" t="s">
        <v>5424</v>
      </c>
      <c r="D1850" s="96" t="s">
        <v>203</v>
      </c>
      <c r="E1850" s="43">
        <v>45981</v>
      </c>
      <c r="F1850" s="43">
        <v>45992</v>
      </c>
      <c r="G1850" s="96" t="s">
        <v>92</v>
      </c>
      <c r="H1850" s="96" t="s">
        <v>5425</v>
      </c>
      <c r="I1850" s="96" t="s">
        <v>225</v>
      </c>
      <c r="J1850" s="96" t="s">
        <v>97</v>
      </c>
      <c r="K1850" s="96" t="s">
        <v>210</v>
      </c>
      <c r="L1850">
        <v>11</v>
      </c>
      <c r="M1850" t="s">
        <v>15</v>
      </c>
      <c r="N1850" t="s">
        <v>20</v>
      </c>
      <c r="O1850" t="s">
        <v>151</v>
      </c>
      <c r="P1850">
        <v>2025</v>
      </c>
    </row>
    <row r="1851" spans="1:16" hidden="1" x14ac:dyDescent="0.25">
      <c r="A1851" s="96" t="s">
        <v>175</v>
      </c>
      <c r="B1851" s="96" t="s">
        <v>206</v>
      </c>
      <c r="C1851" s="96" t="s">
        <v>1851</v>
      </c>
      <c r="D1851" s="96" t="s">
        <v>203</v>
      </c>
      <c r="E1851" s="43">
        <v>45725</v>
      </c>
      <c r="F1851" s="43">
        <v>45820</v>
      </c>
      <c r="G1851" s="96" t="s">
        <v>92</v>
      </c>
      <c r="H1851" s="96" t="s">
        <v>5426</v>
      </c>
      <c r="I1851" s="96" t="s">
        <v>225</v>
      </c>
      <c r="J1851" s="96" t="s">
        <v>165</v>
      </c>
      <c r="K1851" s="96" t="s">
        <v>217</v>
      </c>
      <c r="L1851">
        <v>95</v>
      </c>
      <c r="M1851" t="s">
        <v>28</v>
      </c>
      <c r="N1851" t="s">
        <v>186</v>
      </c>
      <c r="O1851" t="s">
        <v>152</v>
      </c>
      <c r="P1851">
        <v>2025</v>
      </c>
    </row>
    <row r="1852" spans="1:16" hidden="1" x14ac:dyDescent="0.25">
      <c r="A1852" s="96" t="s">
        <v>2</v>
      </c>
      <c r="B1852" s="96" t="s">
        <v>211</v>
      </c>
      <c r="C1852" s="96" t="s">
        <v>5427</v>
      </c>
      <c r="D1852" s="96" t="s">
        <v>40</v>
      </c>
      <c r="E1852" s="43">
        <v>45707</v>
      </c>
      <c r="F1852" s="43">
        <v>45819</v>
      </c>
      <c r="G1852" s="96" t="s">
        <v>90</v>
      </c>
      <c r="H1852" s="96" t="s">
        <v>5428</v>
      </c>
      <c r="I1852" s="96" t="s">
        <v>209</v>
      </c>
      <c r="J1852" s="96" t="s">
        <v>96</v>
      </c>
      <c r="K1852" s="96" t="s">
        <v>200</v>
      </c>
      <c r="L1852">
        <v>112</v>
      </c>
      <c r="M1852" t="s">
        <v>28</v>
      </c>
      <c r="N1852" t="s">
        <v>188</v>
      </c>
      <c r="O1852" t="s">
        <v>170</v>
      </c>
      <c r="P1852">
        <v>2025</v>
      </c>
    </row>
    <row r="1853" spans="1:16" hidden="1" x14ac:dyDescent="0.25">
      <c r="A1853" s="96" t="s">
        <v>175</v>
      </c>
      <c r="B1853" s="96" t="s">
        <v>253</v>
      </c>
      <c r="C1853" s="96" t="s">
        <v>1852</v>
      </c>
      <c r="D1853" s="96" t="s">
        <v>14</v>
      </c>
      <c r="E1853" s="43">
        <v>45881</v>
      </c>
      <c r="F1853" s="43">
        <v>45911</v>
      </c>
      <c r="G1853" s="96" t="s">
        <v>90</v>
      </c>
      <c r="H1853" s="96" t="s">
        <v>5429</v>
      </c>
      <c r="I1853" s="96" t="s">
        <v>225</v>
      </c>
      <c r="J1853" s="96" t="s">
        <v>165</v>
      </c>
      <c r="K1853" s="96" t="s">
        <v>157</v>
      </c>
      <c r="L1853">
        <v>30</v>
      </c>
      <c r="M1853" t="s">
        <v>19</v>
      </c>
      <c r="N1853" t="s">
        <v>8</v>
      </c>
      <c r="O1853" t="s">
        <v>152</v>
      </c>
      <c r="P1853">
        <v>2025</v>
      </c>
    </row>
    <row r="1854" spans="1:16" x14ac:dyDescent="0.25">
      <c r="A1854" s="96" t="s">
        <v>2</v>
      </c>
      <c r="B1854" s="96" t="s">
        <v>244</v>
      </c>
      <c r="C1854" s="96" t="s">
        <v>1853</v>
      </c>
      <c r="D1854" s="96" t="s">
        <v>10</v>
      </c>
      <c r="E1854" s="43">
        <v>46115</v>
      </c>
      <c r="F1854" s="43">
        <v>46146</v>
      </c>
      <c r="G1854" s="96" t="s">
        <v>92</v>
      </c>
      <c r="H1854" s="96" t="s">
        <v>5430</v>
      </c>
      <c r="I1854" s="96" t="s">
        <v>204</v>
      </c>
      <c r="J1854" s="96" t="s">
        <v>216</v>
      </c>
      <c r="K1854" s="96" t="s">
        <v>230</v>
      </c>
      <c r="L1854">
        <v>31</v>
      </c>
      <c r="M1854" t="s">
        <v>24</v>
      </c>
      <c r="N1854" t="s">
        <v>37</v>
      </c>
      <c r="O1854" t="s">
        <v>150</v>
      </c>
      <c r="P1854">
        <v>2026</v>
      </c>
    </row>
    <row r="1855" spans="1:16" hidden="1" x14ac:dyDescent="0.25">
      <c r="A1855" s="96" t="s">
        <v>175</v>
      </c>
      <c r="B1855" s="96" t="s">
        <v>255</v>
      </c>
      <c r="C1855" s="96" t="s">
        <v>1855</v>
      </c>
      <c r="D1855" s="96" t="s">
        <v>10</v>
      </c>
      <c r="E1855" s="43">
        <v>45753</v>
      </c>
      <c r="F1855" s="43">
        <v>45817</v>
      </c>
      <c r="G1855" s="96" t="s">
        <v>92</v>
      </c>
      <c r="H1855" s="96" t="s">
        <v>5431</v>
      </c>
      <c r="I1855" s="96" t="s">
        <v>157</v>
      </c>
      <c r="J1855" s="96" t="s">
        <v>229</v>
      </c>
      <c r="K1855" s="96" t="s">
        <v>233</v>
      </c>
      <c r="L1855">
        <v>64</v>
      </c>
      <c r="M1855" t="s">
        <v>28</v>
      </c>
      <c r="N1855" t="s">
        <v>185</v>
      </c>
      <c r="O1855" t="s">
        <v>150</v>
      </c>
      <c r="P1855">
        <v>2025</v>
      </c>
    </row>
    <row r="1856" spans="1:16" x14ac:dyDescent="0.25">
      <c r="A1856" s="96" t="s">
        <v>2</v>
      </c>
      <c r="B1856" s="96" t="s">
        <v>305</v>
      </c>
      <c r="C1856" s="96" t="s">
        <v>1857</v>
      </c>
      <c r="D1856" s="96" t="s">
        <v>34</v>
      </c>
      <c r="E1856" s="43">
        <v>46075</v>
      </c>
      <c r="F1856" s="43">
        <v>46140</v>
      </c>
      <c r="G1856" s="96" t="s">
        <v>92</v>
      </c>
      <c r="H1856" s="96" t="s">
        <v>5432</v>
      </c>
      <c r="I1856" s="96" t="s">
        <v>228</v>
      </c>
      <c r="J1856" s="96" t="s">
        <v>169</v>
      </c>
      <c r="K1856" s="96" t="s">
        <v>195</v>
      </c>
      <c r="L1856">
        <v>65</v>
      </c>
      <c r="M1856" t="s">
        <v>28</v>
      </c>
      <c r="N1856" t="s">
        <v>32</v>
      </c>
      <c r="O1856" t="s">
        <v>170</v>
      </c>
      <c r="P1856">
        <v>2026</v>
      </c>
    </row>
    <row r="1857" spans="1:16" hidden="1" x14ac:dyDescent="0.25">
      <c r="A1857" s="96" t="s">
        <v>2</v>
      </c>
      <c r="B1857" s="96" t="s">
        <v>251</v>
      </c>
      <c r="C1857" s="96" t="s">
        <v>1859</v>
      </c>
      <c r="D1857" s="96" t="s">
        <v>215</v>
      </c>
      <c r="E1857" s="43">
        <v>45988</v>
      </c>
      <c r="F1857" s="43">
        <v>46056</v>
      </c>
      <c r="G1857" s="96" t="s">
        <v>92</v>
      </c>
      <c r="H1857" s="96" t="s">
        <v>5433</v>
      </c>
      <c r="I1857" s="96" t="s">
        <v>9</v>
      </c>
      <c r="J1857" s="96" t="s">
        <v>199</v>
      </c>
      <c r="K1857" s="96" t="s">
        <v>195</v>
      </c>
      <c r="L1857">
        <v>68</v>
      </c>
      <c r="M1857" t="s">
        <v>28</v>
      </c>
      <c r="N1857" t="s">
        <v>20</v>
      </c>
      <c r="O1857" t="s">
        <v>170</v>
      </c>
      <c r="P1857">
        <v>2025</v>
      </c>
    </row>
    <row r="1858" spans="1:16" hidden="1" x14ac:dyDescent="0.25">
      <c r="A1858" s="96" t="s">
        <v>2</v>
      </c>
      <c r="B1858" s="96" t="s">
        <v>190</v>
      </c>
      <c r="C1858" s="96" t="s">
        <v>1860</v>
      </c>
      <c r="D1858" s="96" t="s">
        <v>14</v>
      </c>
      <c r="E1858" s="43">
        <v>45693</v>
      </c>
      <c r="F1858" s="43">
        <v>45779</v>
      </c>
      <c r="G1858" s="96" t="s">
        <v>95</v>
      </c>
      <c r="H1858" s="96" t="s">
        <v>5434</v>
      </c>
      <c r="I1858" s="96" t="s">
        <v>194</v>
      </c>
      <c r="J1858" s="96" t="s">
        <v>173</v>
      </c>
      <c r="K1858" s="96" t="s">
        <v>205</v>
      </c>
      <c r="L1858">
        <v>86</v>
      </c>
      <c r="M1858" t="s">
        <v>28</v>
      </c>
      <c r="N1858" t="s">
        <v>188</v>
      </c>
      <c r="O1858" t="s">
        <v>150</v>
      </c>
      <c r="P1858">
        <v>2025</v>
      </c>
    </row>
    <row r="1859" spans="1:16" x14ac:dyDescent="0.25">
      <c r="A1859" s="96" t="s">
        <v>21</v>
      </c>
      <c r="B1859" s="96" t="s">
        <v>269</v>
      </c>
      <c r="C1859" s="96" t="s">
        <v>5435</v>
      </c>
      <c r="D1859" s="96" t="s">
        <v>10</v>
      </c>
      <c r="E1859" s="43">
        <v>46125</v>
      </c>
      <c r="F1859" s="43">
        <v>46151</v>
      </c>
      <c r="G1859" s="96" t="s">
        <v>95</v>
      </c>
      <c r="H1859" s="96" t="s">
        <v>5436</v>
      </c>
      <c r="I1859" s="96" t="s">
        <v>157</v>
      </c>
      <c r="J1859" s="96" t="s">
        <v>91</v>
      </c>
      <c r="K1859" s="96" t="s">
        <v>157</v>
      </c>
      <c r="L1859">
        <v>26</v>
      </c>
      <c r="M1859" t="s">
        <v>19</v>
      </c>
      <c r="N1859" t="s">
        <v>37</v>
      </c>
      <c r="O1859" t="s">
        <v>152</v>
      </c>
      <c r="P1859">
        <v>2026</v>
      </c>
    </row>
    <row r="1860" spans="1:16" x14ac:dyDescent="0.25">
      <c r="A1860" s="96" t="s">
        <v>2</v>
      </c>
      <c r="B1860" s="96" t="s">
        <v>201</v>
      </c>
      <c r="C1860" s="96" t="s">
        <v>5437</v>
      </c>
      <c r="D1860" s="96" t="s">
        <v>215</v>
      </c>
      <c r="E1860" s="43">
        <v>46046</v>
      </c>
      <c r="F1860" s="43">
        <v>46126</v>
      </c>
      <c r="G1860" s="96" t="s">
        <v>92</v>
      </c>
      <c r="H1860" s="96" t="s">
        <v>5438</v>
      </c>
      <c r="I1860" s="96" t="s">
        <v>209</v>
      </c>
      <c r="J1860" s="96" t="s">
        <v>91</v>
      </c>
      <c r="K1860" s="96" t="s">
        <v>210</v>
      </c>
      <c r="L1860">
        <v>80</v>
      </c>
      <c r="M1860" t="s">
        <v>28</v>
      </c>
      <c r="N1860" t="s">
        <v>29</v>
      </c>
      <c r="O1860" t="s">
        <v>170</v>
      </c>
      <c r="P1860">
        <v>2026</v>
      </c>
    </row>
    <row r="1861" spans="1:16" hidden="1" x14ac:dyDescent="0.25">
      <c r="A1861" s="96" t="s">
        <v>2</v>
      </c>
      <c r="B1861" s="96" t="s">
        <v>253</v>
      </c>
      <c r="C1861" s="96" t="s">
        <v>5439</v>
      </c>
      <c r="D1861" s="96" t="s">
        <v>34</v>
      </c>
      <c r="E1861" s="43">
        <v>45911</v>
      </c>
      <c r="F1861" s="43">
        <v>45970</v>
      </c>
      <c r="G1861" s="96" t="s">
        <v>90</v>
      </c>
      <c r="H1861" s="96" t="s">
        <v>5440</v>
      </c>
      <c r="I1861" s="96" t="s">
        <v>225</v>
      </c>
      <c r="J1861" s="96" t="s">
        <v>165</v>
      </c>
      <c r="K1861" s="96" t="s">
        <v>217</v>
      </c>
      <c r="L1861">
        <v>59</v>
      </c>
      <c r="M1861" t="s">
        <v>24</v>
      </c>
      <c r="N1861" t="s">
        <v>12</v>
      </c>
      <c r="O1861" t="s">
        <v>152</v>
      </c>
      <c r="P1861">
        <v>2025</v>
      </c>
    </row>
    <row r="1862" spans="1:16" x14ac:dyDescent="0.25">
      <c r="A1862" s="96" t="s">
        <v>175</v>
      </c>
      <c r="B1862" s="96" t="s">
        <v>226</v>
      </c>
      <c r="C1862" s="96" t="s">
        <v>5441</v>
      </c>
      <c r="D1862" s="96" t="s">
        <v>14</v>
      </c>
      <c r="E1862" s="43">
        <v>46076</v>
      </c>
      <c r="F1862" s="43">
        <v>46092</v>
      </c>
      <c r="G1862" s="96" t="s">
        <v>90</v>
      </c>
      <c r="H1862" s="96" t="s">
        <v>5442</v>
      </c>
      <c r="I1862" s="96" t="s">
        <v>9</v>
      </c>
      <c r="J1862" s="96" t="s">
        <v>177</v>
      </c>
      <c r="K1862" s="96" t="s">
        <v>200</v>
      </c>
      <c r="L1862">
        <v>16</v>
      </c>
      <c r="M1862" t="s">
        <v>19</v>
      </c>
      <c r="N1862" t="s">
        <v>32</v>
      </c>
      <c r="O1862" t="s">
        <v>151</v>
      </c>
      <c r="P1862">
        <v>2026</v>
      </c>
    </row>
    <row r="1863" spans="1:16" x14ac:dyDescent="0.25">
      <c r="A1863" s="96" t="s">
        <v>175</v>
      </c>
      <c r="B1863" s="96" t="s">
        <v>302</v>
      </c>
      <c r="C1863" s="96" t="s">
        <v>5443</v>
      </c>
      <c r="D1863" s="96" t="s">
        <v>208</v>
      </c>
      <c r="E1863" s="43">
        <v>46135</v>
      </c>
      <c r="F1863" s="43">
        <v>46151</v>
      </c>
      <c r="G1863" s="96" t="s">
        <v>92</v>
      </c>
      <c r="H1863" s="96" t="s">
        <v>5444</v>
      </c>
      <c r="I1863" s="96" t="s">
        <v>9</v>
      </c>
      <c r="J1863" s="96" t="s">
        <v>172</v>
      </c>
      <c r="K1863" s="96" t="s">
        <v>200</v>
      </c>
      <c r="L1863">
        <v>16</v>
      </c>
      <c r="M1863" t="s">
        <v>19</v>
      </c>
      <c r="N1863" t="s">
        <v>37</v>
      </c>
      <c r="O1863" t="s">
        <v>150</v>
      </c>
      <c r="P1863">
        <v>2026</v>
      </c>
    </row>
    <row r="1864" spans="1:16" hidden="1" x14ac:dyDescent="0.25">
      <c r="A1864" s="96" t="s">
        <v>2</v>
      </c>
      <c r="B1864" s="96" t="s">
        <v>280</v>
      </c>
      <c r="C1864" s="96" t="s">
        <v>5445</v>
      </c>
      <c r="D1864" s="96" t="s">
        <v>215</v>
      </c>
      <c r="E1864" s="43">
        <v>45801</v>
      </c>
      <c r="F1864" s="43">
        <v>45853</v>
      </c>
      <c r="G1864" s="96" t="s">
        <v>92</v>
      </c>
      <c r="H1864" s="96" t="s">
        <v>5446</v>
      </c>
      <c r="I1864" s="96" t="s">
        <v>225</v>
      </c>
      <c r="J1864" s="96" t="s">
        <v>93</v>
      </c>
      <c r="K1864" s="96" t="s">
        <v>195</v>
      </c>
      <c r="L1864">
        <v>52</v>
      </c>
      <c r="M1864" t="s">
        <v>24</v>
      </c>
      <c r="N1864" t="s">
        <v>182</v>
      </c>
      <c r="O1864" t="s">
        <v>170</v>
      </c>
      <c r="P1864">
        <v>2025</v>
      </c>
    </row>
    <row r="1865" spans="1:16" hidden="1" x14ac:dyDescent="0.25">
      <c r="A1865" s="96" t="s">
        <v>2</v>
      </c>
      <c r="B1865" s="96" t="s">
        <v>255</v>
      </c>
      <c r="C1865" s="96" t="s">
        <v>5447</v>
      </c>
      <c r="D1865" s="96" t="s">
        <v>203</v>
      </c>
      <c r="E1865" s="43">
        <v>45785</v>
      </c>
      <c r="F1865" s="43">
        <v>45809</v>
      </c>
      <c r="G1865" s="96" t="s">
        <v>92</v>
      </c>
      <c r="H1865" s="96" t="s">
        <v>5448</v>
      </c>
      <c r="I1865" s="96" t="s">
        <v>157</v>
      </c>
      <c r="J1865" s="96" t="s">
        <v>216</v>
      </c>
      <c r="K1865" s="96" t="s">
        <v>230</v>
      </c>
      <c r="L1865">
        <v>24</v>
      </c>
      <c r="M1865" t="s">
        <v>19</v>
      </c>
      <c r="N1865" t="s">
        <v>182</v>
      </c>
      <c r="O1865" t="s">
        <v>150</v>
      </c>
      <c r="P1865">
        <v>2025</v>
      </c>
    </row>
    <row r="1866" spans="1:16" hidden="1" x14ac:dyDescent="0.25">
      <c r="A1866" s="96" t="s">
        <v>2</v>
      </c>
      <c r="B1866" s="96" t="s">
        <v>247</v>
      </c>
      <c r="C1866" s="96" t="s">
        <v>1863</v>
      </c>
      <c r="D1866" s="96" t="s">
        <v>34</v>
      </c>
      <c r="E1866" s="43">
        <v>45945</v>
      </c>
      <c r="F1866" s="43">
        <v>46062</v>
      </c>
      <c r="G1866" s="96" t="s">
        <v>90</v>
      </c>
      <c r="H1866" s="96" t="s">
        <v>5449</v>
      </c>
      <c r="I1866" s="96" t="s">
        <v>225</v>
      </c>
      <c r="J1866" s="96" t="s">
        <v>98</v>
      </c>
      <c r="K1866" s="96" t="s">
        <v>195</v>
      </c>
      <c r="L1866">
        <v>117</v>
      </c>
      <c r="M1866" t="s">
        <v>28</v>
      </c>
      <c r="N1866" t="s">
        <v>16</v>
      </c>
      <c r="O1866" t="s">
        <v>150</v>
      </c>
      <c r="P1866">
        <v>2025</v>
      </c>
    </row>
    <row r="1867" spans="1:16" x14ac:dyDescent="0.25">
      <c r="A1867" s="96" t="s">
        <v>2</v>
      </c>
      <c r="B1867" s="96" t="s">
        <v>226</v>
      </c>
      <c r="C1867" s="96" t="s">
        <v>5450</v>
      </c>
      <c r="D1867" s="96" t="s">
        <v>215</v>
      </c>
      <c r="E1867" s="43">
        <v>46091</v>
      </c>
      <c r="F1867" s="43">
        <v>46104</v>
      </c>
      <c r="G1867" s="96" t="s">
        <v>92</v>
      </c>
      <c r="H1867" s="96" t="s">
        <v>5451</v>
      </c>
      <c r="I1867" s="96" t="s">
        <v>9</v>
      </c>
      <c r="J1867" s="96" t="s">
        <v>93</v>
      </c>
      <c r="K1867" s="96" t="s">
        <v>200</v>
      </c>
      <c r="L1867">
        <v>13</v>
      </c>
      <c r="M1867" t="s">
        <v>15</v>
      </c>
      <c r="N1867" t="s">
        <v>35</v>
      </c>
      <c r="O1867" t="s">
        <v>151</v>
      </c>
      <c r="P1867">
        <v>2026</v>
      </c>
    </row>
    <row r="1868" spans="1:16" hidden="1" x14ac:dyDescent="0.25">
      <c r="A1868" s="96" t="s">
        <v>2</v>
      </c>
      <c r="B1868" s="96" t="s">
        <v>272</v>
      </c>
      <c r="C1868" s="96" t="s">
        <v>1864</v>
      </c>
      <c r="D1868" s="96" t="s">
        <v>40</v>
      </c>
      <c r="E1868" s="43">
        <v>45744</v>
      </c>
      <c r="F1868" s="43">
        <v>45818</v>
      </c>
      <c r="G1868" s="96" t="s">
        <v>92</v>
      </c>
      <c r="H1868" s="96" t="s">
        <v>5452</v>
      </c>
      <c r="I1868" s="96" t="s">
        <v>9</v>
      </c>
      <c r="J1868" s="96" t="s">
        <v>169</v>
      </c>
      <c r="K1868" s="96" t="s">
        <v>233</v>
      </c>
      <c r="L1868">
        <v>74</v>
      </c>
      <c r="M1868" t="s">
        <v>28</v>
      </c>
      <c r="N1868" t="s">
        <v>186</v>
      </c>
      <c r="O1868" t="s">
        <v>151</v>
      </c>
      <c r="P1868">
        <v>2025</v>
      </c>
    </row>
    <row r="1869" spans="1:16" hidden="1" x14ac:dyDescent="0.25">
      <c r="A1869" s="96" t="s">
        <v>2</v>
      </c>
      <c r="B1869" s="96" t="s">
        <v>264</v>
      </c>
      <c r="C1869" s="96" t="s">
        <v>1867</v>
      </c>
      <c r="D1869" s="96" t="s">
        <v>40</v>
      </c>
      <c r="E1869" s="43">
        <v>45669</v>
      </c>
      <c r="F1869" s="43">
        <v>45770</v>
      </c>
      <c r="G1869" s="96" t="s">
        <v>90</v>
      </c>
      <c r="H1869" s="96" t="s">
        <v>5453</v>
      </c>
      <c r="I1869" s="96" t="s">
        <v>225</v>
      </c>
      <c r="J1869" s="96" t="s">
        <v>176</v>
      </c>
      <c r="K1869" s="96" t="s">
        <v>157</v>
      </c>
      <c r="L1869">
        <v>101</v>
      </c>
      <c r="M1869" t="s">
        <v>28</v>
      </c>
      <c r="N1869" t="s">
        <v>181</v>
      </c>
      <c r="O1869" t="s">
        <v>152</v>
      </c>
      <c r="P1869">
        <v>2025</v>
      </c>
    </row>
    <row r="1870" spans="1:16" x14ac:dyDescent="0.25">
      <c r="A1870" s="96" t="s">
        <v>2</v>
      </c>
      <c r="B1870" s="96" t="s">
        <v>302</v>
      </c>
      <c r="C1870" s="96" t="s">
        <v>1869</v>
      </c>
      <c r="D1870" s="96" t="s">
        <v>40</v>
      </c>
      <c r="E1870" s="43">
        <v>46120</v>
      </c>
      <c r="F1870" s="43">
        <v>46149</v>
      </c>
      <c r="G1870" s="96" t="s">
        <v>95</v>
      </c>
      <c r="H1870" s="96" t="s">
        <v>5454</v>
      </c>
      <c r="I1870" s="96" t="s">
        <v>157</v>
      </c>
      <c r="J1870" s="96" t="s">
        <v>168</v>
      </c>
      <c r="K1870" s="96" t="s">
        <v>200</v>
      </c>
      <c r="L1870">
        <v>29</v>
      </c>
      <c r="M1870" t="s">
        <v>19</v>
      </c>
      <c r="N1870" t="s">
        <v>37</v>
      </c>
      <c r="O1870" t="s">
        <v>150</v>
      </c>
      <c r="P1870">
        <v>2026</v>
      </c>
    </row>
    <row r="1871" spans="1:16" hidden="1" x14ac:dyDescent="0.25">
      <c r="A1871" s="96" t="s">
        <v>2</v>
      </c>
      <c r="B1871" s="96" t="s">
        <v>190</v>
      </c>
      <c r="C1871" s="96" t="s">
        <v>1871</v>
      </c>
      <c r="D1871" s="96" t="s">
        <v>237</v>
      </c>
      <c r="E1871" s="43">
        <v>45869</v>
      </c>
      <c r="F1871" s="43">
        <v>45952</v>
      </c>
      <c r="G1871" s="96" t="s">
        <v>92</v>
      </c>
      <c r="H1871" s="96" t="s">
        <v>5455</v>
      </c>
      <c r="I1871" s="96" t="s">
        <v>157</v>
      </c>
      <c r="J1871" s="96" t="s">
        <v>216</v>
      </c>
      <c r="K1871" s="96" t="s">
        <v>230</v>
      </c>
      <c r="L1871">
        <v>83</v>
      </c>
      <c r="M1871" t="s">
        <v>28</v>
      </c>
      <c r="N1871" t="s">
        <v>187</v>
      </c>
      <c r="O1871" t="s">
        <v>150</v>
      </c>
      <c r="P1871">
        <v>2025</v>
      </c>
    </row>
    <row r="1872" spans="1:16" hidden="1" x14ac:dyDescent="0.25">
      <c r="A1872" s="96" t="s">
        <v>2</v>
      </c>
      <c r="B1872" s="96" t="s">
        <v>257</v>
      </c>
      <c r="C1872" s="96" t="s">
        <v>1872</v>
      </c>
      <c r="D1872" s="96" t="s">
        <v>10</v>
      </c>
      <c r="E1872" s="43">
        <v>46011</v>
      </c>
      <c r="F1872" s="43">
        <v>46024</v>
      </c>
      <c r="G1872" s="96" t="s">
        <v>92</v>
      </c>
      <c r="H1872" s="96" t="s">
        <v>5456</v>
      </c>
      <c r="I1872" s="96" t="s">
        <v>228</v>
      </c>
      <c r="J1872" s="96" t="s">
        <v>174</v>
      </c>
      <c r="K1872" s="96" t="s">
        <v>246</v>
      </c>
      <c r="L1872">
        <v>13</v>
      </c>
      <c r="M1872" t="s">
        <v>15</v>
      </c>
      <c r="N1872" t="s">
        <v>25</v>
      </c>
      <c r="O1872" t="s">
        <v>151</v>
      </c>
      <c r="P1872">
        <v>2025</v>
      </c>
    </row>
    <row r="1873" spans="1:16" x14ac:dyDescent="0.25">
      <c r="A1873" s="96" t="s">
        <v>175</v>
      </c>
      <c r="B1873" s="96" t="s">
        <v>226</v>
      </c>
      <c r="C1873" s="96" t="s">
        <v>1873</v>
      </c>
      <c r="D1873" s="96" t="s">
        <v>14</v>
      </c>
      <c r="E1873" s="43">
        <v>46031</v>
      </c>
      <c r="F1873" s="43">
        <v>46033</v>
      </c>
      <c r="G1873" s="96" t="s">
        <v>95</v>
      </c>
      <c r="H1873" s="96" t="s">
        <v>5457</v>
      </c>
      <c r="I1873" s="96" t="s">
        <v>204</v>
      </c>
      <c r="J1873" s="96" t="s">
        <v>229</v>
      </c>
      <c r="K1873" s="96" t="s">
        <v>200</v>
      </c>
      <c r="L1873">
        <v>2</v>
      </c>
      <c r="M1873" t="s">
        <v>11</v>
      </c>
      <c r="N1873" t="s">
        <v>29</v>
      </c>
      <c r="O1873" t="s">
        <v>151</v>
      </c>
      <c r="P1873">
        <v>2026</v>
      </c>
    </row>
    <row r="1874" spans="1:16" hidden="1" x14ac:dyDescent="0.25">
      <c r="A1874" s="96" t="s">
        <v>2</v>
      </c>
      <c r="B1874" s="96" t="s">
        <v>240</v>
      </c>
      <c r="C1874" s="96" t="s">
        <v>1874</v>
      </c>
      <c r="D1874" s="96" t="s">
        <v>208</v>
      </c>
      <c r="E1874" s="43">
        <v>45744</v>
      </c>
      <c r="F1874" s="43">
        <v>45809</v>
      </c>
      <c r="G1874" s="96" t="s">
        <v>95</v>
      </c>
      <c r="H1874" s="96" t="s">
        <v>5458</v>
      </c>
      <c r="I1874" s="96" t="s">
        <v>225</v>
      </c>
      <c r="J1874" s="96" t="s">
        <v>168</v>
      </c>
      <c r="K1874" s="96" t="s">
        <v>230</v>
      </c>
      <c r="L1874">
        <v>65</v>
      </c>
      <c r="M1874" t="s">
        <v>28</v>
      </c>
      <c r="N1874" t="s">
        <v>186</v>
      </c>
      <c r="O1874" t="s">
        <v>149</v>
      </c>
      <c r="P1874">
        <v>2025</v>
      </c>
    </row>
    <row r="1875" spans="1:16" hidden="1" x14ac:dyDescent="0.25">
      <c r="A1875" s="96" t="s">
        <v>2</v>
      </c>
      <c r="B1875" s="96" t="s">
        <v>253</v>
      </c>
      <c r="C1875" s="96" t="s">
        <v>1876</v>
      </c>
      <c r="D1875" s="96" t="s">
        <v>14</v>
      </c>
      <c r="E1875" s="43">
        <v>45997</v>
      </c>
      <c r="F1875" s="43">
        <v>46098</v>
      </c>
      <c r="G1875" s="96" t="s">
        <v>92</v>
      </c>
      <c r="H1875" s="96" t="s">
        <v>5459</v>
      </c>
      <c r="I1875" s="96" t="s">
        <v>157</v>
      </c>
      <c r="J1875" s="96" t="s">
        <v>283</v>
      </c>
      <c r="K1875" s="96" t="s">
        <v>205</v>
      </c>
      <c r="L1875">
        <v>101</v>
      </c>
      <c r="M1875" t="s">
        <v>28</v>
      </c>
      <c r="N1875" t="s">
        <v>25</v>
      </c>
      <c r="O1875" t="s">
        <v>152</v>
      </c>
      <c r="P1875">
        <v>2025</v>
      </c>
    </row>
    <row r="1876" spans="1:16" hidden="1" x14ac:dyDescent="0.25">
      <c r="A1876" s="96" t="s">
        <v>2</v>
      </c>
      <c r="B1876" s="96" t="s">
        <v>253</v>
      </c>
      <c r="C1876" s="96" t="s">
        <v>1878</v>
      </c>
      <c r="D1876" s="96" t="s">
        <v>10</v>
      </c>
      <c r="E1876" s="43">
        <v>45741</v>
      </c>
      <c r="F1876" s="43">
        <v>45796</v>
      </c>
      <c r="G1876" s="96" t="s">
        <v>92</v>
      </c>
      <c r="H1876" s="96" t="s">
        <v>5460</v>
      </c>
      <c r="I1876" s="96" t="s">
        <v>9</v>
      </c>
      <c r="J1876" s="96" t="s">
        <v>93</v>
      </c>
      <c r="K1876" s="96" t="s">
        <v>195</v>
      </c>
      <c r="L1876">
        <v>55</v>
      </c>
      <c r="M1876" t="s">
        <v>24</v>
      </c>
      <c r="N1876" t="s">
        <v>186</v>
      </c>
      <c r="O1876" t="s">
        <v>152</v>
      </c>
      <c r="P1876">
        <v>2025</v>
      </c>
    </row>
    <row r="1877" spans="1:16" hidden="1" x14ac:dyDescent="0.25">
      <c r="A1877" s="96" t="s">
        <v>2</v>
      </c>
      <c r="B1877" s="96" t="s">
        <v>238</v>
      </c>
      <c r="C1877" s="96" t="s">
        <v>1880</v>
      </c>
      <c r="D1877" s="96" t="s">
        <v>215</v>
      </c>
      <c r="E1877" s="43">
        <v>45710</v>
      </c>
      <c r="F1877" s="43">
        <v>45727</v>
      </c>
      <c r="G1877" s="96" t="s">
        <v>92</v>
      </c>
      <c r="H1877" s="96" t="s">
        <v>1813</v>
      </c>
      <c r="I1877" s="96" t="s">
        <v>9</v>
      </c>
      <c r="J1877" s="96" t="s">
        <v>168</v>
      </c>
      <c r="K1877" s="96" t="s">
        <v>230</v>
      </c>
      <c r="L1877">
        <v>17</v>
      </c>
      <c r="M1877" t="s">
        <v>19</v>
      </c>
      <c r="N1877" t="s">
        <v>188</v>
      </c>
      <c r="O1877" t="s">
        <v>170</v>
      </c>
      <c r="P1877">
        <v>2025</v>
      </c>
    </row>
    <row r="1878" spans="1:16" hidden="1" x14ac:dyDescent="0.25">
      <c r="A1878" s="96" t="s">
        <v>2</v>
      </c>
      <c r="B1878" s="96" t="s">
        <v>206</v>
      </c>
      <c r="C1878" s="96" t="s">
        <v>5461</v>
      </c>
      <c r="D1878" s="96" t="s">
        <v>223</v>
      </c>
      <c r="E1878" s="43">
        <v>45704</v>
      </c>
      <c r="F1878" s="43">
        <v>45794</v>
      </c>
      <c r="G1878" s="96" t="s">
        <v>90</v>
      </c>
      <c r="H1878" s="96" t="s">
        <v>1814</v>
      </c>
      <c r="I1878" s="96" t="s">
        <v>157</v>
      </c>
      <c r="J1878" s="96" t="s">
        <v>173</v>
      </c>
      <c r="K1878" s="96" t="s">
        <v>157</v>
      </c>
      <c r="L1878">
        <v>90</v>
      </c>
      <c r="M1878" t="s">
        <v>28</v>
      </c>
      <c r="N1878" t="s">
        <v>188</v>
      </c>
      <c r="O1878" t="s">
        <v>152</v>
      </c>
      <c r="P1878">
        <v>2025</v>
      </c>
    </row>
    <row r="1879" spans="1:16" hidden="1" x14ac:dyDescent="0.25">
      <c r="A1879" s="96" t="s">
        <v>171</v>
      </c>
      <c r="B1879" s="96" t="s">
        <v>251</v>
      </c>
      <c r="C1879" s="96" t="s">
        <v>5462</v>
      </c>
      <c r="D1879" s="96" t="s">
        <v>14</v>
      </c>
      <c r="E1879" s="43">
        <v>45724</v>
      </c>
      <c r="F1879" s="43">
        <v>45838</v>
      </c>
      <c r="G1879" s="96" t="s">
        <v>90</v>
      </c>
      <c r="H1879" s="96" t="s">
        <v>1816</v>
      </c>
      <c r="I1879" s="96" t="s">
        <v>209</v>
      </c>
      <c r="J1879" s="96" t="s">
        <v>172</v>
      </c>
      <c r="K1879" s="96" t="s">
        <v>246</v>
      </c>
      <c r="L1879">
        <v>114</v>
      </c>
      <c r="M1879" t="s">
        <v>28</v>
      </c>
      <c r="N1879" t="s">
        <v>186</v>
      </c>
      <c r="O1879" t="s">
        <v>170</v>
      </c>
      <c r="P1879">
        <v>2025</v>
      </c>
    </row>
    <row r="1880" spans="1:16" hidden="1" x14ac:dyDescent="0.25">
      <c r="A1880" s="96" t="s">
        <v>2</v>
      </c>
      <c r="B1880" s="96" t="s">
        <v>257</v>
      </c>
      <c r="C1880" s="96" t="s">
        <v>1883</v>
      </c>
      <c r="D1880" s="96" t="s">
        <v>237</v>
      </c>
      <c r="E1880" s="43">
        <v>45719</v>
      </c>
      <c r="F1880" s="43">
        <v>45734</v>
      </c>
      <c r="G1880" s="96" t="s">
        <v>95</v>
      </c>
      <c r="H1880" s="96" t="s">
        <v>5463</v>
      </c>
      <c r="I1880" s="96" t="s">
        <v>209</v>
      </c>
      <c r="J1880" s="96" t="s">
        <v>165</v>
      </c>
      <c r="K1880" s="96" t="s">
        <v>233</v>
      </c>
      <c r="L1880">
        <v>15</v>
      </c>
      <c r="M1880" t="s">
        <v>19</v>
      </c>
      <c r="N1880" t="s">
        <v>186</v>
      </c>
      <c r="O1880" t="s">
        <v>151</v>
      </c>
      <c r="P1880">
        <v>2025</v>
      </c>
    </row>
    <row r="1881" spans="1:16" x14ac:dyDescent="0.25">
      <c r="A1881" s="96" t="s">
        <v>2</v>
      </c>
      <c r="B1881" s="96" t="s">
        <v>274</v>
      </c>
      <c r="C1881" s="96" t="s">
        <v>1884</v>
      </c>
      <c r="D1881" s="96" t="s">
        <v>208</v>
      </c>
      <c r="E1881" s="43">
        <v>46084</v>
      </c>
      <c r="F1881" s="43">
        <v>46092</v>
      </c>
      <c r="G1881" s="96" t="s">
        <v>92</v>
      </c>
      <c r="H1881" s="96" t="s">
        <v>5464</v>
      </c>
      <c r="I1881" s="96" t="s">
        <v>225</v>
      </c>
      <c r="J1881" s="96" t="s">
        <v>169</v>
      </c>
      <c r="K1881" s="96" t="s">
        <v>157</v>
      </c>
      <c r="L1881">
        <v>8</v>
      </c>
      <c r="M1881" t="s">
        <v>15</v>
      </c>
      <c r="N1881" t="s">
        <v>35</v>
      </c>
      <c r="O1881" t="s">
        <v>170</v>
      </c>
      <c r="P1881">
        <v>2026</v>
      </c>
    </row>
    <row r="1882" spans="1:16" x14ac:dyDescent="0.25">
      <c r="A1882" s="96" t="s">
        <v>171</v>
      </c>
      <c r="B1882" s="96" t="s">
        <v>302</v>
      </c>
      <c r="C1882" s="96" t="s">
        <v>1885</v>
      </c>
      <c r="D1882" s="96" t="s">
        <v>208</v>
      </c>
      <c r="E1882" s="43">
        <v>46109</v>
      </c>
      <c r="F1882" s="43">
        <v>46150</v>
      </c>
      <c r="G1882" s="96" t="s">
        <v>90</v>
      </c>
      <c r="H1882" s="96" t="s">
        <v>5465</v>
      </c>
      <c r="I1882" s="96" t="s">
        <v>9</v>
      </c>
      <c r="J1882" s="96" t="s">
        <v>177</v>
      </c>
      <c r="K1882" s="96" t="s">
        <v>246</v>
      </c>
      <c r="L1882">
        <v>41</v>
      </c>
      <c r="M1882" t="s">
        <v>24</v>
      </c>
      <c r="N1882" t="s">
        <v>35</v>
      </c>
      <c r="O1882" t="s">
        <v>150</v>
      </c>
      <c r="P1882">
        <v>2026</v>
      </c>
    </row>
    <row r="1883" spans="1:16" hidden="1" x14ac:dyDescent="0.25">
      <c r="A1883" s="96" t="s">
        <v>2</v>
      </c>
      <c r="B1883" s="96" t="s">
        <v>255</v>
      </c>
      <c r="C1883" s="96" t="s">
        <v>5466</v>
      </c>
      <c r="D1883" s="96" t="s">
        <v>14</v>
      </c>
      <c r="E1883" s="43">
        <v>45719</v>
      </c>
      <c r="F1883" s="43">
        <v>45800</v>
      </c>
      <c r="G1883" s="96" t="s">
        <v>92</v>
      </c>
      <c r="H1883" s="96" t="s">
        <v>5467</v>
      </c>
      <c r="I1883" s="96" t="s">
        <v>157</v>
      </c>
      <c r="J1883" s="96" t="s">
        <v>98</v>
      </c>
      <c r="K1883" s="96" t="s">
        <v>195</v>
      </c>
      <c r="L1883">
        <v>81</v>
      </c>
      <c r="M1883" t="s">
        <v>28</v>
      </c>
      <c r="N1883" t="s">
        <v>186</v>
      </c>
      <c r="O1883" t="s">
        <v>150</v>
      </c>
      <c r="P1883">
        <v>2025</v>
      </c>
    </row>
    <row r="1884" spans="1:16" hidden="1" x14ac:dyDescent="0.25">
      <c r="A1884" s="96" t="s">
        <v>2</v>
      </c>
      <c r="B1884" s="96" t="s">
        <v>247</v>
      </c>
      <c r="C1884" s="96" t="s">
        <v>1886</v>
      </c>
      <c r="D1884" s="96" t="s">
        <v>237</v>
      </c>
      <c r="E1884" s="43">
        <v>45741</v>
      </c>
      <c r="F1884" s="43">
        <v>45838</v>
      </c>
      <c r="G1884" s="96" t="s">
        <v>95</v>
      </c>
      <c r="H1884" s="96" t="s">
        <v>5468</v>
      </c>
      <c r="I1884" s="96" t="s">
        <v>194</v>
      </c>
      <c r="J1884" s="96" t="s">
        <v>172</v>
      </c>
      <c r="K1884" s="96" t="s">
        <v>210</v>
      </c>
      <c r="L1884">
        <v>97</v>
      </c>
      <c r="M1884" t="s">
        <v>28</v>
      </c>
      <c r="N1884" t="s">
        <v>186</v>
      </c>
      <c r="O1884" t="s">
        <v>150</v>
      </c>
      <c r="P1884">
        <v>2025</v>
      </c>
    </row>
    <row r="1885" spans="1:16" hidden="1" x14ac:dyDescent="0.25">
      <c r="A1885" s="96" t="s">
        <v>175</v>
      </c>
      <c r="B1885" s="96" t="s">
        <v>190</v>
      </c>
      <c r="C1885" s="96" t="s">
        <v>5469</v>
      </c>
      <c r="D1885" s="96" t="s">
        <v>14</v>
      </c>
      <c r="E1885" s="43">
        <v>45842</v>
      </c>
      <c r="F1885" s="43">
        <v>45959</v>
      </c>
      <c r="G1885" s="96" t="s">
        <v>90</v>
      </c>
      <c r="H1885" s="96" t="s">
        <v>5470</v>
      </c>
      <c r="I1885" s="96" t="s">
        <v>194</v>
      </c>
      <c r="J1885" s="96" t="s">
        <v>96</v>
      </c>
      <c r="K1885" s="96" t="s">
        <v>217</v>
      </c>
      <c r="L1885">
        <v>117</v>
      </c>
      <c r="M1885" t="s">
        <v>28</v>
      </c>
      <c r="N1885" t="s">
        <v>187</v>
      </c>
      <c r="O1885" t="s">
        <v>150</v>
      </c>
      <c r="P1885">
        <v>2025</v>
      </c>
    </row>
    <row r="1886" spans="1:16" x14ac:dyDescent="0.25">
      <c r="A1886" s="96" t="s">
        <v>2</v>
      </c>
      <c r="B1886" s="96" t="s">
        <v>219</v>
      </c>
      <c r="C1886" s="96" t="s">
        <v>1888</v>
      </c>
      <c r="D1886" s="96" t="s">
        <v>192</v>
      </c>
      <c r="E1886" s="43">
        <v>46057</v>
      </c>
      <c r="F1886" s="43">
        <v>46071</v>
      </c>
      <c r="G1886" s="96" t="s">
        <v>95</v>
      </c>
      <c r="H1886" s="96" t="s">
        <v>5471</v>
      </c>
      <c r="I1886" s="96" t="s">
        <v>157</v>
      </c>
      <c r="J1886" s="96" t="s">
        <v>172</v>
      </c>
      <c r="K1886" s="96" t="s">
        <v>246</v>
      </c>
      <c r="L1886">
        <v>14</v>
      </c>
      <c r="M1886" t="s">
        <v>15</v>
      </c>
      <c r="N1886" t="s">
        <v>32</v>
      </c>
      <c r="O1886" t="s">
        <v>149</v>
      </c>
      <c r="P1886">
        <v>2026</v>
      </c>
    </row>
    <row r="1887" spans="1:16" hidden="1" x14ac:dyDescent="0.25">
      <c r="A1887" s="96" t="s">
        <v>2</v>
      </c>
      <c r="B1887" s="96" t="s">
        <v>247</v>
      </c>
      <c r="C1887" s="96" t="s">
        <v>5472</v>
      </c>
      <c r="D1887" s="96" t="s">
        <v>223</v>
      </c>
      <c r="E1887" s="43">
        <v>45867</v>
      </c>
      <c r="F1887" s="43">
        <v>45987</v>
      </c>
      <c r="G1887" s="96" t="s">
        <v>90</v>
      </c>
      <c r="H1887" s="96" t="s">
        <v>5473</v>
      </c>
      <c r="I1887" s="96" t="s">
        <v>194</v>
      </c>
      <c r="J1887" s="96" t="s">
        <v>174</v>
      </c>
      <c r="K1887" s="96" t="s">
        <v>246</v>
      </c>
      <c r="L1887">
        <v>120</v>
      </c>
      <c r="M1887" t="s">
        <v>28</v>
      </c>
      <c r="N1887" t="s">
        <v>187</v>
      </c>
      <c r="O1887" t="s">
        <v>150</v>
      </c>
      <c r="P1887">
        <v>2025</v>
      </c>
    </row>
    <row r="1888" spans="1:16" hidden="1" x14ac:dyDescent="0.25">
      <c r="A1888" s="96" t="s">
        <v>2</v>
      </c>
      <c r="B1888" s="96" t="s">
        <v>240</v>
      </c>
      <c r="C1888" s="96" t="s">
        <v>1890</v>
      </c>
      <c r="D1888" s="96" t="s">
        <v>10</v>
      </c>
      <c r="E1888" s="43">
        <v>45953</v>
      </c>
      <c r="F1888" s="43">
        <v>45998</v>
      </c>
      <c r="G1888" s="96" t="s">
        <v>92</v>
      </c>
      <c r="H1888" s="96" t="s">
        <v>5474</v>
      </c>
      <c r="I1888" s="96" t="s">
        <v>225</v>
      </c>
      <c r="J1888" s="96" t="s">
        <v>283</v>
      </c>
      <c r="K1888" s="96" t="s">
        <v>210</v>
      </c>
      <c r="L1888">
        <v>45</v>
      </c>
      <c r="M1888" t="s">
        <v>24</v>
      </c>
      <c r="N1888" t="s">
        <v>16</v>
      </c>
      <c r="O1888" t="s">
        <v>149</v>
      </c>
      <c r="P1888">
        <v>2025</v>
      </c>
    </row>
    <row r="1889" spans="1:16" hidden="1" x14ac:dyDescent="0.25">
      <c r="A1889" s="96" t="s">
        <v>175</v>
      </c>
      <c r="B1889" s="96" t="s">
        <v>190</v>
      </c>
      <c r="C1889" s="96" t="s">
        <v>1891</v>
      </c>
      <c r="D1889" s="96" t="s">
        <v>34</v>
      </c>
      <c r="E1889" s="43">
        <v>45773</v>
      </c>
      <c r="F1889" s="43">
        <v>45781</v>
      </c>
      <c r="G1889" s="96" t="s">
        <v>92</v>
      </c>
      <c r="H1889" s="96" t="s">
        <v>5475</v>
      </c>
      <c r="I1889" s="96" t="s">
        <v>204</v>
      </c>
      <c r="J1889" s="96" t="s">
        <v>93</v>
      </c>
      <c r="K1889" s="96" t="s">
        <v>205</v>
      </c>
      <c r="L1889">
        <v>8</v>
      </c>
      <c r="M1889" t="s">
        <v>15</v>
      </c>
      <c r="N1889" t="s">
        <v>185</v>
      </c>
      <c r="O1889" t="s">
        <v>150</v>
      </c>
      <c r="P1889">
        <v>2025</v>
      </c>
    </row>
    <row r="1890" spans="1:16" hidden="1" x14ac:dyDescent="0.25">
      <c r="A1890" s="96" t="s">
        <v>2</v>
      </c>
      <c r="B1890" s="96" t="s">
        <v>255</v>
      </c>
      <c r="C1890" s="96" t="s">
        <v>5476</v>
      </c>
      <c r="D1890" s="96" t="s">
        <v>34</v>
      </c>
      <c r="E1890" s="43">
        <v>45733</v>
      </c>
      <c r="F1890" s="43">
        <v>45816</v>
      </c>
      <c r="G1890" s="96" t="s">
        <v>90</v>
      </c>
      <c r="H1890" s="96" t="s">
        <v>5477</v>
      </c>
      <c r="I1890" s="96" t="s">
        <v>204</v>
      </c>
      <c r="J1890" s="96" t="s">
        <v>98</v>
      </c>
      <c r="K1890" s="96" t="s">
        <v>205</v>
      </c>
      <c r="L1890">
        <v>83</v>
      </c>
      <c r="M1890" t="s">
        <v>28</v>
      </c>
      <c r="N1890" t="s">
        <v>186</v>
      </c>
      <c r="O1890" t="s">
        <v>150</v>
      </c>
      <c r="P1890">
        <v>2025</v>
      </c>
    </row>
    <row r="1891" spans="1:16" hidden="1" x14ac:dyDescent="0.25">
      <c r="A1891" s="96" t="s">
        <v>2</v>
      </c>
      <c r="B1891" s="96" t="s">
        <v>221</v>
      </c>
      <c r="C1891" s="96" t="s">
        <v>1892</v>
      </c>
      <c r="D1891" s="96" t="s">
        <v>237</v>
      </c>
      <c r="E1891" s="43">
        <v>45982</v>
      </c>
      <c r="F1891" s="43">
        <v>46056</v>
      </c>
      <c r="G1891" s="96" t="s">
        <v>90</v>
      </c>
      <c r="H1891" s="96" t="s">
        <v>1824</v>
      </c>
      <c r="I1891" s="96" t="s">
        <v>228</v>
      </c>
      <c r="J1891" s="96" t="s">
        <v>91</v>
      </c>
      <c r="K1891" s="96" t="s">
        <v>205</v>
      </c>
      <c r="L1891">
        <v>74</v>
      </c>
      <c r="M1891" t="s">
        <v>28</v>
      </c>
      <c r="N1891" t="s">
        <v>20</v>
      </c>
      <c r="O1891" t="s">
        <v>170</v>
      </c>
      <c r="P1891">
        <v>2025</v>
      </c>
    </row>
    <row r="1892" spans="1:16" hidden="1" x14ac:dyDescent="0.25">
      <c r="A1892" s="96" t="s">
        <v>2</v>
      </c>
      <c r="B1892" s="96" t="s">
        <v>190</v>
      </c>
      <c r="C1892" s="96" t="s">
        <v>1893</v>
      </c>
      <c r="D1892" s="96" t="s">
        <v>215</v>
      </c>
      <c r="E1892" s="43">
        <v>45770</v>
      </c>
      <c r="F1892" s="43">
        <v>45834</v>
      </c>
      <c r="G1892" s="96" t="s">
        <v>92</v>
      </c>
      <c r="H1892" s="96" t="s">
        <v>1826</v>
      </c>
      <c r="I1892" s="96" t="s">
        <v>157</v>
      </c>
      <c r="J1892" s="96" t="s">
        <v>94</v>
      </c>
      <c r="K1892" s="96" t="s">
        <v>246</v>
      </c>
      <c r="L1892">
        <v>64</v>
      </c>
      <c r="M1892" t="s">
        <v>28</v>
      </c>
      <c r="N1892" t="s">
        <v>185</v>
      </c>
      <c r="O1892" t="s">
        <v>150</v>
      </c>
      <c r="P1892">
        <v>2025</v>
      </c>
    </row>
    <row r="1893" spans="1:16" x14ac:dyDescent="0.25">
      <c r="A1893" s="96" t="s">
        <v>2</v>
      </c>
      <c r="B1893" s="96" t="s">
        <v>249</v>
      </c>
      <c r="C1893" s="96" t="s">
        <v>1894</v>
      </c>
      <c r="D1893" s="96" t="s">
        <v>208</v>
      </c>
      <c r="E1893" s="43">
        <v>46036</v>
      </c>
      <c r="F1893" s="43">
        <v>46037</v>
      </c>
      <c r="G1893" s="96" t="s">
        <v>92</v>
      </c>
      <c r="H1893" s="96" t="s">
        <v>5478</v>
      </c>
      <c r="I1893" s="96" t="s">
        <v>9</v>
      </c>
      <c r="J1893" s="96" t="s">
        <v>168</v>
      </c>
      <c r="K1893" s="96" t="s">
        <v>205</v>
      </c>
      <c r="L1893">
        <v>1</v>
      </c>
      <c r="M1893" t="s">
        <v>11</v>
      </c>
      <c r="N1893" t="s">
        <v>29</v>
      </c>
      <c r="O1893" t="s">
        <v>170</v>
      </c>
      <c r="P1893">
        <v>2026</v>
      </c>
    </row>
    <row r="1894" spans="1:16" hidden="1" x14ac:dyDescent="0.25">
      <c r="A1894" s="96" t="s">
        <v>2</v>
      </c>
      <c r="B1894" s="96" t="s">
        <v>257</v>
      </c>
      <c r="C1894" s="96" t="s">
        <v>1895</v>
      </c>
      <c r="D1894" s="96" t="s">
        <v>14</v>
      </c>
      <c r="E1894" s="43">
        <v>45664</v>
      </c>
      <c r="F1894" s="43">
        <v>45699</v>
      </c>
      <c r="G1894" s="96" t="s">
        <v>92</v>
      </c>
      <c r="H1894" s="96" t="s">
        <v>5479</v>
      </c>
      <c r="I1894" s="96" t="s">
        <v>194</v>
      </c>
      <c r="J1894" s="96" t="s">
        <v>283</v>
      </c>
      <c r="K1894" s="96" t="s">
        <v>217</v>
      </c>
      <c r="L1894">
        <v>35</v>
      </c>
      <c r="M1894" t="s">
        <v>24</v>
      </c>
      <c r="N1894" t="s">
        <v>181</v>
      </c>
      <c r="O1894" t="s">
        <v>151</v>
      </c>
      <c r="P1894">
        <v>2025</v>
      </c>
    </row>
    <row r="1895" spans="1:16" hidden="1" x14ac:dyDescent="0.25">
      <c r="A1895" s="96" t="s">
        <v>2</v>
      </c>
      <c r="B1895" s="96" t="s">
        <v>272</v>
      </c>
      <c r="C1895" s="96" t="s">
        <v>1896</v>
      </c>
      <c r="D1895" s="96" t="s">
        <v>34</v>
      </c>
      <c r="E1895" s="43">
        <v>45992</v>
      </c>
      <c r="F1895" s="43">
        <v>46073</v>
      </c>
      <c r="G1895" s="96" t="s">
        <v>90</v>
      </c>
      <c r="H1895" s="96" t="s">
        <v>5480</v>
      </c>
      <c r="I1895" s="96" t="s">
        <v>9</v>
      </c>
      <c r="J1895" s="96" t="s">
        <v>97</v>
      </c>
      <c r="K1895" s="96" t="s">
        <v>246</v>
      </c>
      <c r="L1895">
        <v>81</v>
      </c>
      <c r="M1895" t="s">
        <v>28</v>
      </c>
      <c r="N1895" t="s">
        <v>25</v>
      </c>
      <c r="O1895" t="s">
        <v>151</v>
      </c>
      <c r="P1895">
        <v>2025</v>
      </c>
    </row>
    <row r="1896" spans="1:16" hidden="1" x14ac:dyDescent="0.25">
      <c r="A1896" s="96" t="s">
        <v>2</v>
      </c>
      <c r="B1896" s="96" t="s">
        <v>247</v>
      </c>
      <c r="C1896" s="96" t="s">
        <v>1897</v>
      </c>
      <c r="D1896" s="96" t="s">
        <v>223</v>
      </c>
      <c r="E1896" s="43">
        <v>45934</v>
      </c>
      <c r="F1896" s="43">
        <v>46036</v>
      </c>
      <c r="G1896" s="96" t="s">
        <v>92</v>
      </c>
      <c r="H1896" s="96" t="s">
        <v>5481</v>
      </c>
      <c r="I1896" s="96" t="s">
        <v>225</v>
      </c>
      <c r="J1896" s="96" t="s">
        <v>173</v>
      </c>
      <c r="K1896" s="96" t="s">
        <v>246</v>
      </c>
      <c r="L1896">
        <v>102</v>
      </c>
      <c r="M1896" t="s">
        <v>28</v>
      </c>
      <c r="N1896" t="s">
        <v>16</v>
      </c>
      <c r="O1896" t="s">
        <v>150</v>
      </c>
      <c r="P1896">
        <v>2025</v>
      </c>
    </row>
    <row r="1897" spans="1:16" hidden="1" x14ac:dyDescent="0.25">
      <c r="A1897" s="96" t="s">
        <v>21</v>
      </c>
      <c r="B1897" s="96" t="s">
        <v>280</v>
      </c>
      <c r="C1897" s="96" t="s">
        <v>1898</v>
      </c>
      <c r="D1897" s="96" t="s">
        <v>215</v>
      </c>
      <c r="E1897" s="43">
        <v>45972</v>
      </c>
      <c r="F1897" s="43">
        <v>46089</v>
      </c>
      <c r="G1897" s="96" t="s">
        <v>90</v>
      </c>
      <c r="H1897" s="96" t="s">
        <v>5482</v>
      </c>
      <c r="I1897" s="96" t="s">
        <v>9</v>
      </c>
      <c r="J1897" s="96" t="s">
        <v>97</v>
      </c>
      <c r="K1897" s="96" t="s">
        <v>195</v>
      </c>
      <c r="L1897">
        <v>117</v>
      </c>
      <c r="M1897" t="s">
        <v>28</v>
      </c>
      <c r="N1897" t="s">
        <v>20</v>
      </c>
      <c r="O1897" t="s">
        <v>170</v>
      </c>
      <c r="P1897">
        <v>2025</v>
      </c>
    </row>
    <row r="1898" spans="1:16" x14ac:dyDescent="0.25">
      <c r="A1898" s="96" t="s">
        <v>175</v>
      </c>
      <c r="B1898" s="96" t="s">
        <v>290</v>
      </c>
      <c r="C1898" s="96" t="s">
        <v>1899</v>
      </c>
      <c r="D1898" s="96" t="s">
        <v>215</v>
      </c>
      <c r="E1898" s="43">
        <v>46149</v>
      </c>
      <c r="F1898" s="43">
        <v>46148</v>
      </c>
      <c r="G1898" s="96" t="s">
        <v>92</v>
      </c>
      <c r="H1898" s="96" t="s">
        <v>5483</v>
      </c>
      <c r="I1898" s="96" t="s">
        <v>225</v>
      </c>
      <c r="J1898" s="96" t="s">
        <v>98</v>
      </c>
      <c r="K1898" s="96" t="s">
        <v>200</v>
      </c>
      <c r="L1898">
        <v>-1</v>
      </c>
      <c r="M1898" t="s">
        <v>11</v>
      </c>
      <c r="N1898" t="s">
        <v>183</v>
      </c>
      <c r="O1898" t="s">
        <v>149</v>
      </c>
      <c r="P1898">
        <v>2026</v>
      </c>
    </row>
    <row r="1899" spans="1:16" hidden="1" x14ac:dyDescent="0.25">
      <c r="A1899" s="96" t="s">
        <v>2</v>
      </c>
      <c r="B1899" s="96" t="s">
        <v>211</v>
      </c>
      <c r="C1899" s="96" t="s">
        <v>1900</v>
      </c>
      <c r="D1899" s="96" t="s">
        <v>237</v>
      </c>
      <c r="E1899" s="43">
        <v>45703</v>
      </c>
      <c r="F1899" s="43">
        <v>45817</v>
      </c>
      <c r="G1899" s="96" t="s">
        <v>92</v>
      </c>
      <c r="H1899" s="96" t="s">
        <v>1830</v>
      </c>
      <c r="I1899" s="96" t="s">
        <v>225</v>
      </c>
      <c r="J1899" s="96" t="s">
        <v>173</v>
      </c>
      <c r="K1899" s="96" t="s">
        <v>233</v>
      </c>
      <c r="L1899">
        <v>114</v>
      </c>
      <c r="M1899" t="s">
        <v>28</v>
      </c>
      <c r="N1899" t="s">
        <v>188</v>
      </c>
      <c r="O1899" t="s">
        <v>170</v>
      </c>
      <c r="P1899">
        <v>2025</v>
      </c>
    </row>
    <row r="1900" spans="1:16" hidden="1" x14ac:dyDescent="0.25">
      <c r="A1900" s="96" t="s">
        <v>21</v>
      </c>
      <c r="B1900" s="96" t="s">
        <v>257</v>
      </c>
      <c r="C1900" s="96" t="s">
        <v>1901</v>
      </c>
      <c r="D1900" s="96" t="s">
        <v>215</v>
      </c>
      <c r="E1900" s="43">
        <v>45947</v>
      </c>
      <c r="F1900" s="43">
        <v>46045</v>
      </c>
      <c r="G1900" s="96" t="s">
        <v>92</v>
      </c>
      <c r="H1900" s="96" t="s">
        <v>5484</v>
      </c>
      <c r="I1900" s="96" t="s">
        <v>228</v>
      </c>
      <c r="J1900" s="96" t="s">
        <v>168</v>
      </c>
      <c r="K1900" s="96" t="s">
        <v>200</v>
      </c>
      <c r="L1900">
        <v>98</v>
      </c>
      <c r="M1900" t="s">
        <v>28</v>
      </c>
      <c r="N1900" t="s">
        <v>16</v>
      </c>
      <c r="O1900" t="s">
        <v>151</v>
      </c>
      <c r="P1900">
        <v>2025</v>
      </c>
    </row>
    <row r="1901" spans="1:16" x14ac:dyDescent="0.25">
      <c r="A1901" s="96" t="s">
        <v>2</v>
      </c>
      <c r="B1901" s="96" t="s">
        <v>244</v>
      </c>
      <c r="C1901" s="96" t="s">
        <v>5485</v>
      </c>
      <c r="D1901" s="96" t="s">
        <v>237</v>
      </c>
      <c r="E1901" s="43">
        <v>46096</v>
      </c>
      <c r="F1901" s="43">
        <v>46097</v>
      </c>
      <c r="G1901" s="96" t="s">
        <v>90</v>
      </c>
      <c r="H1901" s="96" t="s">
        <v>1832</v>
      </c>
      <c r="I1901" s="96" t="s">
        <v>157</v>
      </c>
      <c r="J1901" s="96" t="s">
        <v>97</v>
      </c>
      <c r="K1901" s="96" t="s">
        <v>205</v>
      </c>
      <c r="L1901">
        <v>1</v>
      </c>
      <c r="M1901" t="s">
        <v>11</v>
      </c>
      <c r="N1901" t="s">
        <v>35</v>
      </c>
      <c r="O1901" t="s">
        <v>150</v>
      </c>
      <c r="P1901">
        <v>2026</v>
      </c>
    </row>
    <row r="1902" spans="1:16" hidden="1" x14ac:dyDescent="0.25">
      <c r="A1902" s="96" t="s">
        <v>2</v>
      </c>
      <c r="B1902" s="96" t="s">
        <v>255</v>
      </c>
      <c r="C1902" s="96" t="s">
        <v>1902</v>
      </c>
      <c r="D1902" s="96" t="s">
        <v>34</v>
      </c>
      <c r="E1902" s="43">
        <v>45850</v>
      </c>
      <c r="F1902" s="43">
        <v>45879</v>
      </c>
      <c r="G1902" s="96" t="s">
        <v>90</v>
      </c>
      <c r="H1902" s="96" t="s">
        <v>1834</v>
      </c>
      <c r="I1902" s="96" t="s">
        <v>225</v>
      </c>
      <c r="J1902" s="96" t="s">
        <v>91</v>
      </c>
      <c r="K1902" s="96" t="s">
        <v>230</v>
      </c>
      <c r="L1902">
        <v>29</v>
      </c>
      <c r="M1902" t="s">
        <v>19</v>
      </c>
      <c r="N1902" t="s">
        <v>187</v>
      </c>
      <c r="O1902" t="s">
        <v>150</v>
      </c>
      <c r="P1902">
        <v>2025</v>
      </c>
    </row>
    <row r="1903" spans="1:16" x14ac:dyDescent="0.25">
      <c r="A1903" s="96" t="s">
        <v>2</v>
      </c>
      <c r="B1903" s="96" t="s">
        <v>374</v>
      </c>
      <c r="C1903" s="96" t="s">
        <v>1903</v>
      </c>
      <c r="D1903" s="96" t="s">
        <v>10</v>
      </c>
      <c r="E1903" s="43">
        <v>46138</v>
      </c>
      <c r="F1903" s="43">
        <v>46147</v>
      </c>
      <c r="G1903" s="96" t="s">
        <v>92</v>
      </c>
      <c r="H1903" s="96" t="s">
        <v>1836</v>
      </c>
      <c r="I1903" s="96" t="s">
        <v>228</v>
      </c>
      <c r="J1903" s="96" t="s">
        <v>172</v>
      </c>
      <c r="K1903" s="96" t="s">
        <v>230</v>
      </c>
      <c r="L1903">
        <v>9</v>
      </c>
      <c r="M1903" t="s">
        <v>15</v>
      </c>
      <c r="N1903" t="s">
        <v>37</v>
      </c>
      <c r="O1903" t="s">
        <v>150</v>
      </c>
      <c r="P1903">
        <v>2026</v>
      </c>
    </row>
    <row r="1904" spans="1:16" hidden="1" x14ac:dyDescent="0.25">
      <c r="A1904" s="96" t="s">
        <v>2</v>
      </c>
      <c r="B1904" s="96" t="s">
        <v>251</v>
      </c>
      <c r="C1904" s="96" t="s">
        <v>1904</v>
      </c>
      <c r="D1904" s="96" t="s">
        <v>40</v>
      </c>
      <c r="E1904" s="43">
        <v>45878</v>
      </c>
      <c r="F1904" s="43">
        <v>45929</v>
      </c>
      <c r="G1904" s="96" t="s">
        <v>90</v>
      </c>
      <c r="H1904" s="96" t="s">
        <v>1838</v>
      </c>
      <c r="I1904" s="96" t="s">
        <v>204</v>
      </c>
      <c r="J1904" s="96" t="s">
        <v>93</v>
      </c>
      <c r="K1904" s="96" t="s">
        <v>157</v>
      </c>
      <c r="L1904">
        <v>51</v>
      </c>
      <c r="M1904" t="s">
        <v>24</v>
      </c>
      <c r="N1904" t="s">
        <v>8</v>
      </c>
      <c r="O1904" t="s">
        <v>170</v>
      </c>
      <c r="P1904">
        <v>2025</v>
      </c>
    </row>
    <row r="1905" spans="1:16" x14ac:dyDescent="0.25">
      <c r="A1905" s="96" t="s">
        <v>2</v>
      </c>
      <c r="B1905" s="96" t="s">
        <v>249</v>
      </c>
      <c r="C1905" s="96" t="s">
        <v>1905</v>
      </c>
      <c r="D1905" s="96" t="s">
        <v>208</v>
      </c>
      <c r="E1905" s="43">
        <v>46073</v>
      </c>
      <c r="F1905" s="43">
        <v>46148</v>
      </c>
      <c r="G1905" s="96" t="s">
        <v>90</v>
      </c>
      <c r="H1905" s="96" t="s">
        <v>1840</v>
      </c>
      <c r="I1905" s="96" t="s">
        <v>194</v>
      </c>
      <c r="J1905" s="96" t="s">
        <v>177</v>
      </c>
      <c r="K1905" s="96" t="s">
        <v>195</v>
      </c>
      <c r="L1905">
        <v>75</v>
      </c>
      <c r="M1905" t="s">
        <v>28</v>
      </c>
      <c r="N1905" t="s">
        <v>32</v>
      </c>
      <c r="O1905" t="s">
        <v>170</v>
      </c>
      <c r="P1905">
        <v>2026</v>
      </c>
    </row>
    <row r="1906" spans="1:16" hidden="1" x14ac:dyDescent="0.25">
      <c r="A1906" s="96" t="s">
        <v>21</v>
      </c>
      <c r="B1906" s="96" t="s">
        <v>272</v>
      </c>
      <c r="C1906" s="96" t="s">
        <v>5486</v>
      </c>
      <c r="D1906" s="96" t="s">
        <v>203</v>
      </c>
      <c r="E1906" s="43">
        <v>45911</v>
      </c>
      <c r="F1906" s="43">
        <v>45924</v>
      </c>
      <c r="G1906" s="96" t="s">
        <v>90</v>
      </c>
      <c r="H1906" s="96" t="s">
        <v>1842</v>
      </c>
      <c r="I1906" s="96" t="s">
        <v>9</v>
      </c>
      <c r="J1906" s="96" t="s">
        <v>172</v>
      </c>
      <c r="K1906" s="96" t="s">
        <v>230</v>
      </c>
      <c r="L1906">
        <v>13</v>
      </c>
      <c r="M1906" t="s">
        <v>15</v>
      </c>
      <c r="N1906" t="s">
        <v>12</v>
      </c>
      <c r="O1906" t="s">
        <v>151</v>
      </c>
      <c r="P1906">
        <v>2025</v>
      </c>
    </row>
    <row r="1907" spans="1:16" hidden="1" x14ac:dyDescent="0.25">
      <c r="A1907" s="96" t="s">
        <v>2</v>
      </c>
      <c r="B1907" s="96" t="s">
        <v>255</v>
      </c>
      <c r="C1907" s="96" t="s">
        <v>1906</v>
      </c>
      <c r="D1907" s="96" t="s">
        <v>208</v>
      </c>
      <c r="E1907" s="43">
        <v>45909</v>
      </c>
      <c r="F1907" s="43">
        <v>46014</v>
      </c>
      <c r="G1907" s="96" t="s">
        <v>95</v>
      </c>
      <c r="H1907" s="96" t="s">
        <v>1844</v>
      </c>
      <c r="I1907" s="96" t="s">
        <v>157</v>
      </c>
      <c r="J1907" s="96" t="s">
        <v>91</v>
      </c>
      <c r="K1907" s="96" t="s">
        <v>205</v>
      </c>
      <c r="L1907">
        <v>105</v>
      </c>
      <c r="M1907" t="s">
        <v>28</v>
      </c>
      <c r="N1907" t="s">
        <v>12</v>
      </c>
      <c r="O1907" t="s">
        <v>150</v>
      </c>
      <c r="P1907">
        <v>2025</v>
      </c>
    </row>
    <row r="1908" spans="1:16" hidden="1" x14ac:dyDescent="0.25">
      <c r="A1908" s="96" t="s">
        <v>2</v>
      </c>
      <c r="B1908" s="96" t="s">
        <v>213</v>
      </c>
      <c r="C1908" s="96" t="s">
        <v>1907</v>
      </c>
      <c r="D1908" s="96" t="s">
        <v>237</v>
      </c>
      <c r="E1908" s="43">
        <v>45939</v>
      </c>
      <c r="F1908" s="43">
        <v>46052</v>
      </c>
      <c r="G1908" s="96" t="s">
        <v>95</v>
      </c>
      <c r="H1908" s="96" t="s">
        <v>5487</v>
      </c>
      <c r="I1908" s="96" t="s">
        <v>194</v>
      </c>
      <c r="J1908" s="96" t="s">
        <v>97</v>
      </c>
      <c r="K1908" s="96" t="s">
        <v>233</v>
      </c>
      <c r="L1908">
        <v>113</v>
      </c>
      <c r="M1908" t="s">
        <v>28</v>
      </c>
      <c r="N1908" t="s">
        <v>16</v>
      </c>
      <c r="O1908" t="s">
        <v>149</v>
      </c>
      <c r="P1908">
        <v>2025</v>
      </c>
    </row>
    <row r="1909" spans="1:16" hidden="1" x14ac:dyDescent="0.25">
      <c r="A1909" s="96" t="s">
        <v>2</v>
      </c>
      <c r="B1909" s="96" t="s">
        <v>253</v>
      </c>
      <c r="C1909" s="96" t="s">
        <v>5488</v>
      </c>
      <c r="D1909" s="96" t="s">
        <v>215</v>
      </c>
      <c r="E1909" s="43">
        <v>45884</v>
      </c>
      <c r="F1909" s="43">
        <v>45954</v>
      </c>
      <c r="G1909" s="96" t="s">
        <v>92</v>
      </c>
      <c r="H1909" s="96" t="s">
        <v>1846</v>
      </c>
      <c r="I1909" s="96" t="s">
        <v>194</v>
      </c>
      <c r="J1909" s="96" t="s">
        <v>168</v>
      </c>
      <c r="K1909" s="96" t="s">
        <v>205</v>
      </c>
      <c r="L1909">
        <v>70</v>
      </c>
      <c r="M1909" t="s">
        <v>28</v>
      </c>
      <c r="N1909" t="s">
        <v>8</v>
      </c>
      <c r="O1909" t="s">
        <v>152</v>
      </c>
      <c r="P1909">
        <v>2025</v>
      </c>
    </row>
    <row r="1910" spans="1:16" x14ac:dyDescent="0.25">
      <c r="A1910" s="96" t="s">
        <v>2</v>
      </c>
      <c r="B1910" s="96" t="s">
        <v>274</v>
      </c>
      <c r="C1910" s="96" t="s">
        <v>1908</v>
      </c>
      <c r="D1910" s="96" t="s">
        <v>237</v>
      </c>
      <c r="E1910" s="43">
        <v>46113</v>
      </c>
      <c r="F1910" s="43">
        <v>46119</v>
      </c>
      <c r="G1910" s="96" t="s">
        <v>92</v>
      </c>
      <c r="H1910" s="96" t="s">
        <v>5489</v>
      </c>
      <c r="I1910" s="96" t="s">
        <v>225</v>
      </c>
      <c r="J1910" s="96" t="s">
        <v>174</v>
      </c>
      <c r="K1910" s="96" t="s">
        <v>195</v>
      </c>
      <c r="L1910">
        <v>6</v>
      </c>
      <c r="M1910" t="s">
        <v>11</v>
      </c>
      <c r="N1910" t="s">
        <v>37</v>
      </c>
      <c r="O1910" t="s">
        <v>170</v>
      </c>
      <c r="P1910">
        <v>2026</v>
      </c>
    </row>
    <row r="1911" spans="1:16" hidden="1" x14ac:dyDescent="0.25">
      <c r="A1911" s="96" t="s">
        <v>2</v>
      </c>
      <c r="B1911" s="96" t="s">
        <v>238</v>
      </c>
      <c r="C1911" s="96" t="s">
        <v>1910</v>
      </c>
      <c r="D1911" s="96" t="s">
        <v>237</v>
      </c>
      <c r="E1911" s="43">
        <v>45928</v>
      </c>
      <c r="F1911" s="43">
        <v>45980</v>
      </c>
      <c r="G1911" s="96" t="s">
        <v>92</v>
      </c>
      <c r="H1911" s="96" t="s">
        <v>1849</v>
      </c>
      <c r="I1911" s="96" t="s">
        <v>9</v>
      </c>
      <c r="J1911" s="96" t="s">
        <v>94</v>
      </c>
      <c r="K1911" s="96" t="s">
        <v>157</v>
      </c>
      <c r="L1911">
        <v>52</v>
      </c>
      <c r="M1911" t="s">
        <v>24</v>
      </c>
      <c r="N1911" t="s">
        <v>12</v>
      </c>
      <c r="O1911" t="s">
        <v>170</v>
      </c>
      <c r="P1911">
        <v>2025</v>
      </c>
    </row>
    <row r="1912" spans="1:16" hidden="1" x14ac:dyDescent="0.25">
      <c r="A1912" s="96" t="s">
        <v>2</v>
      </c>
      <c r="B1912" s="96" t="s">
        <v>221</v>
      </c>
      <c r="C1912" s="96" t="s">
        <v>5490</v>
      </c>
      <c r="D1912" s="96" t="s">
        <v>237</v>
      </c>
      <c r="E1912" s="43">
        <v>45660</v>
      </c>
      <c r="F1912" s="43">
        <v>45727</v>
      </c>
      <c r="G1912" s="96" t="s">
        <v>90</v>
      </c>
      <c r="H1912" s="96" t="s">
        <v>5491</v>
      </c>
      <c r="I1912" s="96" t="s">
        <v>194</v>
      </c>
      <c r="J1912" s="96" t="s">
        <v>172</v>
      </c>
      <c r="K1912" s="96" t="s">
        <v>230</v>
      </c>
      <c r="L1912">
        <v>67</v>
      </c>
      <c r="M1912" t="s">
        <v>28</v>
      </c>
      <c r="N1912" t="s">
        <v>181</v>
      </c>
      <c r="O1912" t="s">
        <v>170</v>
      </c>
      <c r="P1912">
        <v>2025</v>
      </c>
    </row>
    <row r="1913" spans="1:16" hidden="1" x14ac:dyDescent="0.25">
      <c r="A1913" s="96" t="s">
        <v>2</v>
      </c>
      <c r="B1913" s="96" t="s">
        <v>272</v>
      </c>
      <c r="C1913" s="96" t="s">
        <v>5492</v>
      </c>
      <c r="D1913" s="96" t="s">
        <v>14</v>
      </c>
      <c r="E1913" s="43">
        <v>45688</v>
      </c>
      <c r="F1913" s="43">
        <v>45716</v>
      </c>
      <c r="G1913" s="96" t="s">
        <v>92</v>
      </c>
      <c r="H1913" s="96" t="s">
        <v>5493</v>
      </c>
      <c r="I1913" s="96" t="s">
        <v>194</v>
      </c>
      <c r="J1913" s="96" t="s">
        <v>165</v>
      </c>
      <c r="K1913" s="96" t="s">
        <v>210</v>
      </c>
      <c r="L1913">
        <v>28</v>
      </c>
      <c r="M1913" t="s">
        <v>19</v>
      </c>
      <c r="N1913" t="s">
        <v>181</v>
      </c>
      <c r="O1913" t="s">
        <v>151</v>
      </c>
      <c r="P1913">
        <v>2025</v>
      </c>
    </row>
    <row r="1914" spans="1:16" x14ac:dyDescent="0.25">
      <c r="A1914" s="96" t="s">
        <v>2</v>
      </c>
      <c r="B1914" s="96" t="s">
        <v>219</v>
      </c>
      <c r="C1914" s="96" t="s">
        <v>1911</v>
      </c>
      <c r="D1914" s="96" t="s">
        <v>14</v>
      </c>
      <c r="E1914" s="43">
        <v>46025</v>
      </c>
      <c r="F1914" s="43">
        <v>46039</v>
      </c>
      <c r="G1914" s="96" t="s">
        <v>92</v>
      </c>
      <c r="H1914" s="96" t="s">
        <v>5494</v>
      </c>
      <c r="I1914" s="96" t="s">
        <v>228</v>
      </c>
      <c r="J1914" s="96" t="s">
        <v>165</v>
      </c>
      <c r="K1914" s="96" t="s">
        <v>200</v>
      </c>
      <c r="L1914">
        <v>14</v>
      </c>
      <c r="M1914" t="s">
        <v>15</v>
      </c>
      <c r="N1914" t="s">
        <v>29</v>
      </c>
      <c r="O1914" t="s">
        <v>149</v>
      </c>
      <c r="P1914">
        <v>2026</v>
      </c>
    </row>
    <row r="1915" spans="1:16" hidden="1" x14ac:dyDescent="0.25">
      <c r="A1915" s="96" t="s">
        <v>2</v>
      </c>
      <c r="B1915" s="96" t="s">
        <v>213</v>
      </c>
      <c r="C1915" s="96" t="s">
        <v>1912</v>
      </c>
      <c r="D1915" s="96" t="s">
        <v>237</v>
      </c>
      <c r="E1915" s="43">
        <v>45855</v>
      </c>
      <c r="F1915" s="43">
        <v>45951</v>
      </c>
      <c r="G1915" s="96" t="s">
        <v>90</v>
      </c>
      <c r="H1915" s="96" t="s">
        <v>5495</v>
      </c>
      <c r="I1915" s="96" t="s">
        <v>209</v>
      </c>
      <c r="J1915" s="96" t="s">
        <v>97</v>
      </c>
      <c r="K1915" s="96" t="s">
        <v>195</v>
      </c>
      <c r="L1915">
        <v>96</v>
      </c>
      <c r="M1915" t="s">
        <v>28</v>
      </c>
      <c r="N1915" t="s">
        <v>187</v>
      </c>
      <c r="O1915" t="s">
        <v>149</v>
      </c>
      <c r="P1915">
        <v>2025</v>
      </c>
    </row>
    <row r="1916" spans="1:16" x14ac:dyDescent="0.25">
      <c r="A1916" s="96" t="s">
        <v>2</v>
      </c>
      <c r="B1916" s="96" t="s">
        <v>317</v>
      </c>
      <c r="C1916" s="96" t="s">
        <v>5496</v>
      </c>
      <c r="D1916" s="96" t="s">
        <v>192</v>
      </c>
      <c r="E1916" s="43">
        <v>46109</v>
      </c>
      <c r="F1916" s="43">
        <v>46125</v>
      </c>
      <c r="G1916" s="96" t="s">
        <v>90</v>
      </c>
      <c r="H1916" s="96" t="s">
        <v>5497</v>
      </c>
      <c r="I1916" s="96" t="s">
        <v>194</v>
      </c>
      <c r="J1916" s="96" t="s">
        <v>98</v>
      </c>
      <c r="K1916" s="96" t="s">
        <v>246</v>
      </c>
      <c r="L1916">
        <v>16</v>
      </c>
      <c r="M1916" t="s">
        <v>19</v>
      </c>
      <c r="N1916" t="s">
        <v>35</v>
      </c>
      <c r="O1916" t="s">
        <v>170</v>
      </c>
      <c r="P1916">
        <v>2026</v>
      </c>
    </row>
    <row r="1917" spans="1:16" x14ac:dyDescent="0.25">
      <c r="A1917" s="96" t="s">
        <v>2</v>
      </c>
      <c r="B1917" s="96" t="s">
        <v>226</v>
      </c>
      <c r="C1917" s="96" t="s">
        <v>5498</v>
      </c>
      <c r="D1917" s="96" t="s">
        <v>215</v>
      </c>
      <c r="E1917" s="43">
        <v>46116</v>
      </c>
      <c r="F1917" s="43">
        <v>46119</v>
      </c>
      <c r="G1917" s="96" t="s">
        <v>92</v>
      </c>
      <c r="H1917" s="96" t="s">
        <v>5499</v>
      </c>
      <c r="I1917" s="96" t="s">
        <v>157</v>
      </c>
      <c r="J1917" s="96" t="s">
        <v>173</v>
      </c>
      <c r="K1917" s="96" t="s">
        <v>233</v>
      </c>
      <c r="L1917">
        <v>3</v>
      </c>
      <c r="M1917" t="s">
        <v>11</v>
      </c>
      <c r="N1917" t="s">
        <v>37</v>
      </c>
      <c r="O1917" t="s">
        <v>151</v>
      </c>
      <c r="P1917">
        <v>2026</v>
      </c>
    </row>
    <row r="1918" spans="1:16" x14ac:dyDescent="0.25">
      <c r="A1918" s="96" t="s">
        <v>2</v>
      </c>
      <c r="B1918" s="96" t="s">
        <v>234</v>
      </c>
      <c r="C1918" s="96" t="s">
        <v>1913</v>
      </c>
      <c r="D1918" s="96" t="s">
        <v>10</v>
      </c>
      <c r="E1918" s="43">
        <v>46094</v>
      </c>
      <c r="F1918" s="43">
        <v>46149</v>
      </c>
      <c r="G1918" s="96" t="s">
        <v>90</v>
      </c>
      <c r="H1918" s="96" t="s">
        <v>5500</v>
      </c>
      <c r="I1918" s="96" t="s">
        <v>157</v>
      </c>
      <c r="J1918" s="96" t="s">
        <v>91</v>
      </c>
      <c r="K1918" s="96" t="s">
        <v>246</v>
      </c>
      <c r="L1918">
        <v>55</v>
      </c>
      <c r="M1918" t="s">
        <v>24</v>
      </c>
      <c r="N1918" t="s">
        <v>35</v>
      </c>
      <c r="O1918" t="s">
        <v>150</v>
      </c>
      <c r="P1918">
        <v>2026</v>
      </c>
    </row>
    <row r="1919" spans="1:16" x14ac:dyDescent="0.25">
      <c r="A1919" s="96" t="s">
        <v>2</v>
      </c>
      <c r="B1919" s="96" t="s">
        <v>261</v>
      </c>
      <c r="C1919" s="96" t="s">
        <v>1914</v>
      </c>
      <c r="D1919" s="96" t="s">
        <v>40</v>
      </c>
      <c r="E1919" s="43">
        <v>46041</v>
      </c>
      <c r="F1919" s="43">
        <v>46148</v>
      </c>
      <c r="G1919" s="96" t="s">
        <v>92</v>
      </c>
      <c r="H1919" s="96" t="s">
        <v>5501</v>
      </c>
      <c r="I1919" s="96" t="s">
        <v>228</v>
      </c>
      <c r="J1919" s="96" t="s">
        <v>172</v>
      </c>
      <c r="K1919" s="96" t="s">
        <v>217</v>
      </c>
      <c r="L1919">
        <v>107</v>
      </c>
      <c r="M1919" t="s">
        <v>28</v>
      </c>
      <c r="N1919" t="s">
        <v>29</v>
      </c>
      <c r="O1919" t="s">
        <v>151</v>
      </c>
      <c r="P1919">
        <v>2026</v>
      </c>
    </row>
    <row r="1920" spans="1:16" hidden="1" x14ac:dyDescent="0.25">
      <c r="A1920" s="96" t="s">
        <v>175</v>
      </c>
      <c r="B1920" s="96" t="s">
        <v>247</v>
      </c>
      <c r="C1920" s="96" t="s">
        <v>1915</v>
      </c>
      <c r="D1920" s="96" t="s">
        <v>215</v>
      </c>
      <c r="E1920" s="43">
        <v>45692</v>
      </c>
      <c r="F1920" s="43">
        <v>45781</v>
      </c>
      <c r="G1920" s="96" t="s">
        <v>90</v>
      </c>
      <c r="H1920" s="96" t="s">
        <v>1854</v>
      </c>
      <c r="I1920" s="96" t="s">
        <v>9</v>
      </c>
      <c r="J1920" s="96" t="s">
        <v>176</v>
      </c>
      <c r="K1920" s="96" t="s">
        <v>200</v>
      </c>
      <c r="L1920">
        <v>89</v>
      </c>
      <c r="M1920" t="s">
        <v>28</v>
      </c>
      <c r="N1920" t="s">
        <v>188</v>
      </c>
      <c r="O1920" t="s">
        <v>150</v>
      </c>
      <c r="P1920">
        <v>2025</v>
      </c>
    </row>
    <row r="1921" spans="1:16" x14ac:dyDescent="0.25">
      <c r="A1921" s="96" t="s">
        <v>2</v>
      </c>
      <c r="B1921" s="96" t="s">
        <v>305</v>
      </c>
      <c r="C1921" s="96" t="s">
        <v>1916</v>
      </c>
      <c r="D1921" s="96" t="s">
        <v>203</v>
      </c>
      <c r="E1921" s="43">
        <v>46132</v>
      </c>
      <c r="F1921" s="43">
        <v>46148</v>
      </c>
      <c r="G1921" s="96" t="s">
        <v>92</v>
      </c>
      <c r="H1921" s="96" t="s">
        <v>1856</v>
      </c>
      <c r="I1921" s="96" t="s">
        <v>9</v>
      </c>
      <c r="J1921" s="96" t="s">
        <v>199</v>
      </c>
      <c r="K1921" s="96" t="s">
        <v>210</v>
      </c>
      <c r="L1921">
        <v>16</v>
      </c>
      <c r="M1921" t="s">
        <v>19</v>
      </c>
      <c r="N1921" t="s">
        <v>37</v>
      </c>
      <c r="O1921" t="s">
        <v>170</v>
      </c>
      <c r="P1921">
        <v>2026</v>
      </c>
    </row>
    <row r="1922" spans="1:16" x14ac:dyDescent="0.25">
      <c r="A1922" s="96" t="s">
        <v>2</v>
      </c>
      <c r="B1922" s="96" t="s">
        <v>288</v>
      </c>
      <c r="C1922" s="96" t="s">
        <v>1917</v>
      </c>
      <c r="D1922" s="96" t="s">
        <v>208</v>
      </c>
      <c r="E1922" s="43">
        <v>46081</v>
      </c>
      <c r="F1922" s="43">
        <v>46146</v>
      </c>
      <c r="G1922" s="96" t="s">
        <v>92</v>
      </c>
      <c r="H1922" s="96" t="s">
        <v>1858</v>
      </c>
      <c r="I1922" s="96" t="s">
        <v>228</v>
      </c>
      <c r="J1922" s="96" t="s">
        <v>173</v>
      </c>
      <c r="K1922" s="96" t="s">
        <v>195</v>
      </c>
      <c r="L1922">
        <v>65</v>
      </c>
      <c r="M1922" t="s">
        <v>28</v>
      </c>
      <c r="N1922" t="s">
        <v>32</v>
      </c>
      <c r="O1922" t="s">
        <v>170</v>
      </c>
      <c r="P1922">
        <v>2026</v>
      </c>
    </row>
    <row r="1923" spans="1:16" hidden="1" x14ac:dyDescent="0.25">
      <c r="A1923" s="96" t="s">
        <v>175</v>
      </c>
      <c r="B1923" s="96" t="s">
        <v>213</v>
      </c>
      <c r="C1923" s="96" t="s">
        <v>1918</v>
      </c>
      <c r="D1923" s="96" t="s">
        <v>192</v>
      </c>
      <c r="E1923" s="43">
        <v>45735</v>
      </c>
      <c r="F1923" s="43">
        <v>45764</v>
      </c>
      <c r="G1923" s="96" t="s">
        <v>92</v>
      </c>
      <c r="H1923" s="96" t="s">
        <v>5502</v>
      </c>
      <c r="I1923" s="96" t="s">
        <v>157</v>
      </c>
      <c r="J1923" s="96" t="s">
        <v>199</v>
      </c>
      <c r="K1923" s="96" t="s">
        <v>195</v>
      </c>
      <c r="L1923">
        <v>29</v>
      </c>
      <c r="M1923" t="s">
        <v>19</v>
      </c>
      <c r="N1923" t="s">
        <v>186</v>
      </c>
      <c r="O1923" t="s">
        <v>149</v>
      </c>
      <c r="P1923">
        <v>2025</v>
      </c>
    </row>
    <row r="1924" spans="1:16" x14ac:dyDescent="0.25">
      <c r="A1924" s="96" t="s">
        <v>21</v>
      </c>
      <c r="B1924" s="96" t="s">
        <v>274</v>
      </c>
      <c r="C1924" s="96" t="s">
        <v>1920</v>
      </c>
      <c r="D1924" s="96" t="s">
        <v>10</v>
      </c>
      <c r="E1924" s="43">
        <v>46122</v>
      </c>
      <c r="F1924" s="43">
        <v>46151</v>
      </c>
      <c r="G1924" s="96" t="s">
        <v>92</v>
      </c>
      <c r="H1924" s="96" t="s">
        <v>1861</v>
      </c>
      <c r="I1924" s="96" t="s">
        <v>204</v>
      </c>
      <c r="J1924" s="96" t="s">
        <v>229</v>
      </c>
      <c r="K1924" s="96" t="s">
        <v>233</v>
      </c>
      <c r="L1924">
        <v>29</v>
      </c>
      <c r="M1924" t="s">
        <v>19</v>
      </c>
      <c r="N1924" t="s">
        <v>37</v>
      </c>
      <c r="O1924" t="s">
        <v>170</v>
      </c>
      <c r="P1924">
        <v>2026</v>
      </c>
    </row>
    <row r="1925" spans="1:16" hidden="1" x14ac:dyDescent="0.25">
      <c r="A1925" s="96" t="s">
        <v>2</v>
      </c>
      <c r="B1925" s="96" t="s">
        <v>206</v>
      </c>
      <c r="C1925" s="96" t="s">
        <v>1925</v>
      </c>
      <c r="D1925" s="96" t="s">
        <v>192</v>
      </c>
      <c r="E1925" s="43">
        <v>45678</v>
      </c>
      <c r="F1925" s="43">
        <v>45741</v>
      </c>
      <c r="G1925" s="96" t="s">
        <v>92</v>
      </c>
      <c r="H1925" s="96" t="s">
        <v>5503</v>
      </c>
      <c r="I1925" s="96" t="s">
        <v>209</v>
      </c>
      <c r="J1925" s="96" t="s">
        <v>172</v>
      </c>
      <c r="K1925" s="96" t="s">
        <v>230</v>
      </c>
      <c r="L1925">
        <v>63</v>
      </c>
      <c r="M1925" t="s">
        <v>28</v>
      </c>
      <c r="N1925" t="s">
        <v>181</v>
      </c>
      <c r="O1925" t="s">
        <v>152</v>
      </c>
      <c r="P1925">
        <v>2025</v>
      </c>
    </row>
    <row r="1926" spans="1:16" hidden="1" x14ac:dyDescent="0.25">
      <c r="A1926" s="96" t="s">
        <v>2</v>
      </c>
      <c r="B1926" s="96" t="s">
        <v>272</v>
      </c>
      <c r="C1926" s="96" t="s">
        <v>1926</v>
      </c>
      <c r="D1926" s="96" t="s">
        <v>40</v>
      </c>
      <c r="E1926" s="43">
        <v>45890</v>
      </c>
      <c r="F1926" s="43">
        <v>46010</v>
      </c>
      <c r="G1926" s="96" t="s">
        <v>90</v>
      </c>
      <c r="H1926" s="96" t="s">
        <v>5504</v>
      </c>
      <c r="I1926" s="96" t="s">
        <v>194</v>
      </c>
      <c r="J1926" s="96" t="s">
        <v>176</v>
      </c>
      <c r="K1926" s="96" t="s">
        <v>217</v>
      </c>
      <c r="L1926">
        <v>120</v>
      </c>
      <c r="M1926" t="s">
        <v>28</v>
      </c>
      <c r="N1926" t="s">
        <v>8</v>
      </c>
      <c r="O1926" t="s">
        <v>151</v>
      </c>
      <c r="P1926">
        <v>2025</v>
      </c>
    </row>
    <row r="1927" spans="1:16" hidden="1" x14ac:dyDescent="0.25">
      <c r="A1927" s="96" t="s">
        <v>2</v>
      </c>
      <c r="B1927" s="96" t="s">
        <v>206</v>
      </c>
      <c r="C1927" s="96" t="s">
        <v>5505</v>
      </c>
      <c r="D1927" s="96" t="s">
        <v>34</v>
      </c>
      <c r="E1927" s="43">
        <v>45965</v>
      </c>
      <c r="F1927" s="43">
        <v>46069</v>
      </c>
      <c r="G1927" s="96" t="s">
        <v>92</v>
      </c>
      <c r="H1927" s="96" t="s">
        <v>5506</v>
      </c>
      <c r="I1927" s="96" t="s">
        <v>228</v>
      </c>
      <c r="J1927" s="96" t="s">
        <v>176</v>
      </c>
      <c r="K1927" s="96" t="s">
        <v>233</v>
      </c>
      <c r="L1927">
        <v>104</v>
      </c>
      <c r="M1927" t="s">
        <v>28</v>
      </c>
      <c r="N1927" t="s">
        <v>20</v>
      </c>
      <c r="O1927" t="s">
        <v>152</v>
      </c>
      <c r="P1927">
        <v>2025</v>
      </c>
    </row>
    <row r="1928" spans="1:16" hidden="1" x14ac:dyDescent="0.25">
      <c r="A1928" s="96" t="s">
        <v>2</v>
      </c>
      <c r="B1928" s="96" t="s">
        <v>272</v>
      </c>
      <c r="C1928" s="96" t="s">
        <v>1927</v>
      </c>
      <c r="D1928" s="96" t="s">
        <v>34</v>
      </c>
      <c r="E1928" s="43">
        <v>45808</v>
      </c>
      <c r="F1928" s="43">
        <v>45895</v>
      </c>
      <c r="G1928" s="96" t="s">
        <v>92</v>
      </c>
      <c r="H1928" s="96" t="s">
        <v>5507</v>
      </c>
      <c r="I1928" s="96" t="s">
        <v>228</v>
      </c>
      <c r="J1928" s="96" t="s">
        <v>93</v>
      </c>
      <c r="K1928" s="96" t="s">
        <v>217</v>
      </c>
      <c r="L1928">
        <v>87</v>
      </c>
      <c r="M1928" t="s">
        <v>28</v>
      </c>
      <c r="N1928" t="s">
        <v>182</v>
      </c>
      <c r="O1928" t="s">
        <v>151</v>
      </c>
      <c r="P1928">
        <v>2025</v>
      </c>
    </row>
    <row r="1929" spans="1:16" hidden="1" x14ac:dyDescent="0.25">
      <c r="A1929" s="96" t="s">
        <v>2</v>
      </c>
      <c r="B1929" s="96" t="s">
        <v>272</v>
      </c>
      <c r="C1929" s="96" t="s">
        <v>1928</v>
      </c>
      <c r="D1929" s="96" t="s">
        <v>34</v>
      </c>
      <c r="E1929" s="43">
        <v>45981</v>
      </c>
      <c r="F1929" s="43">
        <v>46082</v>
      </c>
      <c r="G1929" s="96" t="s">
        <v>92</v>
      </c>
      <c r="H1929" s="96" t="s">
        <v>1862</v>
      </c>
      <c r="I1929" s="96" t="s">
        <v>157</v>
      </c>
      <c r="J1929" s="96" t="s">
        <v>216</v>
      </c>
      <c r="K1929" s="96" t="s">
        <v>246</v>
      </c>
      <c r="L1929">
        <v>101</v>
      </c>
      <c r="M1929" t="s">
        <v>28</v>
      </c>
      <c r="N1929" t="s">
        <v>20</v>
      </c>
      <c r="O1929" t="s">
        <v>151</v>
      </c>
      <c r="P1929">
        <v>2025</v>
      </c>
    </row>
    <row r="1930" spans="1:16" x14ac:dyDescent="0.25">
      <c r="A1930" s="96" t="s">
        <v>21</v>
      </c>
      <c r="B1930" s="96" t="s">
        <v>374</v>
      </c>
      <c r="C1930" s="96" t="s">
        <v>1929</v>
      </c>
      <c r="D1930" s="96" t="s">
        <v>215</v>
      </c>
      <c r="E1930" s="43">
        <v>46098</v>
      </c>
      <c r="F1930" s="43">
        <v>46104</v>
      </c>
      <c r="G1930" s="96" t="s">
        <v>90</v>
      </c>
      <c r="H1930" s="96" t="s">
        <v>5508</v>
      </c>
      <c r="I1930" s="96" t="s">
        <v>9</v>
      </c>
      <c r="J1930" s="96" t="s">
        <v>173</v>
      </c>
      <c r="K1930" s="96" t="s">
        <v>200</v>
      </c>
      <c r="L1930">
        <v>6</v>
      </c>
      <c r="M1930" t="s">
        <v>11</v>
      </c>
      <c r="N1930" t="s">
        <v>35</v>
      </c>
      <c r="O1930" t="s">
        <v>150</v>
      </c>
      <c r="P1930">
        <v>2026</v>
      </c>
    </row>
    <row r="1931" spans="1:16" hidden="1" x14ac:dyDescent="0.25">
      <c r="A1931" s="96" t="s">
        <v>2</v>
      </c>
      <c r="B1931" s="96" t="s">
        <v>322</v>
      </c>
      <c r="C1931" s="96" t="s">
        <v>1930</v>
      </c>
      <c r="D1931" s="96" t="s">
        <v>10</v>
      </c>
      <c r="E1931" s="43">
        <v>45690</v>
      </c>
      <c r="F1931" s="43">
        <v>45748</v>
      </c>
      <c r="G1931" s="96" t="s">
        <v>90</v>
      </c>
      <c r="H1931" s="96" t="s">
        <v>5509</v>
      </c>
      <c r="I1931" s="96" t="s">
        <v>209</v>
      </c>
      <c r="J1931" s="96" t="s">
        <v>97</v>
      </c>
      <c r="K1931" s="96" t="s">
        <v>205</v>
      </c>
      <c r="L1931">
        <v>58</v>
      </c>
      <c r="M1931" t="s">
        <v>24</v>
      </c>
      <c r="N1931" t="s">
        <v>188</v>
      </c>
      <c r="O1931" t="s">
        <v>150</v>
      </c>
      <c r="P1931">
        <v>2025</v>
      </c>
    </row>
    <row r="1932" spans="1:16" hidden="1" x14ac:dyDescent="0.25">
      <c r="A1932" s="96" t="s">
        <v>2</v>
      </c>
      <c r="B1932" s="96" t="s">
        <v>213</v>
      </c>
      <c r="C1932" s="96" t="s">
        <v>1931</v>
      </c>
      <c r="D1932" s="96" t="s">
        <v>40</v>
      </c>
      <c r="E1932" s="43">
        <v>45702</v>
      </c>
      <c r="F1932" s="43">
        <v>45727</v>
      </c>
      <c r="G1932" s="96" t="s">
        <v>92</v>
      </c>
      <c r="H1932" s="96" t="s">
        <v>5510</v>
      </c>
      <c r="I1932" s="96" t="s">
        <v>209</v>
      </c>
      <c r="J1932" s="96" t="s">
        <v>173</v>
      </c>
      <c r="K1932" s="96" t="s">
        <v>205</v>
      </c>
      <c r="L1932">
        <v>25</v>
      </c>
      <c r="M1932" t="s">
        <v>19</v>
      </c>
      <c r="N1932" t="s">
        <v>188</v>
      </c>
      <c r="O1932" t="s">
        <v>149</v>
      </c>
      <c r="P1932">
        <v>2025</v>
      </c>
    </row>
    <row r="1933" spans="1:16" x14ac:dyDescent="0.25">
      <c r="A1933" s="96" t="s">
        <v>21</v>
      </c>
      <c r="B1933" s="96" t="s">
        <v>290</v>
      </c>
      <c r="C1933" s="96" t="s">
        <v>1933</v>
      </c>
      <c r="D1933" s="96" t="s">
        <v>203</v>
      </c>
      <c r="E1933" s="43">
        <v>46093</v>
      </c>
      <c r="F1933" s="43">
        <v>46146</v>
      </c>
      <c r="G1933" s="96" t="s">
        <v>90</v>
      </c>
      <c r="H1933" s="96" t="s">
        <v>1865</v>
      </c>
      <c r="I1933" s="96" t="s">
        <v>225</v>
      </c>
      <c r="J1933" s="96" t="s">
        <v>168</v>
      </c>
      <c r="K1933" s="96" t="s">
        <v>205</v>
      </c>
      <c r="L1933">
        <v>53</v>
      </c>
      <c r="M1933" t="s">
        <v>24</v>
      </c>
      <c r="N1933" t="s">
        <v>35</v>
      </c>
      <c r="O1933" t="s">
        <v>149</v>
      </c>
      <c r="P1933">
        <v>2026</v>
      </c>
    </row>
    <row r="1934" spans="1:16" hidden="1" x14ac:dyDescent="0.25">
      <c r="A1934" s="96" t="s">
        <v>2</v>
      </c>
      <c r="B1934" s="96" t="s">
        <v>257</v>
      </c>
      <c r="C1934" s="96" t="s">
        <v>5511</v>
      </c>
      <c r="D1934" s="96" t="s">
        <v>14</v>
      </c>
      <c r="E1934" s="43">
        <v>45983</v>
      </c>
      <c r="F1934" s="43">
        <v>46043</v>
      </c>
      <c r="G1934" s="96" t="s">
        <v>92</v>
      </c>
      <c r="H1934" s="96" t="s">
        <v>1866</v>
      </c>
      <c r="I1934" s="96" t="s">
        <v>194</v>
      </c>
      <c r="J1934" s="96" t="s">
        <v>169</v>
      </c>
      <c r="K1934" s="96" t="s">
        <v>210</v>
      </c>
      <c r="L1934">
        <v>60</v>
      </c>
      <c r="M1934" t="s">
        <v>24</v>
      </c>
      <c r="N1934" t="s">
        <v>20</v>
      </c>
      <c r="O1934" t="s">
        <v>151</v>
      </c>
      <c r="P1934">
        <v>2025</v>
      </c>
    </row>
    <row r="1935" spans="1:16" x14ac:dyDescent="0.25">
      <c r="A1935" s="96" t="s">
        <v>175</v>
      </c>
      <c r="B1935" s="96" t="s">
        <v>274</v>
      </c>
      <c r="C1935" s="96" t="s">
        <v>1934</v>
      </c>
      <c r="D1935" s="96" t="s">
        <v>208</v>
      </c>
      <c r="E1935" s="43">
        <v>46111</v>
      </c>
      <c r="F1935" s="43">
        <v>46147</v>
      </c>
      <c r="G1935" s="96" t="s">
        <v>90</v>
      </c>
      <c r="H1935" s="96" t="s">
        <v>1868</v>
      </c>
      <c r="I1935" s="96" t="s">
        <v>194</v>
      </c>
      <c r="J1935" s="96" t="s">
        <v>96</v>
      </c>
      <c r="K1935" s="96" t="s">
        <v>200</v>
      </c>
      <c r="L1935">
        <v>36</v>
      </c>
      <c r="M1935" t="s">
        <v>24</v>
      </c>
      <c r="N1935" t="s">
        <v>35</v>
      </c>
      <c r="O1935" t="s">
        <v>170</v>
      </c>
      <c r="P1935">
        <v>2026</v>
      </c>
    </row>
    <row r="1936" spans="1:16" x14ac:dyDescent="0.25">
      <c r="A1936" s="96" t="s">
        <v>2</v>
      </c>
      <c r="B1936" s="96" t="s">
        <v>269</v>
      </c>
      <c r="C1936" s="96" t="s">
        <v>1936</v>
      </c>
      <c r="D1936" s="96" t="s">
        <v>34</v>
      </c>
      <c r="E1936" s="43">
        <v>46129</v>
      </c>
      <c r="F1936" s="43">
        <v>46146</v>
      </c>
      <c r="G1936" s="96" t="s">
        <v>92</v>
      </c>
      <c r="H1936" s="96" t="s">
        <v>1870</v>
      </c>
      <c r="I1936" s="96" t="s">
        <v>204</v>
      </c>
      <c r="J1936" s="96" t="s">
        <v>96</v>
      </c>
      <c r="K1936" s="96" t="s">
        <v>230</v>
      </c>
      <c r="L1936">
        <v>17</v>
      </c>
      <c r="M1936" t="s">
        <v>19</v>
      </c>
      <c r="N1936" t="s">
        <v>37</v>
      </c>
      <c r="O1936" t="s">
        <v>152</v>
      </c>
      <c r="P1936">
        <v>2026</v>
      </c>
    </row>
    <row r="1937" spans="1:16" hidden="1" x14ac:dyDescent="0.25">
      <c r="A1937" s="96" t="s">
        <v>2</v>
      </c>
      <c r="B1937" s="96" t="s">
        <v>206</v>
      </c>
      <c r="C1937" s="96" t="s">
        <v>5512</v>
      </c>
      <c r="D1937" s="96" t="s">
        <v>203</v>
      </c>
      <c r="E1937" s="43">
        <v>45723</v>
      </c>
      <c r="F1937" s="43">
        <v>45805</v>
      </c>
      <c r="G1937" s="96" t="s">
        <v>92</v>
      </c>
      <c r="H1937" s="96" t="s">
        <v>5513</v>
      </c>
      <c r="I1937" s="96" t="s">
        <v>157</v>
      </c>
      <c r="J1937" s="96" t="s">
        <v>229</v>
      </c>
      <c r="K1937" s="96" t="s">
        <v>157</v>
      </c>
      <c r="L1937">
        <v>82</v>
      </c>
      <c r="M1937" t="s">
        <v>28</v>
      </c>
      <c r="N1937" t="s">
        <v>186</v>
      </c>
      <c r="O1937" t="s">
        <v>152</v>
      </c>
      <c r="P1937">
        <v>2025</v>
      </c>
    </row>
    <row r="1938" spans="1:16" x14ac:dyDescent="0.25">
      <c r="A1938" s="96" t="s">
        <v>21</v>
      </c>
      <c r="B1938" s="96" t="s">
        <v>261</v>
      </c>
      <c r="C1938" s="96" t="s">
        <v>1937</v>
      </c>
      <c r="D1938" s="96" t="s">
        <v>203</v>
      </c>
      <c r="E1938" s="43">
        <v>46135</v>
      </c>
      <c r="F1938" s="43">
        <v>46148</v>
      </c>
      <c r="G1938" s="96" t="s">
        <v>90</v>
      </c>
      <c r="H1938" s="96" t="s">
        <v>5514</v>
      </c>
      <c r="I1938" s="96" t="s">
        <v>228</v>
      </c>
      <c r="J1938" s="96" t="s">
        <v>216</v>
      </c>
      <c r="K1938" s="96" t="s">
        <v>230</v>
      </c>
      <c r="L1938">
        <v>13</v>
      </c>
      <c r="M1938" t="s">
        <v>15</v>
      </c>
      <c r="N1938" t="s">
        <v>37</v>
      </c>
      <c r="O1938" t="s">
        <v>151</v>
      </c>
      <c r="P1938">
        <v>2026</v>
      </c>
    </row>
    <row r="1939" spans="1:16" hidden="1" x14ac:dyDescent="0.25">
      <c r="A1939" s="96" t="s">
        <v>2</v>
      </c>
      <c r="B1939" s="96" t="s">
        <v>280</v>
      </c>
      <c r="C1939" s="96" t="s">
        <v>5515</v>
      </c>
      <c r="D1939" s="96" t="s">
        <v>223</v>
      </c>
      <c r="E1939" s="43">
        <v>46014</v>
      </c>
      <c r="F1939" s="43">
        <v>46120</v>
      </c>
      <c r="G1939" s="96" t="s">
        <v>90</v>
      </c>
      <c r="H1939" s="96" t="s">
        <v>5516</v>
      </c>
      <c r="I1939" s="96" t="s">
        <v>225</v>
      </c>
      <c r="J1939" s="96" t="s">
        <v>165</v>
      </c>
      <c r="K1939" s="96" t="s">
        <v>205</v>
      </c>
      <c r="L1939">
        <v>106</v>
      </c>
      <c r="M1939" t="s">
        <v>28</v>
      </c>
      <c r="N1939" t="s">
        <v>25</v>
      </c>
      <c r="O1939" t="s">
        <v>170</v>
      </c>
      <c r="P1939">
        <v>2025</v>
      </c>
    </row>
    <row r="1940" spans="1:16" hidden="1" x14ac:dyDescent="0.25">
      <c r="A1940" s="96" t="s">
        <v>2</v>
      </c>
      <c r="B1940" s="96" t="s">
        <v>253</v>
      </c>
      <c r="C1940" s="96" t="s">
        <v>1939</v>
      </c>
      <c r="D1940" s="96" t="s">
        <v>237</v>
      </c>
      <c r="E1940" s="43">
        <v>45857</v>
      </c>
      <c r="F1940" s="43">
        <v>45929</v>
      </c>
      <c r="G1940" s="96" t="s">
        <v>92</v>
      </c>
      <c r="H1940" s="96" t="s">
        <v>5517</v>
      </c>
      <c r="I1940" s="96" t="s">
        <v>225</v>
      </c>
      <c r="J1940" s="96" t="s">
        <v>199</v>
      </c>
      <c r="K1940" s="96" t="s">
        <v>195</v>
      </c>
      <c r="L1940">
        <v>72</v>
      </c>
      <c r="M1940" t="s">
        <v>28</v>
      </c>
      <c r="N1940" t="s">
        <v>187</v>
      </c>
      <c r="O1940" t="s">
        <v>152</v>
      </c>
      <c r="P1940">
        <v>2025</v>
      </c>
    </row>
    <row r="1941" spans="1:16" hidden="1" x14ac:dyDescent="0.25">
      <c r="A1941" s="96" t="s">
        <v>175</v>
      </c>
      <c r="B1941" s="96" t="s">
        <v>213</v>
      </c>
      <c r="C1941" s="96" t="s">
        <v>1941</v>
      </c>
      <c r="D1941" s="96" t="s">
        <v>10</v>
      </c>
      <c r="E1941" s="43">
        <v>45809</v>
      </c>
      <c r="F1941" s="43">
        <v>45901</v>
      </c>
      <c r="G1941" s="96" t="s">
        <v>92</v>
      </c>
      <c r="H1941" s="96" t="s">
        <v>5518</v>
      </c>
      <c r="I1941" s="96" t="s">
        <v>157</v>
      </c>
      <c r="J1941" s="96" t="s">
        <v>176</v>
      </c>
      <c r="K1941" s="96" t="s">
        <v>233</v>
      </c>
      <c r="L1941">
        <v>92</v>
      </c>
      <c r="M1941" t="s">
        <v>28</v>
      </c>
      <c r="N1941" t="s">
        <v>184</v>
      </c>
      <c r="O1941" t="s">
        <v>149</v>
      </c>
      <c r="P1941">
        <v>2025</v>
      </c>
    </row>
    <row r="1942" spans="1:16" hidden="1" x14ac:dyDescent="0.25">
      <c r="A1942" s="96" t="s">
        <v>175</v>
      </c>
      <c r="B1942" s="96" t="s">
        <v>257</v>
      </c>
      <c r="C1942" s="96" t="s">
        <v>5519</v>
      </c>
      <c r="D1942" s="96" t="s">
        <v>215</v>
      </c>
      <c r="E1942" s="43">
        <v>45971</v>
      </c>
      <c r="F1942" s="43">
        <v>46080</v>
      </c>
      <c r="G1942" s="96" t="s">
        <v>90</v>
      </c>
      <c r="H1942" s="96" t="s">
        <v>5520</v>
      </c>
      <c r="I1942" s="96" t="s">
        <v>157</v>
      </c>
      <c r="J1942" s="96" t="s">
        <v>94</v>
      </c>
      <c r="K1942" s="96" t="s">
        <v>230</v>
      </c>
      <c r="L1942">
        <v>109</v>
      </c>
      <c r="M1942" t="s">
        <v>28</v>
      </c>
      <c r="N1942" t="s">
        <v>20</v>
      </c>
      <c r="O1942" t="s">
        <v>151</v>
      </c>
      <c r="P1942">
        <v>2025</v>
      </c>
    </row>
    <row r="1943" spans="1:16" x14ac:dyDescent="0.25">
      <c r="A1943" s="96" t="s">
        <v>2</v>
      </c>
      <c r="B1943" s="96" t="s">
        <v>261</v>
      </c>
      <c r="C1943" s="96" t="s">
        <v>5521</v>
      </c>
      <c r="D1943" s="96" t="s">
        <v>40</v>
      </c>
      <c r="E1943" s="43">
        <v>46138</v>
      </c>
      <c r="F1943" s="43">
        <v>46147</v>
      </c>
      <c r="G1943" s="96" t="s">
        <v>92</v>
      </c>
      <c r="H1943" s="96" t="s">
        <v>1875</v>
      </c>
      <c r="I1943" s="96" t="s">
        <v>225</v>
      </c>
      <c r="J1943" s="96" t="s">
        <v>96</v>
      </c>
      <c r="K1943" s="96" t="s">
        <v>230</v>
      </c>
      <c r="L1943">
        <v>9</v>
      </c>
      <c r="M1943" t="s">
        <v>15</v>
      </c>
      <c r="N1943" t="s">
        <v>37</v>
      </c>
      <c r="O1943" t="s">
        <v>151</v>
      </c>
      <c r="P1943">
        <v>2026</v>
      </c>
    </row>
    <row r="1944" spans="1:16" hidden="1" x14ac:dyDescent="0.25">
      <c r="A1944" s="96" t="s">
        <v>175</v>
      </c>
      <c r="B1944" s="96" t="s">
        <v>238</v>
      </c>
      <c r="C1944" s="96" t="s">
        <v>5522</v>
      </c>
      <c r="D1944" s="96" t="s">
        <v>203</v>
      </c>
      <c r="E1944" s="43">
        <v>45912</v>
      </c>
      <c r="F1944" s="43">
        <v>45959</v>
      </c>
      <c r="G1944" s="96" t="s">
        <v>90</v>
      </c>
      <c r="H1944" s="96" t="s">
        <v>1877</v>
      </c>
      <c r="I1944" s="96" t="s">
        <v>228</v>
      </c>
      <c r="J1944" s="96" t="s">
        <v>169</v>
      </c>
      <c r="K1944" s="96" t="s">
        <v>233</v>
      </c>
      <c r="L1944">
        <v>47</v>
      </c>
      <c r="M1944" t="s">
        <v>24</v>
      </c>
      <c r="N1944" t="s">
        <v>12</v>
      </c>
      <c r="O1944" t="s">
        <v>170</v>
      </c>
      <c r="P1944">
        <v>2025</v>
      </c>
    </row>
    <row r="1945" spans="1:16" x14ac:dyDescent="0.25">
      <c r="A1945" s="96" t="s">
        <v>2</v>
      </c>
      <c r="B1945" s="96" t="s">
        <v>305</v>
      </c>
      <c r="C1945" s="96" t="s">
        <v>5523</v>
      </c>
      <c r="D1945" s="96" t="s">
        <v>192</v>
      </c>
      <c r="E1945" s="43">
        <v>46144</v>
      </c>
      <c r="F1945" s="43">
        <v>46148</v>
      </c>
      <c r="G1945" s="96" t="s">
        <v>92</v>
      </c>
      <c r="H1945" s="96" t="s">
        <v>1879</v>
      </c>
      <c r="I1945" s="96" t="s">
        <v>204</v>
      </c>
      <c r="J1945" s="96" t="s">
        <v>91</v>
      </c>
      <c r="K1945" s="96" t="s">
        <v>246</v>
      </c>
      <c r="L1945">
        <v>4</v>
      </c>
      <c r="M1945" t="s">
        <v>11</v>
      </c>
      <c r="N1945" t="s">
        <v>183</v>
      </c>
      <c r="O1945" t="s">
        <v>170</v>
      </c>
      <c r="P1945">
        <v>2026</v>
      </c>
    </row>
    <row r="1946" spans="1:16" hidden="1" x14ac:dyDescent="0.25">
      <c r="A1946" s="96" t="s">
        <v>21</v>
      </c>
      <c r="B1946" s="96" t="s">
        <v>247</v>
      </c>
      <c r="C1946" s="96" t="s">
        <v>1943</v>
      </c>
      <c r="D1946" s="96" t="s">
        <v>215</v>
      </c>
      <c r="E1946" s="43">
        <v>45770</v>
      </c>
      <c r="F1946" s="43">
        <v>45836</v>
      </c>
      <c r="G1946" s="96" t="s">
        <v>92</v>
      </c>
      <c r="H1946" s="96" t="s">
        <v>5524</v>
      </c>
      <c r="I1946" s="96" t="s">
        <v>9</v>
      </c>
      <c r="J1946" s="96" t="s">
        <v>229</v>
      </c>
      <c r="K1946" s="96" t="s">
        <v>210</v>
      </c>
      <c r="L1946">
        <v>66</v>
      </c>
      <c r="M1946" t="s">
        <v>28</v>
      </c>
      <c r="N1946" t="s">
        <v>185</v>
      </c>
      <c r="O1946" t="s">
        <v>150</v>
      </c>
      <c r="P1946">
        <v>2025</v>
      </c>
    </row>
    <row r="1947" spans="1:16" hidden="1" x14ac:dyDescent="0.25">
      <c r="A1947" s="96" t="s">
        <v>2</v>
      </c>
      <c r="B1947" s="96" t="s">
        <v>272</v>
      </c>
      <c r="C1947" s="96" t="s">
        <v>5525</v>
      </c>
      <c r="D1947" s="96" t="s">
        <v>10</v>
      </c>
      <c r="E1947" s="43">
        <v>45926</v>
      </c>
      <c r="F1947" s="43">
        <v>45954</v>
      </c>
      <c r="G1947" s="96" t="s">
        <v>92</v>
      </c>
      <c r="H1947" s="96" t="s">
        <v>1881</v>
      </c>
      <c r="I1947" s="96" t="s">
        <v>194</v>
      </c>
      <c r="J1947" s="96" t="s">
        <v>172</v>
      </c>
      <c r="K1947" s="96" t="s">
        <v>205</v>
      </c>
      <c r="L1947">
        <v>28</v>
      </c>
      <c r="M1947" t="s">
        <v>19</v>
      </c>
      <c r="N1947" t="s">
        <v>12</v>
      </c>
      <c r="O1947" t="s">
        <v>151</v>
      </c>
      <c r="P1947">
        <v>2025</v>
      </c>
    </row>
    <row r="1948" spans="1:16" hidden="1" x14ac:dyDescent="0.25">
      <c r="A1948" s="96" t="s">
        <v>2</v>
      </c>
      <c r="B1948" s="96" t="s">
        <v>264</v>
      </c>
      <c r="C1948" s="96" t="s">
        <v>1944</v>
      </c>
      <c r="D1948" s="96" t="s">
        <v>34</v>
      </c>
      <c r="E1948" s="43">
        <v>45868</v>
      </c>
      <c r="F1948" s="43">
        <v>45979</v>
      </c>
      <c r="G1948" s="96" t="s">
        <v>90</v>
      </c>
      <c r="H1948" s="96" t="s">
        <v>1882</v>
      </c>
      <c r="I1948" s="96" t="s">
        <v>225</v>
      </c>
      <c r="J1948" s="96" t="s">
        <v>98</v>
      </c>
      <c r="K1948" s="96" t="s">
        <v>210</v>
      </c>
      <c r="L1948">
        <v>111</v>
      </c>
      <c r="M1948" t="s">
        <v>28</v>
      </c>
      <c r="N1948" t="s">
        <v>187</v>
      </c>
      <c r="O1948" t="s">
        <v>152</v>
      </c>
      <c r="P1948">
        <v>2025</v>
      </c>
    </row>
    <row r="1949" spans="1:16" hidden="1" x14ac:dyDescent="0.25">
      <c r="A1949" s="96" t="s">
        <v>2</v>
      </c>
      <c r="B1949" s="96" t="s">
        <v>257</v>
      </c>
      <c r="C1949" s="96" t="s">
        <v>1945</v>
      </c>
      <c r="D1949" s="96" t="s">
        <v>215</v>
      </c>
      <c r="E1949" s="43">
        <v>45791</v>
      </c>
      <c r="F1949" s="43">
        <v>45889</v>
      </c>
      <c r="G1949" s="96" t="s">
        <v>90</v>
      </c>
      <c r="H1949" s="96" t="s">
        <v>5526</v>
      </c>
      <c r="I1949" s="96" t="s">
        <v>157</v>
      </c>
      <c r="J1949" s="96" t="s">
        <v>172</v>
      </c>
      <c r="K1949" s="96" t="s">
        <v>230</v>
      </c>
      <c r="L1949">
        <v>98</v>
      </c>
      <c r="M1949" t="s">
        <v>28</v>
      </c>
      <c r="N1949" t="s">
        <v>182</v>
      </c>
      <c r="O1949" t="s">
        <v>151</v>
      </c>
      <c r="P1949">
        <v>2025</v>
      </c>
    </row>
    <row r="1950" spans="1:16" hidden="1" x14ac:dyDescent="0.25">
      <c r="A1950" s="96" t="s">
        <v>2</v>
      </c>
      <c r="B1950" s="96" t="s">
        <v>280</v>
      </c>
      <c r="C1950" s="96" t="s">
        <v>5527</v>
      </c>
      <c r="D1950" s="96" t="s">
        <v>237</v>
      </c>
      <c r="E1950" s="43">
        <v>45842</v>
      </c>
      <c r="F1950" s="43">
        <v>45925</v>
      </c>
      <c r="G1950" s="96" t="s">
        <v>90</v>
      </c>
      <c r="H1950" s="96" t="s">
        <v>5528</v>
      </c>
      <c r="I1950" s="96" t="s">
        <v>209</v>
      </c>
      <c r="J1950" s="96" t="s">
        <v>176</v>
      </c>
      <c r="K1950" s="96" t="s">
        <v>195</v>
      </c>
      <c r="L1950">
        <v>83</v>
      </c>
      <c r="M1950" t="s">
        <v>28</v>
      </c>
      <c r="N1950" t="s">
        <v>187</v>
      </c>
      <c r="O1950" t="s">
        <v>170</v>
      </c>
      <c r="P1950">
        <v>2025</v>
      </c>
    </row>
    <row r="1951" spans="1:16" x14ac:dyDescent="0.25">
      <c r="A1951" s="96" t="s">
        <v>2</v>
      </c>
      <c r="B1951" s="96" t="s">
        <v>305</v>
      </c>
      <c r="C1951" s="96" t="s">
        <v>5529</v>
      </c>
      <c r="D1951" s="96" t="s">
        <v>223</v>
      </c>
      <c r="E1951" s="43">
        <v>46113</v>
      </c>
      <c r="F1951" s="43">
        <v>46143</v>
      </c>
      <c r="G1951" s="96" t="s">
        <v>90</v>
      </c>
      <c r="H1951" s="96" t="s">
        <v>5530</v>
      </c>
      <c r="I1951" s="96" t="s">
        <v>228</v>
      </c>
      <c r="J1951" s="96" t="s">
        <v>168</v>
      </c>
      <c r="K1951" s="96" t="s">
        <v>157</v>
      </c>
      <c r="L1951">
        <v>30</v>
      </c>
      <c r="M1951" t="s">
        <v>19</v>
      </c>
      <c r="N1951" t="s">
        <v>37</v>
      </c>
      <c r="O1951" t="s">
        <v>170</v>
      </c>
      <c r="P1951">
        <v>2026</v>
      </c>
    </row>
    <row r="1952" spans="1:16" hidden="1" x14ac:dyDescent="0.25">
      <c r="A1952" s="96" t="s">
        <v>2</v>
      </c>
      <c r="B1952" s="96" t="s">
        <v>257</v>
      </c>
      <c r="C1952" s="96" t="s">
        <v>1946</v>
      </c>
      <c r="D1952" s="96" t="s">
        <v>40</v>
      </c>
      <c r="E1952" s="43">
        <v>46007</v>
      </c>
      <c r="F1952" s="43">
        <v>46019</v>
      </c>
      <c r="G1952" s="96" t="s">
        <v>90</v>
      </c>
      <c r="H1952" s="96" t="s">
        <v>1887</v>
      </c>
      <c r="I1952" s="96" t="s">
        <v>209</v>
      </c>
      <c r="J1952" s="96" t="s">
        <v>169</v>
      </c>
      <c r="K1952" s="96" t="s">
        <v>233</v>
      </c>
      <c r="L1952">
        <v>12</v>
      </c>
      <c r="M1952" t="s">
        <v>15</v>
      </c>
      <c r="N1952" t="s">
        <v>25</v>
      </c>
      <c r="O1952" t="s">
        <v>151</v>
      </c>
      <c r="P1952">
        <v>2025</v>
      </c>
    </row>
    <row r="1953" spans="1:16" hidden="1" x14ac:dyDescent="0.25">
      <c r="A1953" s="96" t="s">
        <v>2</v>
      </c>
      <c r="B1953" s="96" t="s">
        <v>322</v>
      </c>
      <c r="C1953" s="96" t="s">
        <v>1947</v>
      </c>
      <c r="D1953" s="96" t="s">
        <v>223</v>
      </c>
      <c r="E1953" s="43">
        <v>45913</v>
      </c>
      <c r="F1953" s="43">
        <v>45987</v>
      </c>
      <c r="G1953" s="96" t="s">
        <v>90</v>
      </c>
      <c r="H1953" s="96" t="s">
        <v>1889</v>
      </c>
      <c r="I1953" s="96" t="s">
        <v>228</v>
      </c>
      <c r="J1953" s="96" t="s">
        <v>216</v>
      </c>
      <c r="K1953" s="96" t="s">
        <v>210</v>
      </c>
      <c r="L1953">
        <v>74</v>
      </c>
      <c r="M1953" t="s">
        <v>28</v>
      </c>
      <c r="N1953" t="s">
        <v>12</v>
      </c>
      <c r="O1953" t="s">
        <v>150</v>
      </c>
      <c r="P1953">
        <v>2025</v>
      </c>
    </row>
    <row r="1954" spans="1:16" hidden="1" x14ac:dyDescent="0.25">
      <c r="A1954" s="96" t="s">
        <v>2</v>
      </c>
      <c r="B1954" s="96" t="s">
        <v>280</v>
      </c>
      <c r="C1954" s="96" t="s">
        <v>1948</v>
      </c>
      <c r="D1954" s="96" t="s">
        <v>203</v>
      </c>
      <c r="E1954" s="43">
        <v>45894</v>
      </c>
      <c r="F1954" s="43">
        <v>45949</v>
      </c>
      <c r="G1954" s="96" t="s">
        <v>92</v>
      </c>
      <c r="H1954" s="96" t="s">
        <v>5531</v>
      </c>
      <c r="I1954" s="96" t="s">
        <v>194</v>
      </c>
      <c r="J1954" s="96" t="s">
        <v>165</v>
      </c>
      <c r="K1954" s="96" t="s">
        <v>205</v>
      </c>
      <c r="L1954">
        <v>55</v>
      </c>
      <c r="M1954" t="s">
        <v>24</v>
      </c>
      <c r="N1954" t="s">
        <v>8</v>
      </c>
      <c r="O1954" t="s">
        <v>170</v>
      </c>
      <c r="P1954">
        <v>2025</v>
      </c>
    </row>
    <row r="1955" spans="1:16" x14ac:dyDescent="0.25">
      <c r="A1955" s="96" t="s">
        <v>171</v>
      </c>
      <c r="B1955" s="96" t="s">
        <v>261</v>
      </c>
      <c r="C1955" s="96" t="s">
        <v>1949</v>
      </c>
      <c r="D1955" s="96" t="s">
        <v>203</v>
      </c>
      <c r="E1955" s="43">
        <v>46102</v>
      </c>
      <c r="F1955" s="43">
        <v>46114</v>
      </c>
      <c r="G1955" s="96" t="s">
        <v>92</v>
      </c>
      <c r="H1955" s="96" t="s">
        <v>5532</v>
      </c>
      <c r="I1955" s="96" t="s">
        <v>9</v>
      </c>
      <c r="J1955" s="96" t="s">
        <v>98</v>
      </c>
      <c r="K1955" s="96" t="s">
        <v>157</v>
      </c>
      <c r="L1955">
        <v>12</v>
      </c>
      <c r="M1955" t="s">
        <v>15</v>
      </c>
      <c r="N1955" t="s">
        <v>35</v>
      </c>
      <c r="O1955" t="s">
        <v>151</v>
      </c>
      <c r="P1955">
        <v>2026</v>
      </c>
    </row>
    <row r="1956" spans="1:16" x14ac:dyDescent="0.25">
      <c r="A1956" s="96" t="s">
        <v>2</v>
      </c>
      <c r="B1956" s="96" t="s">
        <v>226</v>
      </c>
      <c r="C1956" s="96" t="s">
        <v>1950</v>
      </c>
      <c r="D1956" s="96" t="s">
        <v>237</v>
      </c>
      <c r="E1956" s="43">
        <v>46068</v>
      </c>
      <c r="F1956" s="43">
        <v>46124</v>
      </c>
      <c r="G1956" s="96" t="s">
        <v>92</v>
      </c>
      <c r="H1956" s="96" t="s">
        <v>5533</v>
      </c>
      <c r="I1956" s="96" t="s">
        <v>9</v>
      </c>
      <c r="J1956" s="96" t="s">
        <v>97</v>
      </c>
      <c r="K1956" s="96" t="s">
        <v>195</v>
      </c>
      <c r="L1956">
        <v>56</v>
      </c>
      <c r="M1956" t="s">
        <v>24</v>
      </c>
      <c r="N1956" t="s">
        <v>32</v>
      </c>
      <c r="O1956" t="s">
        <v>151</v>
      </c>
      <c r="P1956">
        <v>2026</v>
      </c>
    </row>
    <row r="1957" spans="1:16" x14ac:dyDescent="0.25">
      <c r="A1957" s="96" t="s">
        <v>171</v>
      </c>
      <c r="B1957" s="96" t="s">
        <v>290</v>
      </c>
      <c r="C1957" s="96" t="s">
        <v>5534</v>
      </c>
      <c r="D1957" s="96" t="s">
        <v>203</v>
      </c>
      <c r="E1957" s="43">
        <v>46150</v>
      </c>
      <c r="F1957" s="43">
        <v>46150</v>
      </c>
      <c r="G1957" s="96" t="s">
        <v>92</v>
      </c>
      <c r="H1957" s="96" t="s">
        <v>5535</v>
      </c>
      <c r="I1957" s="96" t="s">
        <v>194</v>
      </c>
      <c r="J1957" s="96" t="s">
        <v>199</v>
      </c>
      <c r="K1957" s="96" t="s">
        <v>217</v>
      </c>
      <c r="L1957">
        <v>0</v>
      </c>
      <c r="M1957" t="s">
        <v>11</v>
      </c>
      <c r="N1957" t="s">
        <v>183</v>
      </c>
      <c r="O1957" t="s">
        <v>149</v>
      </c>
      <c r="P1957">
        <v>2026</v>
      </c>
    </row>
    <row r="1958" spans="1:16" x14ac:dyDescent="0.25">
      <c r="A1958" s="96" t="s">
        <v>2</v>
      </c>
      <c r="B1958" s="96" t="s">
        <v>317</v>
      </c>
      <c r="C1958" s="96" t="s">
        <v>1951</v>
      </c>
      <c r="D1958" s="96" t="s">
        <v>223</v>
      </c>
      <c r="E1958" s="43">
        <v>46087</v>
      </c>
      <c r="F1958" s="43">
        <v>46148</v>
      </c>
      <c r="G1958" s="96" t="s">
        <v>90</v>
      </c>
      <c r="H1958" s="96" t="s">
        <v>5536</v>
      </c>
      <c r="I1958" s="96" t="s">
        <v>194</v>
      </c>
      <c r="J1958" s="96" t="s">
        <v>94</v>
      </c>
      <c r="K1958" s="96" t="s">
        <v>157</v>
      </c>
      <c r="L1958">
        <v>61</v>
      </c>
      <c r="M1958" t="s">
        <v>28</v>
      </c>
      <c r="N1958" t="s">
        <v>35</v>
      </c>
      <c r="O1958" t="s">
        <v>170</v>
      </c>
      <c r="P1958">
        <v>2026</v>
      </c>
    </row>
    <row r="1959" spans="1:16" hidden="1" x14ac:dyDescent="0.25">
      <c r="A1959" s="96" t="s">
        <v>2</v>
      </c>
      <c r="B1959" s="96" t="s">
        <v>272</v>
      </c>
      <c r="C1959" s="96" t="s">
        <v>1952</v>
      </c>
      <c r="D1959" s="96" t="s">
        <v>10</v>
      </c>
      <c r="E1959" s="43">
        <v>45671</v>
      </c>
      <c r="F1959" s="43">
        <v>45720</v>
      </c>
      <c r="G1959" s="96" t="s">
        <v>92</v>
      </c>
      <c r="H1959" s="96" t="s">
        <v>5537</v>
      </c>
      <c r="I1959" s="96" t="s">
        <v>228</v>
      </c>
      <c r="J1959" s="96" t="s">
        <v>176</v>
      </c>
      <c r="K1959" s="96" t="s">
        <v>233</v>
      </c>
      <c r="L1959">
        <v>49</v>
      </c>
      <c r="M1959" t="s">
        <v>24</v>
      </c>
      <c r="N1959" t="s">
        <v>181</v>
      </c>
      <c r="O1959" t="s">
        <v>151</v>
      </c>
      <c r="P1959">
        <v>2025</v>
      </c>
    </row>
    <row r="1960" spans="1:16" hidden="1" x14ac:dyDescent="0.25">
      <c r="A1960" s="96" t="s">
        <v>2</v>
      </c>
      <c r="B1960" s="96" t="s">
        <v>264</v>
      </c>
      <c r="C1960" s="96" t="s">
        <v>1953</v>
      </c>
      <c r="D1960" s="96" t="s">
        <v>223</v>
      </c>
      <c r="E1960" s="43">
        <v>45882</v>
      </c>
      <c r="F1960" s="43">
        <v>45903</v>
      </c>
      <c r="G1960" s="96" t="s">
        <v>92</v>
      </c>
      <c r="H1960" s="96" t="s">
        <v>5538</v>
      </c>
      <c r="I1960" s="96" t="s">
        <v>209</v>
      </c>
      <c r="J1960" s="96" t="s">
        <v>93</v>
      </c>
      <c r="K1960" s="96" t="s">
        <v>205</v>
      </c>
      <c r="L1960">
        <v>21</v>
      </c>
      <c r="M1960" t="s">
        <v>19</v>
      </c>
      <c r="N1960" t="s">
        <v>8</v>
      </c>
      <c r="O1960" t="s">
        <v>152</v>
      </c>
      <c r="P1960">
        <v>2025</v>
      </c>
    </row>
    <row r="1961" spans="1:16" hidden="1" x14ac:dyDescent="0.25">
      <c r="A1961" s="96" t="s">
        <v>175</v>
      </c>
      <c r="B1961" s="96" t="s">
        <v>257</v>
      </c>
      <c r="C1961" s="96" t="s">
        <v>1954</v>
      </c>
      <c r="D1961" s="96" t="s">
        <v>237</v>
      </c>
      <c r="E1961" s="43">
        <v>45751</v>
      </c>
      <c r="F1961" s="43">
        <v>45845</v>
      </c>
      <c r="G1961" s="96" t="s">
        <v>92</v>
      </c>
      <c r="H1961" s="96" t="s">
        <v>5539</v>
      </c>
      <c r="I1961" s="96" t="s">
        <v>228</v>
      </c>
      <c r="J1961" s="96" t="s">
        <v>98</v>
      </c>
      <c r="K1961" s="96" t="s">
        <v>157</v>
      </c>
      <c r="L1961">
        <v>94</v>
      </c>
      <c r="M1961" t="s">
        <v>28</v>
      </c>
      <c r="N1961" t="s">
        <v>185</v>
      </c>
      <c r="O1961" t="s">
        <v>151</v>
      </c>
      <c r="P1961">
        <v>2025</v>
      </c>
    </row>
    <row r="1962" spans="1:16" x14ac:dyDescent="0.25">
      <c r="A1962" s="96" t="s">
        <v>2</v>
      </c>
      <c r="B1962" s="96" t="s">
        <v>290</v>
      </c>
      <c r="C1962" s="96" t="s">
        <v>1955</v>
      </c>
      <c r="D1962" s="96" t="s">
        <v>237</v>
      </c>
      <c r="E1962" s="43">
        <v>46130</v>
      </c>
      <c r="F1962" s="43">
        <v>46151</v>
      </c>
      <c r="G1962" s="96" t="s">
        <v>92</v>
      </c>
      <c r="H1962" s="96" t="s">
        <v>5540</v>
      </c>
      <c r="I1962" s="96" t="s">
        <v>194</v>
      </c>
      <c r="J1962" s="96" t="s">
        <v>96</v>
      </c>
      <c r="K1962" s="96" t="s">
        <v>205</v>
      </c>
      <c r="L1962">
        <v>21</v>
      </c>
      <c r="M1962" t="s">
        <v>19</v>
      </c>
      <c r="N1962" t="s">
        <v>37</v>
      </c>
      <c r="O1962" t="s">
        <v>149</v>
      </c>
      <c r="P1962">
        <v>2026</v>
      </c>
    </row>
    <row r="1963" spans="1:16" x14ac:dyDescent="0.25">
      <c r="A1963" s="96" t="s">
        <v>21</v>
      </c>
      <c r="B1963" s="96" t="s">
        <v>196</v>
      </c>
      <c r="C1963" s="96" t="s">
        <v>1956</v>
      </c>
      <c r="D1963" s="96" t="s">
        <v>34</v>
      </c>
      <c r="E1963" s="43">
        <v>46072</v>
      </c>
      <c r="F1963" s="43">
        <v>46148</v>
      </c>
      <c r="G1963" s="96" t="s">
        <v>92</v>
      </c>
      <c r="H1963" s="96" t="s">
        <v>5541</v>
      </c>
      <c r="I1963" s="96" t="s">
        <v>194</v>
      </c>
      <c r="J1963" s="96" t="s">
        <v>176</v>
      </c>
      <c r="K1963" s="96" t="s">
        <v>246</v>
      </c>
      <c r="L1963">
        <v>76</v>
      </c>
      <c r="M1963" t="s">
        <v>28</v>
      </c>
      <c r="N1963" t="s">
        <v>32</v>
      </c>
      <c r="O1963" t="s">
        <v>152</v>
      </c>
      <c r="P1963">
        <v>2026</v>
      </c>
    </row>
    <row r="1964" spans="1:16" hidden="1" x14ac:dyDescent="0.25">
      <c r="A1964" s="96" t="s">
        <v>2</v>
      </c>
      <c r="B1964" s="96" t="s">
        <v>272</v>
      </c>
      <c r="C1964" s="96" t="s">
        <v>1957</v>
      </c>
      <c r="D1964" s="96" t="s">
        <v>237</v>
      </c>
      <c r="E1964" s="43">
        <v>45837</v>
      </c>
      <c r="F1964" s="43">
        <v>45914</v>
      </c>
      <c r="G1964" s="96" t="s">
        <v>92</v>
      </c>
      <c r="H1964" s="96" t="s">
        <v>5542</v>
      </c>
      <c r="I1964" s="96" t="s">
        <v>228</v>
      </c>
      <c r="J1964" s="96" t="s">
        <v>168</v>
      </c>
      <c r="K1964" s="96" t="s">
        <v>230</v>
      </c>
      <c r="L1964">
        <v>77</v>
      </c>
      <c r="M1964" t="s">
        <v>28</v>
      </c>
      <c r="N1964" t="s">
        <v>184</v>
      </c>
      <c r="O1964" t="s">
        <v>151</v>
      </c>
      <c r="P1964">
        <v>2025</v>
      </c>
    </row>
    <row r="1965" spans="1:16" x14ac:dyDescent="0.25">
      <c r="A1965" s="96" t="s">
        <v>175</v>
      </c>
      <c r="B1965" s="96" t="s">
        <v>269</v>
      </c>
      <c r="C1965" s="96" t="s">
        <v>5543</v>
      </c>
      <c r="D1965" s="96" t="s">
        <v>223</v>
      </c>
      <c r="E1965" s="43">
        <v>46043</v>
      </c>
      <c r="F1965" s="43">
        <v>46088</v>
      </c>
      <c r="G1965" s="96" t="s">
        <v>92</v>
      </c>
      <c r="H1965" s="96" t="s">
        <v>5544</v>
      </c>
      <c r="I1965" s="96" t="s">
        <v>209</v>
      </c>
      <c r="J1965" s="96" t="s">
        <v>177</v>
      </c>
      <c r="K1965" s="96" t="s">
        <v>210</v>
      </c>
      <c r="L1965">
        <v>45</v>
      </c>
      <c r="M1965" t="s">
        <v>24</v>
      </c>
      <c r="N1965" t="s">
        <v>29</v>
      </c>
      <c r="O1965" t="s">
        <v>152</v>
      </c>
      <c r="P1965">
        <v>2026</v>
      </c>
    </row>
    <row r="1966" spans="1:16" x14ac:dyDescent="0.25">
      <c r="A1966" s="96" t="s">
        <v>2</v>
      </c>
      <c r="B1966" s="96" t="s">
        <v>305</v>
      </c>
      <c r="C1966" s="96" t="s">
        <v>1959</v>
      </c>
      <c r="D1966" s="96" t="s">
        <v>208</v>
      </c>
      <c r="E1966" s="43">
        <v>46089</v>
      </c>
      <c r="F1966" s="43">
        <v>46132</v>
      </c>
      <c r="G1966" s="96" t="s">
        <v>90</v>
      </c>
      <c r="H1966" s="96" t="s">
        <v>5545</v>
      </c>
      <c r="I1966" s="96" t="s">
        <v>228</v>
      </c>
      <c r="J1966" s="96" t="s">
        <v>172</v>
      </c>
      <c r="K1966" s="96" t="s">
        <v>200</v>
      </c>
      <c r="L1966">
        <v>43</v>
      </c>
      <c r="M1966" t="s">
        <v>24</v>
      </c>
      <c r="N1966" t="s">
        <v>35</v>
      </c>
      <c r="O1966" t="s">
        <v>170</v>
      </c>
      <c r="P1966">
        <v>2026</v>
      </c>
    </row>
    <row r="1967" spans="1:16" x14ac:dyDescent="0.25">
      <c r="A1967" s="96" t="s">
        <v>2</v>
      </c>
      <c r="B1967" s="96" t="s">
        <v>218</v>
      </c>
      <c r="C1967" s="96" t="s">
        <v>1960</v>
      </c>
      <c r="D1967" s="96" t="s">
        <v>14</v>
      </c>
      <c r="E1967" s="43">
        <v>46033</v>
      </c>
      <c r="F1967" s="43">
        <v>46123</v>
      </c>
      <c r="G1967" s="96" t="s">
        <v>92</v>
      </c>
      <c r="H1967" s="96" t="s">
        <v>5546</v>
      </c>
      <c r="I1967" s="96" t="s">
        <v>204</v>
      </c>
      <c r="J1967" s="96" t="s">
        <v>172</v>
      </c>
      <c r="K1967" s="96" t="s">
        <v>217</v>
      </c>
      <c r="L1967">
        <v>90</v>
      </c>
      <c r="M1967" t="s">
        <v>28</v>
      </c>
      <c r="N1967" t="s">
        <v>29</v>
      </c>
      <c r="O1967" t="s">
        <v>152</v>
      </c>
      <c r="P1967">
        <v>2026</v>
      </c>
    </row>
    <row r="1968" spans="1:16" hidden="1" x14ac:dyDescent="0.25">
      <c r="A1968" s="96" t="s">
        <v>21</v>
      </c>
      <c r="B1968" s="96" t="s">
        <v>190</v>
      </c>
      <c r="C1968" s="96" t="s">
        <v>1961</v>
      </c>
      <c r="D1968" s="96" t="s">
        <v>237</v>
      </c>
      <c r="E1968" s="43">
        <v>45955</v>
      </c>
      <c r="F1968" s="43">
        <v>46011</v>
      </c>
      <c r="G1968" s="96" t="s">
        <v>95</v>
      </c>
      <c r="H1968" s="96" t="s">
        <v>5547</v>
      </c>
      <c r="I1968" s="96" t="s">
        <v>204</v>
      </c>
      <c r="J1968" s="96" t="s">
        <v>176</v>
      </c>
      <c r="K1968" s="96" t="s">
        <v>217</v>
      </c>
      <c r="L1968">
        <v>56</v>
      </c>
      <c r="M1968" t="s">
        <v>24</v>
      </c>
      <c r="N1968" t="s">
        <v>16</v>
      </c>
      <c r="O1968" t="s">
        <v>150</v>
      </c>
      <c r="P1968">
        <v>2025</v>
      </c>
    </row>
    <row r="1969" spans="1:16" hidden="1" x14ac:dyDescent="0.25">
      <c r="A1969" s="96" t="s">
        <v>2</v>
      </c>
      <c r="B1969" s="96" t="s">
        <v>247</v>
      </c>
      <c r="C1969" s="96" t="s">
        <v>5548</v>
      </c>
      <c r="D1969" s="96" t="s">
        <v>40</v>
      </c>
      <c r="E1969" s="43">
        <v>45784</v>
      </c>
      <c r="F1969" s="43">
        <v>45812</v>
      </c>
      <c r="G1969" s="96" t="s">
        <v>90</v>
      </c>
      <c r="H1969" s="96" t="s">
        <v>5549</v>
      </c>
      <c r="I1969" s="96" t="s">
        <v>9</v>
      </c>
      <c r="J1969" s="96" t="s">
        <v>174</v>
      </c>
      <c r="K1969" s="96" t="s">
        <v>210</v>
      </c>
      <c r="L1969">
        <v>28</v>
      </c>
      <c r="M1969" t="s">
        <v>19</v>
      </c>
      <c r="N1969" t="s">
        <v>182</v>
      </c>
      <c r="O1969" t="s">
        <v>150</v>
      </c>
      <c r="P1969">
        <v>2025</v>
      </c>
    </row>
    <row r="1970" spans="1:16" x14ac:dyDescent="0.25">
      <c r="A1970" s="96" t="s">
        <v>2</v>
      </c>
      <c r="B1970" s="96" t="s">
        <v>219</v>
      </c>
      <c r="C1970" s="96" t="s">
        <v>1962</v>
      </c>
      <c r="D1970" s="96" t="s">
        <v>208</v>
      </c>
      <c r="E1970" s="43">
        <v>46095</v>
      </c>
      <c r="F1970" s="43">
        <v>46151</v>
      </c>
      <c r="G1970" s="96" t="s">
        <v>90</v>
      </c>
      <c r="H1970" s="96" t="s">
        <v>5550</v>
      </c>
      <c r="I1970" s="96" t="s">
        <v>157</v>
      </c>
      <c r="J1970" s="96" t="s">
        <v>98</v>
      </c>
      <c r="K1970" s="96" t="s">
        <v>233</v>
      </c>
      <c r="L1970">
        <v>56</v>
      </c>
      <c r="M1970" t="s">
        <v>24</v>
      </c>
      <c r="N1970" t="s">
        <v>35</v>
      </c>
      <c r="O1970" t="s">
        <v>149</v>
      </c>
      <c r="P1970">
        <v>2026</v>
      </c>
    </row>
    <row r="1971" spans="1:16" hidden="1" x14ac:dyDescent="0.25">
      <c r="A1971" s="96" t="s">
        <v>2</v>
      </c>
      <c r="B1971" s="96" t="s">
        <v>251</v>
      </c>
      <c r="C1971" s="96" t="s">
        <v>1963</v>
      </c>
      <c r="D1971" s="96" t="s">
        <v>208</v>
      </c>
      <c r="E1971" s="43">
        <v>45963</v>
      </c>
      <c r="F1971" s="43">
        <v>46005</v>
      </c>
      <c r="G1971" s="96" t="s">
        <v>92</v>
      </c>
      <c r="H1971" s="96" t="s">
        <v>5551</v>
      </c>
      <c r="I1971" s="96" t="s">
        <v>228</v>
      </c>
      <c r="J1971" s="96" t="s">
        <v>216</v>
      </c>
      <c r="K1971" s="96" t="s">
        <v>205</v>
      </c>
      <c r="L1971">
        <v>42</v>
      </c>
      <c r="M1971" t="s">
        <v>24</v>
      </c>
      <c r="N1971" t="s">
        <v>20</v>
      </c>
      <c r="O1971" t="s">
        <v>170</v>
      </c>
      <c r="P1971">
        <v>2025</v>
      </c>
    </row>
    <row r="1972" spans="1:16" hidden="1" x14ac:dyDescent="0.25">
      <c r="A1972" s="96" t="s">
        <v>2</v>
      </c>
      <c r="B1972" s="96" t="s">
        <v>251</v>
      </c>
      <c r="C1972" s="96" t="s">
        <v>1964</v>
      </c>
      <c r="D1972" s="96" t="s">
        <v>223</v>
      </c>
      <c r="E1972" s="43">
        <v>45778</v>
      </c>
      <c r="F1972" s="43">
        <v>45889</v>
      </c>
      <c r="G1972" s="96" t="s">
        <v>92</v>
      </c>
      <c r="H1972" s="96" t="s">
        <v>5552</v>
      </c>
      <c r="I1972" s="96" t="s">
        <v>204</v>
      </c>
      <c r="J1972" s="96" t="s">
        <v>216</v>
      </c>
      <c r="K1972" s="96" t="s">
        <v>157</v>
      </c>
      <c r="L1972">
        <v>111</v>
      </c>
      <c r="M1972" t="s">
        <v>28</v>
      </c>
      <c r="N1972" t="s">
        <v>182</v>
      </c>
      <c r="O1972" t="s">
        <v>170</v>
      </c>
      <c r="P1972">
        <v>2025</v>
      </c>
    </row>
    <row r="1973" spans="1:16" hidden="1" x14ac:dyDescent="0.25">
      <c r="A1973" s="96" t="s">
        <v>2</v>
      </c>
      <c r="B1973" s="96" t="s">
        <v>253</v>
      </c>
      <c r="C1973" s="96" t="s">
        <v>1965</v>
      </c>
      <c r="D1973" s="96" t="s">
        <v>10</v>
      </c>
      <c r="E1973" s="43">
        <v>45832</v>
      </c>
      <c r="F1973" s="43">
        <v>45835</v>
      </c>
      <c r="G1973" s="96" t="s">
        <v>90</v>
      </c>
      <c r="H1973" s="96" t="s">
        <v>5553</v>
      </c>
      <c r="I1973" s="96" t="s">
        <v>225</v>
      </c>
      <c r="J1973" s="96" t="s">
        <v>93</v>
      </c>
      <c r="K1973" s="96" t="s">
        <v>195</v>
      </c>
      <c r="L1973">
        <v>3</v>
      </c>
      <c r="M1973" t="s">
        <v>11</v>
      </c>
      <c r="N1973" t="s">
        <v>184</v>
      </c>
      <c r="O1973" t="s">
        <v>152</v>
      </c>
      <c r="P1973">
        <v>2025</v>
      </c>
    </row>
    <row r="1974" spans="1:16" hidden="1" x14ac:dyDescent="0.25">
      <c r="A1974" s="96" t="s">
        <v>2</v>
      </c>
      <c r="B1974" s="96" t="s">
        <v>264</v>
      </c>
      <c r="C1974" s="96" t="s">
        <v>5554</v>
      </c>
      <c r="D1974" s="96" t="s">
        <v>34</v>
      </c>
      <c r="E1974" s="43">
        <v>45928</v>
      </c>
      <c r="F1974" s="43">
        <v>45989</v>
      </c>
      <c r="G1974" s="96" t="s">
        <v>92</v>
      </c>
      <c r="H1974" s="96" t="s">
        <v>5555</v>
      </c>
      <c r="I1974" s="96" t="s">
        <v>228</v>
      </c>
      <c r="J1974" s="96" t="s">
        <v>229</v>
      </c>
      <c r="K1974" s="96" t="s">
        <v>205</v>
      </c>
      <c r="L1974">
        <v>61</v>
      </c>
      <c r="M1974" t="s">
        <v>28</v>
      </c>
      <c r="N1974" t="s">
        <v>12</v>
      </c>
      <c r="O1974" t="s">
        <v>152</v>
      </c>
      <c r="P1974">
        <v>2025</v>
      </c>
    </row>
    <row r="1975" spans="1:16" x14ac:dyDescent="0.25">
      <c r="A1975" s="96" t="s">
        <v>2</v>
      </c>
      <c r="B1975" s="96" t="s">
        <v>374</v>
      </c>
      <c r="C1975" s="96" t="s">
        <v>1966</v>
      </c>
      <c r="D1975" s="96" t="s">
        <v>192</v>
      </c>
      <c r="E1975" s="43">
        <v>46125</v>
      </c>
      <c r="F1975" s="43">
        <v>46151</v>
      </c>
      <c r="G1975" s="96" t="s">
        <v>92</v>
      </c>
      <c r="H1975" s="96" t="s">
        <v>5556</v>
      </c>
      <c r="I1975" s="96" t="s">
        <v>209</v>
      </c>
      <c r="J1975" s="96" t="s">
        <v>169</v>
      </c>
      <c r="K1975" s="96" t="s">
        <v>230</v>
      </c>
      <c r="L1975">
        <v>26</v>
      </c>
      <c r="M1975" t="s">
        <v>19</v>
      </c>
      <c r="N1975" t="s">
        <v>37</v>
      </c>
      <c r="O1975" t="s">
        <v>150</v>
      </c>
      <c r="P1975">
        <v>2026</v>
      </c>
    </row>
    <row r="1976" spans="1:16" x14ac:dyDescent="0.25">
      <c r="A1976" s="96" t="s">
        <v>2</v>
      </c>
      <c r="B1976" s="96" t="s">
        <v>234</v>
      </c>
      <c r="C1976" s="96" t="s">
        <v>5557</v>
      </c>
      <c r="D1976" s="96" t="s">
        <v>223</v>
      </c>
      <c r="E1976" s="43">
        <v>46049</v>
      </c>
      <c r="F1976" s="43">
        <v>46139</v>
      </c>
      <c r="G1976" s="96" t="s">
        <v>95</v>
      </c>
      <c r="H1976" s="96" t="s">
        <v>5558</v>
      </c>
      <c r="I1976" s="96" t="s">
        <v>209</v>
      </c>
      <c r="J1976" s="96" t="s">
        <v>169</v>
      </c>
      <c r="K1976" s="96" t="s">
        <v>195</v>
      </c>
      <c r="L1976">
        <v>90</v>
      </c>
      <c r="M1976" t="s">
        <v>28</v>
      </c>
      <c r="N1976" t="s">
        <v>29</v>
      </c>
      <c r="O1976" t="s">
        <v>150</v>
      </c>
      <c r="P1976">
        <v>2026</v>
      </c>
    </row>
    <row r="1977" spans="1:16" hidden="1" x14ac:dyDescent="0.25">
      <c r="A1977" s="96" t="s">
        <v>175</v>
      </c>
      <c r="B1977" s="96" t="s">
        <v>251</v>
      </c>
      <c r="C1977" s="96" t="s">
        <v>5559</v>
      </c>
      <c r="D1977" s="96" t="s">
        <v>40</v>
      </c>
      <c r="E1977" s="43">
        <v>45691</v>
      </c>
      <c r="F1977" s="43">
        <v>45789</v>
      </c>
      <c r="G1977" s="96" t="s">
        <v>92</v>
      </c>
      <c r="H1977" s="96" t="s">
        <v>5560</v>
      </c>
      <c r="I1977" s="96" t="s">
        <v>9</v>
      </c>
      <c r="J1977" s="96" t="s">
        <v>216</v>
      </c>
      <c r="K1977" s="96" t="s">
        <v>195</v>
      </c>
      <c r="L1977">
        <v>98</v>
      </c>
      <c r="M1977" t="s">
        <v>28</v>
      </c>
      <c r="N1977" t="s">
        <v>188</v>
      </c>
      <c r="O1977" t="s">
        <v>170</v>
      </c>
      <c r="P1977">
        <v>2025</v>
      </c>
    </row>
    <row r="1978" spans="1:16" x14ac:dyDescent="0.25">
      <c r="A1978" s="96" t="s">
        <v>2</v>
      </c>
      <c r="B1978" s="96" t="s">
        <v>196</v>
      </c>
      <c r="C1978" s="96" t="s">
        <v>1967</v>
      </c>
      <c r="D1978" s="96" t="s">
        <v>215</v>
      </c>
      <c r="E1978" s="43">
        <v>46075</v>
      </c>
      <c r="F1978" s="43">
        <v>46147</v>
      </c>
      <c r="G1978" s="96" t="s">
        <v>92</v>
      </c>
      <c r="H1978" s="96" t="s">
        <v>5561</v>
      </c>
      <c r="I1978" s="96" t="s">
        <v>204</v>
      </c>
      <c r="J1978" s="96" t="s">
        <v>169</v>
      </c>
      <c r="K1978" s="96" t="s">
        <v>200</v>
      </c>
      <c r="L1978">
        <v>72</v>
      </c>
      <c r="M1978" t="s">
        <v>28</v>
      </c>
      <c r="N1978" t="s">
        <v>32</v>
      </c>
      <c r="O1978" t="s">
        <v>152</v>
      </c>
      <c r="P1978">
        <v>2026</v>
      </c>
    </row>
    <row r="1979" spans="1:16" hidden="1" x14ac:dyDescent="0.25">
      <c r="A1979" s="96" t="s">
        <v>2</v>
      </c>
      <c r="B1979" s="96" t="s">
        <v>253</v>
      </c>
      <c r="C1979" s="96" t="s">
        <v>5562</v>
      </c>
      <c r="D1979" s="96" t="s">
        <v>192</v>
      </c>
      <c r="E1979" s="43">
        <v>45879</v>
      </c>
      <c r="F1979" s="43">
        <v>45999</v>
      </c>
      <c r="G1979" s="96" t="s">
        <v>90</v>
      </c>
      <c r="H1979" s="96" t="s">
        <v>5563</v>
      </c>
      <c r="I1979" s="96" t="s">
        <v>225</v>
      </c>
      <c r="J1979" s="96" t="s">
        <v>216</v>
      </c>
      <c r="K1979" s="96" t="s">
        <v>210</v>
      </c>
      <c r="L1979">
        <v>120</v>
      </c>
      <c r="M1979" t="s">
        <v>28</v>
      </c>
      <c r="N1979" t="s">
        <v>8</v>
      </c>
      <c r="O1979" t="s">
        <v>152</v>
      </c>
      <c r="P1979">
        <v>2025</v>
      </c>
    </row>
    <row r="1980" spans="1:16" hidden="1" x14ac:dyDescent="0.25">
      <c r="A1980" s="96" t="s">
        <v>21</v>
      </c>
      <c r="B1980" s="96" t="s">
        <v>322</v>
      </c>
      <c r="C1980" s="96" t="s">
        <v>1968</v>
      </c>
      <c r="D1980" s="96" t="s">
        <v>237</v>
      </c>
      <c r="E1980" s="43">
        <v>45972</v>
      </c>
      <c r="F1980" s="43">
        <v>45974</v>
      </c>
      <c r="G1980" s="96" t="s">
        <v>92</v>
      </c>
      <c r="H1980" s="96" t="s">
        <v>5564</v>
      </c>
      <c r="I1980" s="96" t="s">
        <v>157</v>
      </c>
      <c r="J1980" s="96" t="s">
        <v>168</v>
      </c>
      <c r="K1980" s="96" t="s">
        <v>205</v>
      </c>
      <c r="L1980">
        <v>2</v>
      </c>
      <c r="M1980" t="s">
        <v>11</v>
      </c>
      <c r="N1980" t="s">
        <v>20</v>
      </c>
      <c r="O1980" t="s">
        <v>150</v>
      </c>
      <c r="P1980">
        <v>2025</v>
      </c>
    </row>
    <row r="1981" spans="1:16" hidden="1" x14ac:dyDescent="0.25">
      <c r="A1981" s="96" t="s">
        <v>2</v>
      </c>
      <c r="B1981" s="96" t="s">
        <v>272</v>
      </c>
      <c r="C1981" s="96" t="s">
        <v>5565</v>
      </c>
      <c r="D1981" s="96" t="s">
        <v>40</v>
      </c>
      <c r="E1981" s="43">
        <v>45700</v>
      </c>
      <c r="F1981" s="43">
        <v>45755</v>
      </c>
      <c r="G1981" s="96" t="s">
        <v>92</v>
      </c>
      <c r="H1981" s="96" t="s">
        <v>5566</v>
      </c>
      <c r="I1981" s="96" t="s">
        <v>9</v>
      </c>
      <c r="J1981" s="96" t="s">
        <v>98</v>
      </c>
      <c r="K1981" s="96" t="s">
        <v>157</v>
      </c>
      <c r="L1981">
        <v>55</v>
      </c>
      <c r="M1981" t="s">
        <v>24</v>
      </c>
      <c r="N1981" t="s">
        <v>188</v>
      </c>
      <c r="O1981" t="s">
        <v>151</v>
      </c>
      <c r="P1981">
        <v>2025</v>
      </c>
    </row>
    <row r="1982" spans="1:16" hidden="1" x14ac:dyDescent="0.25">
      <c r="A1982" s="96" t="s">
        <v>2</v>
      </c>
      <c r="B1982" s="96" t="s">
        <v>231</v>
      </c>
      <c r="C1982" s="96" t="s">
        <v>1969</v>
      </c>
      <c r="D1982" s="96" t="s">
        <v>208</v>
      </c>
      <c r="E1982" s="43">
        <v>45819</v>
      </c>
      <c r="F1982" s="43">
        <v>45915</v>
      </c>
      <c r="G1982" s="96" t="s">
        <v>95</v>
      </c>
      <c r="H1982" s="96" t="s">
        <v>1909</v>
      </c>
      <c r="I1982" s="96" t="s">
        <v>209</v>
      </c>
      <c r="J1982" s="96" t="s">
        <v>97</v>
      </c>
      <c r="K1982" s="96" t="s">
        <v>217</v>
      </c>
      <c r="L1982">
        <v>96</v>
      </c>
      <c r="M1982" t="s">
        <v>28</v>
      </c>
      <c r="N1982" t="s">
        <v>184</v>
      </c>
      <c r="O1982" t="s">
        <v>170</v>
      </c>
      <c r="P1982">
        <v>2025</v>
      </c>
    </row>
    <row r="1983" spans="1:16" x14ac:dyDescent="0.25">
      <c r="A1983" s="96" t="s">
        <v>171</v>
      </c>
      <c r="B1983" s="96" t="s">
        <v>374</v>
      </c>
      <c r="C1983" s="96" t="s">
        <v>5567</v>
      </c>
      <c r="D1983" s="96" t="s">
        <v>223</v>
      </c>
      <c r="E1983" s="43">
        <v>46125</v>
      </c>
      <c r="F1983" s="43">
        <v>46150</v>
      </c>
      <c r="G1983" s="96" t="s">
        <v>90</v>
      </c>
      <c r="H1983" s="96" t="s">
        <v>5568</v>
      </c>
      <c r="I1983" s="96" t="s">
        <v>157</v>
      </c>
      <c r="J1983" s="96" t="s">
        <v>176</v>
      </c>
      <c r="K1983" s="96" t="s">
        <v>200</v>
      </c>
      <c r="L1983">
        <v>25</v>
      </c>
      <c r="M1983" t="s">
        <v>19</v>
      </c>
      <c r="N1983" t="s">
        <v>37</v>
      </c>
      <c r="O1983" t="s">
        <v>150</v>
      </c>
      <c r="P1983">
        <v>2026</v>
      </c>
    </row>
    <row r="1984" spans="1:16" hidden="1" x14ac:dyDescent="0.25">
      <c r="A1984" s="96" t="s">
        <v>21</v>
      </c>
      <c r="B1984" s="96" t="s">
        <v>211</v>
      </c>
      <c r="C1984" s="96" t="s">
        <v>1970</v>
      </c>
      <c r="D1984" s="96" t="s">
        <v>203</v>
      </c>
      <c r="E1984" s="43">
        <v>45721</v>
      </c>
      <c r="F1984" s="43">
        <v>45822</v>
      </c>
      <c r="G1984" s="96" t="s">
        <v>92</v>
      </c>
      <c r="H1984" s="96" t="s">
        <v>5569</v>
      </c>
      <c r="I1984" s="96" t="s">
        <v>204</v>
      </c>
      <c r="J1984" s="96" t="s">
        <v>93</v>
      </c>
      <c r="K1984" s="96" t="s">
        <v>205</v>
      </c>
      <c r="L1984">
        <v>101</v>
      </c>
      <c r="M1984" t="s">
        <v>28</v>
      </c>
      <c r="N1984" t="s">
        <v>186</v>
      </c>
      <c r="O1984" t="s">
        <v>170</v>
      </c>
      <c r="P1984">
        <v>2025</v>
      </c>
    </row>
    <row r="1985" spans="1:16" x14ac:dyDescent="0.25">
      <c r="A1985" s="96" t="s">
        <v>21</v>
      </c>
      <c r="B1985" s="96" t="s">
        <v>274</v>
      </c>
      <c r="C1985" s="96" t="s">
        <v>1972</v>
      </c>
      <c r="D1985" s="96" t="s">
        <v>40</v>
      </c>
      <c r="E1985" s="43">
        <v>46114</v>
      </c>
      <c r="F1985" s="43">
        <v>46148</v>
      </c>
      <c r="G1985" s="96" t="s">
        <v>92</v>
      </c>
      <c r="H1985" s="96" t="s">
        <v>5570</v>
      </c>
      <c r="I1985" s="96" t="s">
        <v>157</v>
      </c>
      <c r="J1985" s="96" t="s">
        <v>174</v>
      </c>
      <c r="K1985" s="96" t="s">
        <v>200</v>
      </c>
      <c r="L1985">
        <v>34</v>
      </c>
      <c r="M1985" t="s">
        <v>24</v>
      </c>
      <c r="N1985" t="s">
        <v>37</v>
      </c>
      <c r="O1985" t="s">
        <v>170</v>
      </c>
      <c r="P1985">
        <v>2026</v>
      </c>
    </row>
    <row r="1986" spans="1:16" hidden="1" x14ac:dyDescent="0.25">
      <c r="A1986" s="96" t="s">
        <v>21</v>
      </c>
      <c r="B1986" s="96" t="s">
        <v>206</v>
      </c>
      <c r="C1986" s="96" t="s">
        <v>1975</v>
      </c>
      <c r="D1986" s="96" t="s">
        <v>203</v>
      </c>
      <c r="E1986" s="43">
        <v>45708</v>
      </c>
      <c r="F1986" s="43">
        <v>45773</v>
      </c>
      <c r="G1986" s="96" t="s">
        <v>92</v>
      </c>
      <c r="H1986" s="96" t="s">
        <v>5571</v>
      </c>
      <c r="I1986" s="96" t="s">
        <v>157</v>
      </c>
      <c r="J1986" s="96" t="s">
        <v>169</v>
      </c>
      <c r="K1986" s="96" t="s">
        <v>233</v>
      </c>
      <c r="L1986">
        <v>65</v>
      </c>
      <c r="M1986" t="s">
        <v>28</v>
      </c>
      <c r="N1986" t="s">
        <v>188</v>
      </c>
      <c r="O1986" t="s">
        <v>152</v>
      </c>
      <c r="P1986">
        <v>2025</v>
      </c>
    </row>
    <row r="1987" spans="1:16" hidden="1" x14ac:dyDescent="0.25">
      <c r="A1987" s="96" t="s">
        <v>2</v>
      </c>
      <c r="B1987" s="96" t="s">
        <v>211</v>
      </c>
      <c r="C1987" s="96" t="s">
        <v>1976</v>
      </c>
      <c r="D1987" s="96" t="s">
        <v>192</v>
      </c>
      <c r="E1987" s="43">
        <v>45831</v>
      </c>
      <c r="F1987" s="43">
        <v>45907</v>
      </c>
      <c r="G1987" s="96" t="s">
        <v>92</v>
      </c>
      <c r="H1987" s="96" t="s">
        <v>5572</v>
      </c>
      <c r="I1987" s="96" t="s">
        <v>204</v>
      </c>
      <c r="J1987" s="96" t="s">
        <v>96</v>
      </c>
      <c r="K1987" s="96" t="s">
        <v>230</v>
      </c>
      <c r="L1987">
        <v>76</v>
      </c>
      <c r="M1987" t="s">
        <v>28</v>
      </c>
      <c r="N1987" t="s">
        <v>184</v>
      </c>
      <c r="O1987" t="s">
        <v>170</v>
      </c>
      <c r="P1987">
        <v>2025</v>
      </c>
    </row>
    <row r="1988" spans="1:16" hidden="1" x14ac:dyDescent="0.25">
      <c r="A1988" s="96" t="s">
        <v>2</v>
      </c>
      <c r="B1988" s="96" t="s">
        <v>213</v>
      </c>
      <c r="C1988" s="96" t="s">
        <v>1977</v>
      </c>
      <c r="D1988" s="96" t="s">
        <v>203</v>
      </c>
      <c r="E1988" s="43">
        <v>45890</v>
      </c>
      <c r="F1988" s="43">
        <v>45940</v>
      </c>
      <c r="G1988" s="96" t="s">
        <v>90</v>
      </c>
      <c r="H1988" s="96" t="s">
        <v>5573</v>
      </c>
      <c r="I1988" s="96" t="s">
        <v>204</v>
      </c>
      <c r="J1988" s="96" t="s">
        <v>199</v>
      </c>
      <c r="K1988" s="96" t="s">
        <v>200</v>
      </c>
      <c r="L1988">
        <v>50</v>
      </c>
      <c r="M1988" t="s">
        <v>24</v>
      </c>
      <c r="N1988" t="s">
        <v>8</v>
      </c>
      <c r="O1988" t="s">
        <v>149</v>
      </c>
      <c r="P1988">
        <v>2025</v>
      </c>
    </row>
    <row r="1989" spans="1:16" hidden="1" x14ac:dyDescent="0.25">
      <c r="A1989" s="96" t="s">
        <v>2</v>
      </c>
      <c r="B1989" s="96" t="s">
        <v>255</v>
      </c>
      <c r="C1989" s="96" t="s">
        <v>1978</v>
      </c>
      <c r="D1989" s="96" t="s">
        <v>223</v>
      </c>
      <c r="E1989" s="43">
        <v>45919</v>
      </c>
      <c r="F1989" s="43">
        <v>45993</v>
      </c>
      <c r="G1989" s="96" t="s">
        <v>90</v>
      </c>
      <c r="H1989" s="96" t="s">
        <v>5574</v>
      </c>
      <c r="I1989" s="96" t="s">
        <v>9</v>
      </c>
      <c r="J1989" s="96" t="s">
        <v>93</v>
      </c>
      <c r="K1989" s="96" t="s">
        <v>217</v>
      </c>
      <c r="L1989">
        <v>74</v>
      </c>
      <c r="M1989" t="s">
        <v>28</v>
      </c>
      <c r="N1989" t="s">
        <v>12</v>
      </c>
      <c r="O1989" t="s">
        <v>150</v>
      </c>
      <c r="P1989">
        <v>2025</v>
      </c>
    </row>
    <row r="1990" spans="1:16" hidden="1" x14ac:dyDescent="0.25">
      <c r="A1990" s="96" t="s">
        <v>2</v>
      </c>
      <c r="B1990" s="96" t="s">
        <v>253</v>
      </c>
      <c r="C1990" s="96" t="s">
        <v>1979</v>
      </c>
      <c r="D1990" s="96" t="s">
        <v>223</v>
      </c>
      <c r="E1990" s="43">
        <v>45842</v>
      </c>
      <c r="F1990" s="43">
        <v>45887</v>
      </c>
      <c r="G1990" s="96" t="s">
        <v>90</v>
      </c>
      <c r="H1990" s="96" t="s">
        <v>5575</v>
      </c>
      <c r="I1990" s="96" t="s">
        <v>228</v>
      </c>
      <c r="J1990" s="96" t="s">
        <v>169</v>
      </c>
      <c r="K1990" s="96" t="s">
        <v>233</v>
      </c>
      <c r="L1990">
        <v>45</v>
      </c>
      <c r="M1990" t="s">
        <v>24</v>
      </c>
      <c r="N1990" t="s">
        <v>187</v>
      </c>
      <c r="O1990" t="s">
        <v>152</v>
      </c>
      <c r="P1990">
        <v>2025</v>
      </c>
    </row>
    <row r="1991" spans="1:16" x14ac:dyDescent="0.25">
      <c r="A1991" s="96" t="s">
        <v>2</v>
      </c>
      <c r="B1991" s="96" t="s">
        <v>302</v>
      </c>
      <c r="C1991" s="96" t="s">
        <v>1980</v>
      </c>
      <c r="D1991" s="96" t="s">
        <v>208</v>
      </c>
      <c r="E1991" s="43">
        <v>46057</v>
      </c>
      <c r="F1991" s="43">
        <v>46142</v>
      </c>
      <c r="G1991" s="96" t="s">
        <v>92</v>
      </c>
      <c r="H1991" s="96" t="s">
        <v>5576</v>
      </c>
      <c r="I1991" s="96" t="s">
        <v>194</v>
      </c>
      <c r="J1991" s="96" t="s">
        <v>168</v>
      </c>
      <c r="K1991" s="96" t="s">
        <v>200</v>
      </c>
      <c r="L1991">
        <v>85</v>
      </c>
      <c r="M1991" t="s">
        <v>28</v>
      </c>
      <c r="N1991" t="s">
        <v>32</v>
      </c>
      <c r="O1991" t="s">
        <v>150</v>
      </c>
      <c r="P1991">
        <v>2026</v>
      </c>
    </row>
    <row r="1992" spans="1:16" hidden="1" x14ac:dyDescent="0.25">
      <c r="A1992" s="96" t="s">
        <v>2</v>
      </c>
      <c r="B1992" s="96" t="s">
        <v>253</v>
      </c>
      <c r="C1992" s="96" t="s">
        <v>1981</v>
      </c>
      <c r="D1992" s="96" t="s">
        <v>40</v>
      </c>
      <c r="E1992" s="43">
        <v>45750</v>
      </c>
      <c r="F1992" s="43">
        <v>45798</v>
      </c>
      <c r="G1992" s="96" t="s">
        <v>92</v>
      </c>
      <c r="H1992" s="96" t="s">
        <v>5577</v>
      </c>
      <c r="I1992" s="96" t="s">
        <v>209</v>
      </c>
      <c r="J1992" s="96" t="s">
        <v>94</v>
      </c>
      <c r="K1992" s="96" t="s">
        <v>246</v>
      </c>
      <c r="L1992">
        <v>48</v>
      </c>
      <c r="M1992" t="s">
        <v>24</v>
      </c>
      <c r="N1992" t="s">
        <v>185</v>
      </c>
      <c r="O1992" t="s">
        <v>152</v>
      </c>
      <c r="P1992">
        <v>2025</v>
      </c>
    </row>
    <row r="1993" spans="1:16" hidden="1" x14ac:dyDescent="0.25">
      <c r="A1993" s="96" t="s">
        <v>2</v>
      </c>
      <c r="B1993" s="96" t="s">
        <v>251</v>
      </c>
      <c r="C1993" s="96" t="s">
        <v>5578</v>
      </c>
      <c r="D1993" s="96" t="s">
        <v>192</v>
      </c>
      <c r="E1993" s="43">
        <v>45973</v>
      </c>
      <c r="F1993" s="43">
        <v>45978</v>
      </c>
      <c r="G1993" s="96" t="s">
        <v>92</v>
      </c>
      <c r="H1993" s="96" t="s">
        <v>5579</v>
      </c>
      <c r="I1993" s="96" t="s">
        <v>204</v>
      </c>
      <c r="J1993" s="96" t="s">
        <v>98</v>
      </c>
      <c r="K1993" s="96" t="s">
        <v>230</v>
      </c>
      <c r="L1993">
        <v>5</v>
      </c>
      <c r="M1993" t="s">
        <v>11</v>
      </c>
      <c r="N1993" t="s">
        <v>20</v>
      </c>
      <c r="O1993" t="s">
        <v>170</v>
      </c>
      <c r="P1993">
        <v>2025</v>
      </c>
    </row>
    <row r="1994" spans="1:16" hidden="1" x14ac:dyDescent="0.25">
      <c r="A1994" s="96" t="s">
        <v>175</v>
      </c>
      <c r="B1994" s="96" t="s">
        <v>253</v>
      </c>
      <c r="C1994" s="96" t="s">
        <v>1983</v>
      </c>
      <c r="D1994" s="96" t="s">
        <v>215</v>
      </c>
      <c r="E1994" s="43">
        <v>45871</v>
      </c>
      <c r="F1994" s="43">
        <v>45931</v>
      </c>
      <c r="G1994" s="96" t="s">
        <v>92</v>
      </c>
      <c r="H1994" s="96" t="s">
        <v>5580</v>
      </c>
      <c r="I1994" s="96" t="s">
        <v>209</v>
      </c>
      <c r="J1994" s="96" t="s">
        <v>174</v>
      </c>
      <c r="K1994" s="96" t="s">
        <v>217</v>
      </c>
      <c r="L1994">
        <v>60</v>
      </c>
      <c r="M1994" t="s">
        <v>24</v>
      </c>
      <c r="N1994" t="s">
        <v>8</v>
      </c>
      <c r="O1994" t="s">
        <v>152</v>
      </c>
      <c r="P1994">
        <v>2025</v>
      </c>
    </row>
    <row r="1995" spans="1:16" hidden="1" x14ac:dyDescent="0.25">
      <c r="A1995" s="96" t="s">
        <v>2</v>
      </c>
      <c r="B1995" s="96" t="s">
        <v>255</v>
      </c>
      <c r="C1995" s="96" t="s">
        <v>1984</v>
      </c>
      <c r="D1995" s="96" t="s">
        <v>208</v>
      </c>
      <c r="E1995" s="43">
        <v>45908</v>
      </c>
      <c r="F1995" s="43">
        <v>45924</v>
      </c>
      <c r="G1995" s="96" t="s">
        <v>92</v>
      </c>
      <c r="H1995" s="96" t="s">
        <v>5581</v>
      </c>
      <c r="I1995" s="96" t="s">
        <v>194</v>
      </c>
      <c r="J1995" s="96" t="s">
        <v>93</v>
      </c>
      <c r="K1995" s="96" t="s">
        <v>230</v>
      </c>
      <c r="L1995">
        <v>16</v>
      </c>
      <c r="M1995" t="s">
        <v>19</v>
      </c>
      <c r="N1995" t="s">
        <v>12</v>
      </c>
      <c r="O1995" t="s">
        <v>150</v>
      </c>
      <c r="P1995">
        <v>2025</v>
      </c>
    </row>
    <row r="1996" spans="1:16" hidden="1" x14ac:dyDescent="0.25">
      <c r="A1996" s="96" t="s">
        <v>175</v>
      </c>
      <c r="B1996" s="96" t="s">
        <v>206</v>
      </c>
      <c r="C1996" s="96" t="s">
        <v>5582</v>
      </c>
      <c r="D1996" s="96" t="s">
        <v>34</v>
      </c>
      <c r="E1996" s="43">
        <v>45668</v>
      </c>
      <c r="F1996" s="43">
        <v>45717</v>
      </c>
      <c r="G1996" s="96" t="s">
        <v>90</v>
      </c>
      <c r="H1996" s="96" t="s">
        <v>1919</v>
      </c>
      <c r="I1996" s="96" t="s">
        <v>209</v>
      </c>
      <c r="J1996" s="96" t="s">
        <v>216</v>
      </c>
      <c r="K1996" s="96" t="s">
        <v>217</v>
      </c>
      <c r="L1996">
        <v>49</v>
      </c>
      <c r="M1996" t="s">
        <v>24</v>
      </c>
      <c r="N1996" t="s">
        <v>181</v>
      </c>
      <c r="O1996" t="s">
        <v>152</v>
      </c>
      <c r="P1996">
        <v>2025</v>
      </c>
    </row>
    <row r="1997" spans="1:16" hidden="1" x14ac:dyDescent="0.25">
      <c r="A1997" s="96" t="s">
        <v>2</v>
      </c>
      <c r="B1997" s="96" t="s">
        <v>206</v>
      </c>
      <c r="C1997" s="96" t="s">
        <v>1985</v>
      </c>
      <c r="D1997" s="96" t="s">
        <v>10</v>
      </c>
      <c r="E1997" s="43">
        <v>45690</v>
      </c>
      <c r="F1997" s="43">
        <v>45727</v>
      </c>
      <c r="G1997" s="96" t="s">
        <v>92</v>
      </c>
      <c r="H1997" s="96" t="s">
        <v>1921</v>
      </c>
      <c r="I1997" s="96" t="s">
        <v>9</v>
      </c>
      <c r="J1997" s="96" t="s">
        <v>174</v>
      </c>
      <c r="K1997" s="96" t="s">
        <v>230</v>
      </c>
      <c r="L1997">
        <v>37</v>
      </c>
      <c r="M1997" t="s">
        <v>24</v>
      </c>
      <c r="N1997" t="s">
        <v>188</v>
      </c>
      <c r="O1997" t="s">
        <v>152</v>
      </c>
      <c r="P1997">
        <v>2025</v>
      </c>
    </row>
    <row r="1998" spans="1:16" x14ac:dyDescent="0.25">
      <c r="A1998" s="96" t="s">
        <v>2</v>
      </c>
      <c r="B1998" s="96" t="s">
        <v>196</v>
      </c>
      <c r="C1998" s="96" t="s">
        <v>1987</v>
      </c>
      <c r="D1998" s="96" t="s">
        <v>34</v>
      </c>
      <c r="E1998" s="43">
        <v>46109</v>
      </c>
      <c r="F1998" s="43">
        <v>46150</v>
      </c>
      <c r="G1998" s="96" t="s">
        <v>95</v>
      </c>
      <c r="H1998" s="96" t="s">
        <v>1922</v>
      </c>
      <c r="I1998" s="96" t="s">
        <v>9</v>
      </c>
      <c r="J1998" s="96" t="s">
        <v>283</v>
      </c>
      <c r="K1998" s="96" t="s">
        <v>157</v>
      </c>
      <c r="L1998">
        <v>41</v>
      </c>
      <c r="M1998" t="s">
        <v>24</v>
      </c>
      <c r="N1998" t="s">
        <v>35</v>
      </c>
      <c r="O1998" t="s">
        <v>152</v>
      </c>
      <c r="P1998">
        <v>2026</v>
      </c>
    </row>
    <row r="1999" spans="1:16" x14ac:dyDescent="0.25">
      <c r="A1999" s="96" t="s">
        <v>2</v>
      </c>
      <c r="B1999" s="96" t="s">
        <v>269</v>
      </c>
      <c r="C1999" s="96" t="s">
        <v>5583</v>
      </c>
      <c r="D1999" s="96" t="s">
        <v>203</v>
      </c>
      <c r="E1999" s="43">
        <v>46077</v>
      </c>
      <c r="F1999" s="43">
        <v>46104</v>
      </c>
      <c r="G1999" s="96" t="s">
        <v>95</v>
      </c>
      <c r="H1999" s="96" t="s">
        <v>1923</v>
      </c>
      <c r="I1999" s="96" t="s">
        <v>9</v>
      </c>
      <c r="J1999" s="96" t="s">
        <v>98</v>
      </c>
      <c r="K1999" s="96" t="s">
        <v>200</v>
      </c>
      <c r="L1999">
        <v>27</v>
      </c>
      <c r="M1999" t="s">
        <v>19</v>
      </c>
      <c r="N1999" t="s">
        <v>32</v>
      </c>
      <c r="O1999" t="s">
        <v>152</v>
      </c>
      <c r="P1999">
        <v>2026</v>
      </c>
    </row>
    <row r="2000" spans="1:16" x14ac:dyDescent="0.25">
      <c r="A2000" s="96" t="s">
        <v>2</v>
      </c>
      <c r="B2000" s="96" t="s">
        <v>317</v>
      </c>
      <c r="C2000" s="96" t="s">
        <v>1988</v>
      </c>
      <c r="D2000" s="96" t="s">
        <v>40</v>
      </c>
      <c r="E2000" s="43">
        <v>46100</v>
      </c>
      <c r="F2000" s="43">
        <v>46146</v>
      </c>
      <c r="G2000" s="96" t="s">
        <v>92</v>
      </c>
      <c r="H2000" s="96" t="s">
        <v>1924</v>
      </c>
      <c r="I2000" s="96" t="s">
        <v>225</v>
      </c>
      <c r="J2000" s="96" t="s">
        <v>165</v>
      </c>
      <c r="K2000" s="96" t="s">
        <v>246</v>
      </c>
      <c r="L2000">
        <v>46</v>
      </c>
      <c r="M2000" t="s">
        <v>24</v>
      </c>
      <c r="N2000" t="s">
        <v>35</v>
      </c>
      <c r="O2000" t="s">
        <v>170</v>
      </c>
      <c r="P2000">
        <v>2026</v>
      </c>
    </row>
    <row r="2001" spans="1:16" hidden="1" x14ac:dyDescent="0.25">
      <c r="A2001" s="96" t="s">
        <v>21</v>
      </c>
      <c r="B2001" s="96" t="s">
        <v>231</v>
      </c>
      <c r="C2001" s="96" t="s">
        <v>1991</v>
      </c>
      <c r="D2001" s="96" t="s">
        <v>203</v>
      </c>
      <c r="E2001" s="43">
        <v>45681</v>
      </c>
      <c r="F2001" s="43">
        <v>45781</v>
      </c>
      <c r="G2001" s="96" t="s">
        <v>90</v>
      </c>
      <c r="H2001" s="96" t="s">
        <v>5584</v>
      </c>
      <c r="I2001" s="96" t="s">
        <v>228</v>
      </c>
      <c r="J2001" s="96" t="s">
        <v>169</v>
      </c>
      <c r="K2001" s="96" t="s">
        <v>157</v>
      </c>
      <c r="L2001">
        <v>100</v>
      </c>
      <c r="M2001" t="s">
        <v>28</v>
      </c>
      <c r="N2001" t="s">
        <v>181</v>
      </c>
      <c r="O2001" t="s">
        <v>170</v>
      </c>
      <c r="P2001">
        <v>2025</v>
      </c>
    </row>
    <row r="2002" spans="1:16" hidden="1" x14ac:dyDescent="0.25">
      <c r="A2002" s="96" t="s">
        <v>2</v>
      </c>
      <c r="B2002" s="96" t="s">
        <v>240</v>
      </c>
      <c r="C2002" s="96" t="s">
        <v>1993</v>
      </c>
      <c r="D2002" s="96" t="s">
        <v>192</v>
      </c>
      <c r="E2002" s="43">
        <v>45988</v>
      </c>
      <c r="F2002" s="43">
        <v>46075</v>
      </c>
      <c r="G2002" s="96" t="s">
        <v>92</v>
      </c>
      <c r="H2002" s="96" t="s">
        <v>5585</v>
      </c>
      <c r="I2002" s="96" t="s">
        <v>9</v>
      </c>
      <c r="J2002" s="96" t="s">
        <v>165</v>
      </c>
      <c r="K2002" s="96" t="s">
        <v>233</v>
      </c>
      <c r="L2002">
        <v>87</v>
      </c>
      <c r="M2002" t="s">
        <v>28</v>
      </c>
      <c r="N2002" t="s">
        <v>20</v>
      </c>
      <c r="O2002" t="s">
        <v>149</v>
      </c>
      <c r="P2002">
        <v>2025</v>
      </c>
    </row>
    <row r="2003" spans="1:16" hidden="1" x14ac:dyDescent="0.25">
      <c r="A2003" s="96" t="s">
        <v>2</v>
      </c>
      <c r="B2003" s="96" t="s">
        <v>211</v>
      </c>
      <c r="C2003" s="96" t="s">
        <v>5586</v>
      </c>
      <c r="D2003" s="96" t="s">
        <v>215</v>
      </c>
      <c r="E2003" s="43">
        <v>45762</v>
      </c>
      <c r="F2003" s="43">
        <v>45785</v>
      </c>
      <c r="G2003" s="96" t="s">
        <v>92</v>
      </c>
      <c r="H2003" s="96" t="s">
        <v>5587</v>
      </c>
      <c r="I2003" s="96" t="s">
        <v>209</v>
      </c>
      <c r="J2003" s="96" t="s">
        <v>91</v>
      </c>
      <c r="K2003" s="96" t="s">
        <v>217</v>
      </c>
      <c r="L2003">
        <v>23</v>
      </c>
      <c r="M2003" t="s">
        <v>19</v>
      </c>
      <c r="N2003" t="s">
        <v>185</v>
      </c>
      <c r="O2003" t="s">
        <v>170</v>
      </c>
      <c r="P2003">
        <v>2025</v>
      </c>
    </row>
    <row r="2004" spans="1:16" hidden="1" x14ac:dyDescent="0.25">
      <c r="A2004" s="96" t="s">
        <v>171</v>
      </c>
      <c r="B2004" s="96" t="s">
        <v>264</v>
      </c>
      <c r="C2004" s="96" t="s">
        <v>1996</v>
      </c>
      <c r="D2004" s="96" t="s">
        <v>208</v>
      </c>
      <c r="E2004" s="43">
        <v>45766</v>
      </c>
      <c r="F2004" s="43">
        <v>45834</v>
      </c>
      <c r="G2004" s="96" t="s">
        <v>92</v>
      </c>
      <c r="H2004" s="96" t="s">
        <v>5588</v>
      </c>
      <c r="I2004" s="96" t="s">
        <v>194</v>
      </c>
      <c r="J2004" s="96" t="s">
        <v>176</v>
      </c>
      <c r="K2004" s="96" t="s">
        <v>205</v>
      </c>
      <c r="L2004">
        <v>68</v>
      </c>
      <c r="M2004" t="s">
        <v>28</v>
      </c>
      <c r="N2004" t="s">
        <v>185</v>
      </c>
      <c r="O2004" t="s">
        <v>152</v>
      </c>
      <c r="P2004">
        <v>2025</v>
      </c>
    </row>
    <row r="2005" spans="1:16" hidden="1" x14ac:dyDescent="0.25">
      <c r="A2005" s="96" t="s">
        <v>2</v>
      </c>
      <c r="B2005" s="96" t="s">
        <v>322</v>
      </c>
      <c r="C2005" s="96" t="s">
        <v>5589</v>
      </c>
      <c r="D2005" s="96" t="s">
        <v>34</v>
      </c>
      <c r="E2005" s="43">
        <v>45797</v>
      </c>
      <c r="F2005" s="43">
        <v>45910</v>
      </c>
      <c r="G2005" s="96" t="s">
        <v>92</v>
      </c>
      <c r="H2005" s="96" t="s">
        <v>5590</v>
      </c>
      <c r="I2005" s="96" t="s">
        <v>204</v>
      </c>
      <c r="J2005" s="96" t="s">
        <v>229</v>
      </c>
      <c r="K2005" s="96" t="s">
        <v>217</v>
      </c>
      <c r="L2005">
        <v>113</v>
      </c>
      <c r="M2005" t="s">
        <v>28</v>
      </c>
      <c r="N2005" t="s">
        <v>182</v>
      </c>
      <c r="O2005" t="s">
        <v>150</v>
      </c>
      <c r="P2005">
        <v>2025</v>
      </c>
    </row>
    <row r="2006" spans="1:16" hidden="1" x14ac:dyDescent="0.25">
      <c r="A2006" s="96" t="s">
        <v>2</v>
      </c>
      <c r="B2006" s="96" t="s">
        <v>247</v>
      </c>
      <c r="C2006" s="96" t="s">
        <v>1998</v>
      </c>
      <c r="D2006" s="96" t="s">
        <v>203</v>
      </c>
      <c r="E2006" s="43">
        <v>45904</v>
      </c>
      <c r="F2006" s="43">
        <v>45940</v>
      </c>
      <c r="G2006" s="96" t="s">
        <v>90</v>
      </c>
      <c r="H2006" s="96" t="s">
        <v>5591</v>
      </c>
      <c r="I2006" s="96" t="s">
        <v>225</v>
      </c>
      <c r="J2006" s="96" t="s">
        <v>229</v>
      </c>
      <c r="K2006" s="96" t="s">
        <v>246</v>
      </c>
      <c r="L2006">
        <v>36</v>
      </c>
      <c r="M2006" t="s">
        <v>24</v>
      </c>
      <c r="N2006" t="s">
        <v>12</v>
      </c>
      <c r="O2006" t="s">
        <v>150</v>
      </c>
      <c r="P2006">
        <v>2025</v>
      </c>
    </row>
    <row r="2007" spans="1:16" hidden="1" x14ac:dyDescent="0.25">
      <c r="A2007" s="96" t="s">
        <v>2</v>
      </c>
      <c r="B2007" s="96" t="s">
        <v>247</v>
      </c>
      <c r="C2007" s="96" t="s">
        <v>1999</v>
      </c>
      <c r="D2007" s="96" t="s">
        <v>203</v>
      </c>
      <c r="E2007" s="43">
        <v>45880</v>
      </c>
      <c r="F2007" s="43">
        <v>45933</v>
      </c>
      <c r="G2007" s="96" t="s">
        <v>90</v>
      </c>
      <c r="H2007" s="96" t="s">
        <v>5592</v>
      </c>
      <c r="I2007" s="96" t="s">
        <v>194</v>
      </c>
      <c r="J2007" s="96" t="s">
        <v>93</v>
      </c>
      <c r="K2007" s="96" t="s">
        <v>230</v>
      </c>
      <c r="L2007">
        <v>53</v>
      </c>
      <c r="M2007" t="s">
        <v>24</v>
      </c>
      <c r="N2007" t="s">
        <v>8</v>
      </c>
      <c r="O2007" t="s">
        <v>150</v>
      </c>
      <c r="P2007">
        <v>2025</v>
      </c>
    </row>
    <row r="2008" spans="1:16" x14ac:dyDescent="0.25">
      <c r="A2008" s="96" t="s">
        <v>2</v>
      </c>
      <c r="B2008" s="96" t="s">
        <v>261</v>
      </c>
      <c r="C2008" s="96" t="s">
        <v>2000</v>
      </c>
      <c r="D2008" s="96" t="s">
        <v>14</v>
      </c>
      <c r="E2008" s="43">
        <v>46119</v>
      </c>
      <c r="F2008" s="43">
        <v>46147</v>
      </c>
      <c r="G2008" s="96" t="s">
        <v>95</v>
      </c>
      <c r="H2008" s="96" t="s">
        <v>1932</v>
      </c>
      <c r="I2008" s="96" t="s">
        <v>209</v>
      </c>
      <c r="J2008" s="96" t="s">
        <v>98</v>
      </c>
      <c r="K2008" s="96" t="s">
        <v>210</v>
      </c>
      <c r="L2008">
        <v>28</v>
      </c>
      <c r="M2008" t="s">
        <v>19</v>
      </c>
      <c r="N2008" t="s">
        <v>37</v>
      </c>
      <c r="O2008" t="s">
        <v>151</v>
      </c>
      <c r="P2008">
        <v>2026</v>
      </c>
    </row>
    <row r="2009" spans="1:16" x14ac:dyDescent="0.25">
      <c r="A2009" s="96" t="s">
        <v>2</v>
      </c>
      <c r="B2009" s="96" t="s">
        <v>244</v>
      </c>
      <c r="C2009" s="96" t="s">
        <v>2001</v>
      </c>
      <c r="D2009" s="96" t="s">
        <v>215</v>
      </c>
      <c r="E2009" s="43">
        <v>46060</v>
      </c>
      <c r="F2009" s="43">
        <v>46092</v>
      </c>
      <c r="G2009" s="96" t="s">
        <v>92</v>
      </c>
      <c r="H2009" s="96" t="s">
        <v>5593</v>
      </c>
      <c r="I2009" s="96" t="s">
        <v>194</v>
      </c>
      <c r="J2009" s="96" t="s">
        <v>91</v>
      </c>
      <c r="K2009" s="96" t="s">
        <v>205</v>
      </c>
      <c r="L2009">
        <v>32</v>
      </c>
      <c r="M2009" t="s">
        <v>24</v>
      </c>
      <c r="N2009" t="s">
        <v>32</v>
      </c>
      <c r="O2009" t="s">
        <v>150</v>
      </c>
      <c r="P2009">
        <v>2026</v>
      </c>
    </row>
    <row r="2010" spans="1:16" hidden="1" x14ac:dyDescent="0.25">
      <c r="A2010" s="96" t="s">
        <v>171</v>
      </c>
      <c r="B2010" s="96" t="s">
        <v>206</v>
      </c>
      <c r="C2010" s="96" t="s">
        <v>2002</v>
      </c>
      <c r="D2010" s="96" t="s">
        <v>203</v>
      </c>
      <c r="E2010" s="43">
        <v>45943</v>
      </c>
      <c r="F2010" s="43">
        <v>46043</v>
      </c>
      <c r="G2010" s="96" t="s">
        <v>90</v>
      </c>
      <c r="H2010" s="96" t="s">
        <v>5594</v>
      </c>
      <c r="I2010" s="96" t="s">
        <v>194</v>
      </c>
      <c r="J2010" s="96" t="s">
        <v>216</v>
      </c>
      <c r="K2010" s="96" t="s">
        <v>230</v>
      </c>
      <c r="L2010">
        <v>100</v>
      </c>
      <c r="M2010" t="s">
        <v>28</v>
      </c>
      <c r="N2010" t="s">
        <v>16</v>
      </c>
      <c r="O2010" t="s">
        <v>152</v>
      </c>
      <c r="P2010">
        <v>2025</v>
      </c>
    </row>
    <row r="2011" spans="1:16" hidden="1" x14ac:dyDescent="0.25">
      <c r="A2011" s="96" t="s">
        <v>2</v>
      </c>
      <c r="B2011" s="96" t="s">
        <v>257</v>
      </c>
      <c r="C2011" s="96" t="s">
        <v>2003</v>
      </c>
      <c r="D2011" s="96" t="s">
        <v>192</v>
      </c>
      <c r="E2011" s="43">
        <v>45924</v>
      </c>
      <c r="F2011" s="43">
        <v>45966</v>
      </c>
      <c r="G2011" s="96" t="s">
        <v>92</v>
      </c>
      <c r="H2011" s="96" t="s">
        <v>5595</v>
      </c>
      <c r="I2011" s="96" t="s">
        <v>194</v>
      </c>
      <c r="J2011" s="96" t="s">
        <v>174</v>
      </c>
      <c r="K2011" s="96" t="s">
        <v>246</v>
      </c>
      <c r="L2011">
        <v>42</v>
      </c>
      <c r="M2011" t="s">
        <v>24</v>
      </c>
      <c r="N2011" t="s">
        <v>12</v>
      </c>
      <c r="O2011" t="s">
        <v>151</v>
      </c>
      <c r="P2011">
        <v>2025</v>
      </c>
    </row>
    <row r="2012" spans="1:16" hidden="1" x14ac:dyDescent="0.25">
      <c r="A2012" s="96" t="s">
        <v>2</v>
      </c>
      <c r="B2012" s="96" t="s">
        <v>264</v>
      </c>
      <c r="C2012" s="96" t="s">
        <v>2004</v>
      </c>
      <c r="D2012" s="96" t="s">
        <v>223</v>
      </c>
      <c r="E2012" s="43">
        <v>45991</v>
      </c>
      <c r="F2012" s="43">
        <v>46096</v>
      </c>
      <c r="G2012" s="96" t="s">
        <v>92</v>
      </c>
      <c r="H2012" s="96" t="s">
        <v>1935</v>
      </c>
      <c r="I2012" s="96" t="s">
        <v>204</v>
      </c>
      <c r="J2012" s="96" t="s">
        <v>165</v>
      </c>
      <c r="K2012" s="96" t="s">
        <v>210</v>
      </c>
      <c r="L2012">
        <v>105</v>
      </c>
      <c r="M2012" t="s">
        <v>28</v>
      </c>
      <c r="N2012" t="s">
        <v>20</v>
      </c>
      <c r="O2012" t="s">
        <v>152</v>
      </c>
      <c r="P2012">
        <v>2025</v>
      </c>
    </row>
    <row r="2013" spans="1:16" x14ac:dyDescent="0.25">
      <c r="A2013" s="96" t="s">
        <v>2</v>
      </c>
      <c r="B2013" s="96" t="s">
        <v>269</v>
      </c>
      <c r="C2013" s="96" t="s">
        <v>5596</v>
      </c>
      <c r="D2013" s="96" t="s">
        <v>215</v>
      </c>
      <c r="E2013" s="43">
        <v>46145</v>
      </c>
      <c r="F2013" s="43">
        <v>46148</v>
      </c>
      <c r="G2013" s="96" t="s">
        <v>92</v>
      </c>
      <c r="H2013" s="96" t="s">
        <v>5597</v>
      </c>
      <c r="I2013" s="96" t="s">
        <v>225</v>
      </c>
      <c r="J2013" s="96" t="s">
        <v>93</v>
      </c>
      <c r="K2013" s="96" t="s">
        <v>195</v>
      </c>
      <c r="L2013">
        <v>3</v>
      </c>
      <c r="M2013" t="s">
        <v>11</v>
      </c>
      <c r="N2013" t="s">
        <v>183</v>
      </c>
      <c r="O2013" t="s">
        <v>152</v>
      </c>
      <c r="P2013">
        <v>2026</v>
      </c>
    </row>
    <row r="2014" spans="1:16" hidden="1" x14ac:dyDescent="0.25">
      <c r="A2014" s="96" t="s">
        <v>2</v>
      </c>
      <c r="B2014" s="96" t="s">
        <v>272</v>
      </c>
      <c r="C2014" s="96" t="s">
        <v>2005</v>
      </c>
      <c r="D2014" s="96" t="s">
        <v>10</v>
      </c>
      <c r="E2014" s="43">
        <v>45712</v>
      </c>
      <c r="F2014" s="43">
        <v>45745</v>
      </c>
      <c r="G2014" s="96" t="s">
        <v>92</v>
      </c>
      <c r="H2014" s="96" t="s">
        <v>5598</v>
      </c>
      <c r="I2014" s="96" t="s">
        <v>9</v>
      </c>
      <c r="J2014" s="96" t="s">
        <v>96</v>
      </c>
      <c r="K2014" s="96" t="s">
        <v>210</v>
      </c>
      <c r="L2014">
        <v>33</v>
      </c>
      <c r="M2014" t="s">
        <v>24</v>
      </c>
      <c r="N2014" t="s">
        <v>188</v>
      </c>
      <c r="O2014" t="s">
        <v>151</v>
      </c>
      <c r="P2014">
        <v>2025</v>
      </c>
    </row>
    <row r="2015" spans="1:16" hidden="1" x14ac:dyDescent="0.25">
      <c r="A2015" s="96" t="s">
        <v>2</v>
      </c>
      <c r="B2015" s="96" t="s">
        <v>238</v>
      </c>
      <c r="C2015" s="96" t="s">
        <v>2006</v>
      </c>
      <c r="D2015" s="96" t="s">
        <v>223</v>
      </c>
      <c r="E2015" s="43">
        <v>45705</v>
      </c>
      <c r="F2015" s="43">
        <v>45779</v>
      </c>
      <c r="G2015" s="96" t="s">
        <v>90</v>
      </c>
      <c r="H2015" s="96" t="s">
        <v>1938</v>
      </c>
      <c r="I2015" s="96" t="s">
        <v>209</v>
      </c>
      <c r="J2015" s="96" t="s">
        <v>199</v>
      </c>
      <c r="K2015" s="96" t="s">
        <v>205</v>
      </c>
      <c r="L2015">
        <v>74</v>
      </c>
      <c r="M2015" t="s">
        <v>28</v>
      </c>
      <c r="N2015" t="s">
        <v>188</v>
      </c>
      <c r="O2015" t="s">
        <v>170</v>
      </c>
      <c r="P2015">
        <v>2025</v>
      </c>
    </row>
    <row r="2016" spans="1:16" hidden="1" x14ac:dyDescent="0.25">
      <c r="A2016" s="96" t="s">
        <v>2</v>
      </c>
      <c r="B2016" s="96" t="s">
        <v>257</v>
      </c>
      <c r="C2016" s="96" t="s">
        <v>5599</v>
      </c>
      <c r="D2016" s="96" t="s">
        <v>10</v>
      </c>
      <c r="E2016" s="43">
        <v>45762</v>
      </c>
      <c r="F2016" s="43">
        <v>45786</v>
      </c>
      <c r="G2016" s="96" t="s">
        <v>92</v>
      </c>
      <c r="H2016" s="96" t="s">
        <v>1940</v>
      </c>
      <c r="I2016" s="96" t="s">
        <v>194</v>
      </c>
      <c r="J2016" s="96" t="s">
        <v>177</v>
      </c>
      <c r="K2016" s="96" t="s">
        <v>157</v>
      </c>
      <c r="L2016">
        <v>24</v>
      </c>
      <c r="M2016" t="s">
        <v>19</v>
      </c>
      <c r="N2016" t="s">
        <v>185</v>
      </c>
      <c r="O2016" t="s">
        <v>151</v>
      </c>
      <c r="P2016">
        <v>2025</v>
      </c>
    </row>
    <row r="2017" spans="1:16" hidden="1" x14ac:dyDescent="0.25">
      <c r="A2017" s="96" t="s">
        <v>2</v>
      </c>
      <c r="B2017" s="96" t="s">
        <v>257</v>
      </c>
      <c r="C2017" s="96" t="s">
        <v>2007</v>
      </c>
      <c r="D2017" s="96" t="s">
        <v>203</v>
      </c>
      <c r="E2017" s="43">
        <v>45697</v>
      </c>
      <c r="F2017" s="43">
        <v>45792</v>
      </c>
      <c r="G2017" s="96" t="s">
        <v>92</v>
      </c>
      <c r="H2017" s="96" t="s">
        <v>1942</v>
      </c>
      <c r="I2017" s="96" t="s">
        <v>204</v>
      </c>
      <c r="J2017" s="96" t="s">
        <v>97</v>
      </c>
      <c r="K2017" s="96" t="s">
        <v>246</v>
      </c>
      <c r="L2017">
        <v>95</v>
      </c>
      <c r="M2017" t="s">
        <v>28</v>
      </c>
      <c r="N2017" t="s">
        <v>188</v>
      </c>
      <c r="O2017" t="s">
        <v>151</v>
      </c>
      <c r="P2017">
        <v>2025</v>
      </c>
    </row>
    <row r="2018" spans="1:16" x14ac:dyDescent="0.25">
      <c r="A2018" s="96" t="s">
        <v>2</v>
      </c>
      <c r="B2018" s="96" t="s">
        <v>269</v>
      </c>
      <c r="C2018" s="96" t="s">
        <v>2008</v>
      </c>
      <c r="D2018" s="96" t="s">
        <v>10</v>
      </c>
      <c r="E2018" s="43">
        <v>46098</v>
      </c>
      <c r="F2018" s="43">
        <v>46148</v>
      </c>
      <c r="G2018" s="96" t="s">
        <v>92</v>
      </c>
      <c r="H2018" s="96" t="s">
        <v>5600</v>
      </c>
      <c r="I2018" s="96" t="s">
        <v>209</v>
      </c>
      <c r="J2018" s="96" t="s">
        <v>229</v>
      </c>
      <c r="K2018" s="96" t="s">
        <v>200</v>
      </c>
      <c r="L2018">
        <v>50</v>
      </c>
      <c r="M2018" t="s">
        <v>24</v>
      </c>
      <c r="N2018" t="s">
        <v>35</v>
      </c>
      <c r="O2018" t="s">
        <v>152</v>
      </c>
      <c r="P2018">
        <v>2026</v>
      </c>
    </row>
    <row r="2019" spans="1:16" hidden="1" x14ac:dyDescent="0.25">
      <c r="A2019" s="96" t="s">
        <v>2</v>
      </c>
      <c r="B2019" s="96" t="s">
        <v>213</v>
      </c>
      <c r="C2019" s="96" t="s">
        <v>5601</v>
      </c>
      <c r="D2019" s="96" t="s">
        <v>10</v>
      </c>
      <c r="E2019" s="43">
        <v>45877</v>
      </c>
      <c r="F2019" s="43">
        <v>45890</v>
      </c>
      <c r="G2019" s="96" t="s">
        <v>90</v>
      </c>
      <c r="H2019" s="96" t="s">
        <v>5602</v>
      </c>
      <c r="I2019" s="96" t="s">
        <v>204</v>
      </c>
      <c r="J2019" s="96" t="s">
        <v>172</v>
      </c>
      <c r="K2019" s="96" t="s">
        <v>246</v>
      </c>
      <c r="L2019">
        <v>13</v>
      </c>
      <c r="M2019" t="s">
        <v>15</v>
      </c>
      <c r="N2019" t="s">
        <v>8</v>
      </c>
      <c r="O2019" t="s">
        <v>149</v>
      </c>
      <c r="P2019">
        <v>2025</v>
      </c>
    </row>
    <row r="2020" spans="1:16" hidden="1" x14ac:dyDescent="0.25">
      <c r="A2020" s="96" t="s">
        <v>2</v>
      </c>
      <c r="B2020" s="96" t="s">
        <v>322</v>
      </c>
      <c r="C2020" s="96" t="s">
        <v>2009</v>
      </c>
      <c r="D2020" s="96" t="s">
        <v>14</v>
      </c>
      <c r="E2020" s="43">
        <v>45845</v>
      </c>
      <c r="F2020" s="43">
        <v>45861</v>
      </c>
      <c r="G2020" s="96" t="s">
        <v>92</v>
      </c>
      <c r="H2020" s="96" t="s">
        <v>5603</v>
      </c>
      <c r="I2020" s="96" t="s">
        <v>194</v>
      </c>
      <c r="J2020" s="96" t="s">
        <v>98</v>
      </c>
      <c r="K2020" s="96" t="s">
        <v>246</v>
      </c>
      <c r="L2020">
        <v>16</v>
      </c>
      <c r="M2020" t="s">
        <v>19</v>
      </c>
      <c r="N2020" t="s">
        <v>187</v>
      </c>
      <c r="O2020" t="s">
        <v>150</v>
      </c>
      <c r="P2020">
        <v>2025</v>
      </c>
    </row>
    <row r="2021" spans="1:16" hidden="1" x14ac:dyDescent="0.25">
      <c r="A2021" s="96" t="s">
        <v>2</v>
      </c>
      <c r="B2021" s="96" t="s">
        <v>211</v>
      </c>
      <c r="C2021" s="96" t="s">
        <v>5604</v>
      </c>
      <c r="D2021" s="96" t="s">
        <v>34</v>
      </c>
      <c r="E2021" s="43">
        <v>45785</v>
      </c>
      <c r="F2021" s="43">
        <v>45888</v>
      </c>
      <c r="G2021" s="96" t="s">
        <v>92</v>
      </c>
      <c r="H2021" s="96" t="s">
        <v>5605</v>
      </c>
      <c r="I2021" s="96" t="s">
        <v>225</v>
      </c>
      <c r="J2021" s="96" t="s">
        <v>91</v>
      </c>
      <c r="K2021" s="96" t="s">
        <v>217</v>
      </c>
      <c r="L2021">
        <v>103</v>
      </c>
      <c r="M2021" t="s">
        <v>28</v>
      </c>
      <c r="N2021" t="s">
        <v>182</v>
      </c>
      <c r="O2021" t="s">
        <v>170</v>
      </c>
      <c r="P2021">
        <v>2025</v>
      </c>
    </row>
    <row r="2022" spans="1:16" hidden="1" x14ac:dyDescent="0.25">
      <c r="A2022" s="96" t="s">
        <v>2</v>
      </c>
      <c r="B2022" s="96" t="s">
        <v>211</v>
      </c>
      <c r="C2022" s="96" t="s">
        <v>2010</v>
      </c>
      <c r="D2022" s="96" t="s">
        <v>34</v>
      </c>
      <c r="E2022" s="43">
        <v>45729</v>
      </c>
      <c r="F2022" s="43">
        <v>45844</v>
      </c>
      <c r="G2022" s="96" t="s">
        <v>90</v>
      </c>
      <c r="H2022" s="96" t="s">
        <v>5606</v>
      </c>
      <c r="I2022" s="96" t="s">
        <v>194</v>
      </c>
      <c r="J2022" s="96" t="s">
        <v>174</v>
      </c>
      <c r="K2022" s="96" t="s">
        <v>233</v>
      </c>
      <c r="L2022">
        <v>115</v>
      </c>
      <c r="M2022" t="s">
        <v>28</v>
      </c>
      <c r="N2022" t="s">
        <v>186</v>
      </c>
      <c r="O2022" t="s">
        <v>170</v>
      </c>
      <c r="P2022">
        <v>2025</v>
      </c>
    </row>
    <row r="2023" spans="1:16" x14ac:dyDescent="0.25">
      <c r="A2023" s="96" t="s">
        <v>2</v>
      </c>
      <c r="B2023" s="96" t="s">
        <v>196</v>
      </c>
      <c r="C2023" s="96" t="s">
        <v>5607</v>
      </c>
      <c r="D2023" s="96" t="s">
        <v>14</v>
      </c>
      <c r="E2023" s="43">
        <v>46082</v>
      </c>
      <c r="F2023" s="43">
        <v>46085</v>
      </c>
      <c r="G2023" s="96" t="s">
        <v>90</v>
      </c>
      <c r="H2023" s="96" t="s">
        <v>5608</v>
      </c>
      <c r="I2023" s="96" t="s">
        <v>157</v>
      </c>
      <c r="J2023" s="96" t="s">
        <v>283</v>
      </c>
      <c r="K2023" s="96" t="s">
        <v>200</v>
      </c>
      <c r="L2023">
        <v>3</v>
      </c>
      <c r="M2023" t="s">
        <v>11</v>
      </c>
      <c r="N2023" t="s">
        <v>35</v>
      </c>
      <c r="O2023" t="s">
        <v>152</v>
      </c>
      <c r="P2023">
        <v>2026</v>
      </c>
    </row>
    <row r="2024" spans="1:16" hidden="1" x14ac:dyDescent="0.25">
      <c r="A2024" s="96" t="s">
        <v>2</v>
      </c>
      <c r="B2024" s="96" t="s">
        <v>272</v>
      </c>
      <c r="C2024" s="96" t="s">
        <v>5609</v>
      </c>
      <c r="D2024" s="96" t="s">
        <v>215</v>
      </c>
      <c r="E2024" s="43">
        <v>45686</v>
      </c>
      <c r="F2024" s="43">
        <v>45801</v>
      </c>
      <c r="G2024" s="96" t="s">
        <v>90</v>
      </c>
      <c r="H2024" s="96" t="s">
        <v>5610</v>
      </c>
      <c r="I2024" s="96" t="s">
        <v>9</v>
      </c>
      <c r="J2024" s="96" t="s">
        <v>173</v>
      </c>
      <c r="K2024" s="96" t="s">
        <v>230</v>
      </c>
      <c r="L2024">
        <v>115</v>
      </c>
      <c r="M2024" t="s">
        <v>28</v>
      </c>
      <c r="N2024" t="s">
        <v>181</v>
      </c>
      <c r="O2024" t="s">
        <v>151</v>
      </c>
      <c r="P2024">
        <v>2025</v>
      </c>
    </row>
    <row r="2025" spans="1:16" hidden="1" x14ac:dyDescent="0.25">
      <c r="A2025" s="96" t="s">
        <v>2</v>
      </c>
      <c r="B2025" s="96" t="s">
        <v>213</v>
      </c>
      <c r="C2025" s="96" t="s">
        <v>2011</v>
      </c>
      <c r="D2025" s="96" t="s">
        <v>14</v>
      </c>
      <c r="E2025" s="43">
        <v>45992</v>
      </c>
      <c r="F2025" s="43">
        <v>46108</v>
      </c>
      <c r="G2025" s="96" t="s">
        <v>92</v>
      </c>
      <c r="H2025" s="96" t="s">
        <v>5611</v>
      </c>
      <c r="I2025" s="96" t="s">
        <v>9</v>
      </c>
      <c r="J2025" s="96" t="s">
        <v>94</v>
      </c>
      <c r="K2025" s="96" t="s">
        <v>205</v>
      </c>
      <c r="L2025">
        <v>116</v>
      </c>
      <c r="M2025" t="s">
        <v>28</v>
      </c>
      <c r="N2025" t="s">
        <v>25</v>
      </c>
      <c r="O2025" t="s">
        <v>149</v>
      </c>
      <c r="P2025">
        <v>2025</v>
      </c>
    </row>
    <row r="2026" spans="1:16" hidden="1" x14ac:dyDescent="0.25">
      <c r="A2026" s="96" t="s">
        <v>175</v>
      </c>
      <c r="B2026" s="96" t="s">
        <v>322</v>
      </c>
      <c r="C2026" s="96" t="s">
        <v>5612</v>
      </c>
      <c r="D2026" s="96" t="s">
        <v>208</v>
      </c>
      <c r="E2026" s="43">
        <v>45887</v>
      </c>
      <c r="F2026" s="43">
        <v>45892</v>
      </c>
      <c r="G2026" s="96" t="s">
        <v>92</v>
      </c>
      <c r="H2026" s="96" t="s">
        <v>5613</v>
      </c>
      <c r="I2026" s="96" t="s">
        <v>9</v>
      </c>
      <c r="J2026" s="96" t="s">
        <v>199</v>
      </c>
      <c r="K2026" s="96" t="s">
        <v>210</v>
      </c>
      <c r="L2026">
        <v>5</v>
      </c>
      <c r="M2026" t="s">
        <v>11</v>
      </c>
      <c r="N2026" t="s">
        <v>8</v>
      </c>
      <c r="O2026" t="s">
        <v>150</v>
      </c>
      <c r="P2026">
        <v>2025</v>
      </c>
    </row>
    <row r="2027" spans="1:16" hidden="1" x14ac:dyDescent="0.25">
      <c r="A2027" s="96" t="s">
        <v>2</v>
      </c>
      <c r="B2027" s="96" t="s">
        <v>231</v>
      </c>
      <c r="C2027" s="96" t="s">
        <v>2014</v>
      </c>
      <c r="D2027" s="96" t="s">
        <v>192</v>
      </c>
      <c r="E2027" s="43">
        <v>46016</v>
      </c>
      <c r="F2027" s="43">
        <v>46128</v>
      </c>
      <c r="G2027" s="96" t="s">
        <v>90</v>
      </c>
      <c r="H2027" s="96" t="s">
        <v>5614</v>
      </c>
      <c r="I2027" s="96" t="s">
        <v>209</v>
      </c>
      <c r="J2027" s="96" t="s">
        <v>216</v>
      </c>
      <c r="K2027" s="96" t="s">
        <v>233</v>
      </c>
      <c r="L2027">
        <v>112</v>
      </c>
      <c r="M2027" t="s">
        <v>28</v>
      </c>
      <c r="N2027" t="s">
        <v>25</v>
      </c>
      <c r="O2027" t="s">
        <v>170</v>
      </c>
      <c r="P2027">
        <v>2025</v>
      </c>
    </row>
    <row r="2028" spans="1:16" hidden="1" x14ac:dyDescent="0.25">
      <c r="A2028" s="96" t="s">
        <v>2</v>
      </c>
      <c r="B2028" s="96" t="s">
        <v>257</v>
      </c>
      <c r="C2028" s="96" t="s">
        <v>2015</v>
      </c>
      <c r="D2028" s="96" t="s">
        <v>223</v>
      </c>
      <c r="E2028" s="43">
        <v>45934</v>
      </c>
      <c r="F2028" s="43">
        <v>45982</v>
      </c>
      <c r="G2028" s="96" t="s">
        <v>92</v>
      </c>
      <c r="H2028" s="96" t="s">
        <v>5615</v>
      </c>
      <c r="I2028" s="96" t="s">
        <v>228</v>
      </c>
      <c r="J2028" s="96" t="s">
        <v>199</v>
      </c>
      <c r="K2028" s="96" t="s">
        <v>246</v>
      </c>
      <c r="L2028">
        <v>48</v>
      </c>
      <c r="M2028" t="s">
        <v>24</v>
      </c>
      <c r="N2028" t="s">
        <v>16</v>
      </c>
      <c r="O2028" t="s">
        <v>151</v>
      </c>
      <c r="P2028">
        <v>2025</v>
      </c>
    </row>
    <row r="2029" spans="1:16" x14ac:dyDescent="0.25">
      <c r="A2029" s="96" t="s">
        <v>2</v>
      </c>
      <c r="B2029" s="96" t="s">
        <v>374</v>
      </c>
      <c r="C2029" s="96" t="s">
        <v>2016</v>
      </c>
      <c r="D2029" s="96" t="s">
        <v>223</v>
      </c>
      <c r="E2029" s="43">
        <v>46083</v>
      </c>
      <c r="F2029" s="43">
        <v>46147</v>
      </c>
      <c r="G2029" s="96" t="s">
        <v>92</v>
      </c>
      <c r="H2029" s="96" t="s">
        <v>5616</v>
      </c>
      <c r="I2029" s="96" t="s">
        <v>157</v>
      </c>
      <c r="J2029" s="96" t="s">
        <v>165</v>
      </c>
      <c r="K2029" s="96" t="s">
        <v>217</v>
      </c>
      <c r="L2029">
        <v>64</v>
      </c>
      <c r="M2029" t="s">
        <v>28</v>
      </c>
      <c r="N2029" t="s">
        <v>35</v>
      </c>
      <c r="O2029" t="s">
        <v>150</v>
      </c>
      <c r="P2029">
        <v>2026</v>
      </c>
    </row>
    <row r="2030" spans="1:16" hidden="1" x14ac:dyDescent="0.25">
      <c r="A2030" s="96" t="s">
        <v>2</v>
      </c>
      <c r="B2030" s="96" t="s">
        <v>322</v>
      </c>
      <c r="C2030" s="96" t="s">
        <v>5617</v>
      </c>
      <c r="D2030" s="96" t="s">
        <v>208</v>
      </c>
      <c r="E2030" s="43">
        <v>45938</v>
      </c>
      <c r="F2030" s="43">
        <v>45963</v>
      </c>
      <c r="G2030" s="96" t="s">
        <v>92</v>
      </c>
      <c r="H2030" s="96" t="s">
        <v>5618</v>
      </c>
      <c r="I2030" s="96" t="s">
        <v>9</v>
      </c>
      <c r="J2030" s="96" t="s">
        <v>169</v>
      </c>
      <c r="K2030" s="96" t="s">
        <v>230</v>
      </c>
      <c r="L2030">
        <v>25</v>
      </c>
      <c r="M2030" t="s">
        <v>19</v>
      </c>
      <c r="N2030" t="s">
        <v>16</v>
      </c>
      <c r="O2030" t="s">
        <v>150</v>
      </c>
      <c r="P2030">
        <v>2025</v>
      </c>
    </row>
    <row r="2031" spans="1:16" hidden="1" x14ac:dyDescent="0.25">
      <c r="A2031" s="96" t="s">
        <v>2</v>
      </c>
      <c r="B2031" s="96" t="s">
        <v>253</v>
      </c>
      <c r="C2031" s="96" t="s">
        <v>2017</v>
      </c>
      <c r="D2031" s="96" t="s">
        <v>223</v>
      </c>
      <c r="E2031" s="43">
        <v>45680</v>
      </c>
      <c r="F2031" s="43">
        <v>45730</v>
      </c>
      <c r="G2031" s="96" t="s">
        <v>90</v>
      </c>
      <c r="H2031" s="96" t="s">
        <v>5619</v>
      </c>
      <c r="I2031" s="96" t="s">
        <v>228</v>
      </c>
      <c r="J2031" s="96" t="s">
        <v>91</v>
      </c>
      <c r="K2031" s="96" t="s">
        <v>200</v>
      </c>
      <c r="L2031">
        <v>50</v>
      </c>
      <c r="M2031" t="s">
        <v>24</v>
      </c>
      <c r="N2031" t="s">
        <v>181</v>
      </c>
      <c r="O2031" t="s">
        <v>152</v>
      </c>
      <c r="P2031">
        <v>2025</v>
      </c>
    </row>
    <row r="2032" spans="1:16" hidden="1" x14ac:dyDescent="0.25">
      <c r="A2032" s="96" t="s">
        <v>2</v>
      </c>
      <c r="B2032" s="96" t="s">
        <v>272</v>
      </c>
      <c r="C2032" s="96" t="s">
        <v>5620</v>
      </c>
      <c r="D2032" s="96" t="s">
        <v>208</v>
      </c>
      <c r="E2032" s="43">
        <v>45997</v>
      </c>
      <c r="F2032" s="43">
        <v>46061</v>
      </c>
      <c r="G2032" s="96" t="s">
        <v>92</v>
      </c>
      <c r="H2032" s="96" t="s">
        <v>5621</v>
      </c>
      <c r="I2032" s="96" t="s">
        <v>228</v>
      </c>
      <c r="J2032" s="96" t="s">
        <v>174</v>
      </c>
      <c r="K2032" s="96" t="s">
        <v>217</v>
      </c>
      <c r="L2032">
        <v>64</v>
      </c>
      <c r="M2032" t="s">
        <v>28</v>
      </c>
      <c r="N2032" t="s">
        <v>25</v>
      </c>
      <c r="O2032" t="s">
        <v>151</v>
      </c>
      <c r="P2032">
        <v>2025</v>
      </c>
    </row>
    <row r="2033" spans="1:16" hidden="1" x14ac:dyDescent="0.25">
      <c r="A2033" s="96" t="s">
        <v>171</v>
      </c>
      <c r="B2033" s="96" t="s">
        <v>240</v>
      </c>
      <c r="C2033" s="96" t="s">
        <v>2018</v>
      </c>
      <c r="D2033" s="96" t="s">
        <v>10</v>
      </c>
      <c r="E2033" s="43">
        <v>45668</v>
      </c>
      <c r="F2033" s="43">
        <v>45763</v>
      </c>
      <c r="G2033" s="96" t="s">
        <v>90</v>
      </c>
      <c r="H2033" s="96" t="s">
        <v>5622</v>
      </c>
      <c r="I2033" s="96" t="s">
        <v>228</v>
      </c>
      <c r="J2033" s="96" t="s">
        <v>165</v>
      </c>
      <c r="K2033" s="96" t="s">
        <v>230</v>
      </c>
      <c r="L2033">
        <v>95</v>
      </c>
      <c r="M2033" t="s">
        <v>28</v>
      </c>
      <c r="N2033" t="s">
        <v>181</v>
      </c>
      <c r="O2033" t="s">
        <v>149</v>
      </c>
      <c r="P2033">
        <v>2025</v>
      </c>
    </row>
    <row r="2034" spans="1:16" x14ac:dyDescent="0.25">
      <c r="A2034" s="96" t="s">
        <v>2</v>
      </c>
      <c r="B2034" s="96" t="s">
        <v>317</v>
      </c>
      <c r="C2034" s="96" t="s">
        <v>2019</v>
      </c>
      <c r="D2034" s="96" t="s">
        <v>208</v>
      </c>
      <c r="E2034" s="43">
        <v>46023</v>
      </c>
      <c r="F2034" s="43">
        <v>46128</v>
      </c>
      <c r="G2034" s="96" t="s">
        <v>92</v>
      </c>
      <c r="H2034" s="96" t="s">
        <v>5623</v>
      </c>
      <c r="I2034" s="96" t="s">
        <v>209</v>
      </c>
      <c r="J2034" s="96" t="s">
        <v>176</v>
      </c>
      <c r="K2034" s="96" t="s">
        <v>210</v>
      </c>
      <c r="L2034">
        <v>105</v>
      </c>
      <c r="M2034" t="s">
        <v>28</v>
      </c>
      <c r="N2034" t="s">
        <v>29</v>
      </c>
      <c r="O2034" t="s">
        <v>170</v>
      </c>
      <c r="P2034">
        <v>2026</v>
      </c>
    </row>
    <row r="2035" spans="1:16" hidden="1" x14ac:dyDescent="0.25">
      <c r="A2035" s="96" t="s">
        <v>2</v>
      </c>
      <c r="B2035" s="96" t="s">
        <v>280</v>
      </c>
      <c r="C2035" s="96" t="s">
        <v>2021</v>
      </c>
      <c r="D2035" s="96" t="s">
        <v>14</v>
      </c>
      <c r="E2035" s="43">
        <v>45834</v>
      </c>
      <c r="F2035" s="43">
        <v>45953</v>
      </c>
      <c r="G2035" s="96" t="s">
        <v>92</v>
      </c>
      <c r="H2035" s="96" t="s">
        <v>5624</v>
      </c>
      <c r="I2035" s="96" t="s">
        <v>204</v>
      </c>
      <c r="J2035" s="96" t="s">
        <v>93</v>
      </c>
      <c r="K2035" s="96" t="s">
        <v>210</v>
      </c>
      <c r="L2035">
        <v>119</v>
      </c>
      <c r="M2035" t="s">
        <v>28</v>
      </c>
      <c r="N2035" t="s">
        <v>184</v>
      </c>
      <c r="O2035" t="s">
        <v>170</v>
      </c>
      <c r="P2035">
        <v>2025</v>
      </c>
    </row>
    <row r="2036" spans="1:16" hidden="1" x14ac:dyDescent="0.25">
      <c r="A2036" s="96" t="s">
        <v>2</v>
      </c>
      <c r="B2036" s="96" t="s">
        <v>240</v>
      </c>
      <c r="C2036" s="96" t="s">
        <v>2023</v>
      </c>
      <c r="D2036" s="96" t="s">
        <v>40</v>
      </c>
      <c r="E2036" s="43">
        <v>45917</v>
      </c>
      <c r="F2036" s="43">
        <v>45934</v>
      </c>
      <c r="G2036" s="96" t="s">
        <v>92</v>
      </c>
      <c r="H2036" s="96" t="s">
        <v>5625</v>
      </c>
      <c r="I2036" s="96" t="s">
        <v>194</v>
      </c>
      <c r="J2036" s="96" t="s">
        <v>172</v>
      </c>
      <c r="K2036" s="96" t="s">
        <v>246</v>
      </c>
      <c r="L2036">
        <v>17</v>
      </c>
      <c r="M2036" t="s">
        <v>19</v>
      </c>
      <c r="N2036" t="s">
        <v>12</v>
      </c>
      <c r="O2036" t="s">
        <v>149</v>
      </c>
      <c r="P2036">
        <v>2025</v>
      </c>
    </row>
    <row r="2037" spans="1:16" hidden="1" x14ac:dyDescent="0.25">
      <c r="A2037" s="96" t="s">
        <v>2</v>
      </c>
      <c r="B2037" s="96" t="s">
        <v>238</v>
      </c>
      <c r="C2037" s="96" t="s">
        <v>2025</v>
      </c>
      <c r="D2037" s="96" t="s">
        <v>192</v>
      </c>
      <c r="E2037" s="43">
        <v>45983</v>
      </c>
      <c r="F2037" s="43">
        <v>46024</v>
      </c>
      <c r="G2037" s="96" t="s">
        <v>90</v>
      </c>
      <c r="H2037" s="96" t="s">
        <v>5626</v>
      </c>
      <c r="I2037" s="96" t="s">
        <v>157</v>
      </c>
      <c r="J2037" s="96" t="s">
        <v>229</v>
      </c>
      <c r="K2037" s="96" t="s">
        <v>210</v>
      </c>
      <c r="L2037">
        <v>41</v>
      </c>
      <c r="M2037" t="s">
        <v>24</v>
      </c>
      <c r="N2037" t="s">
        <v>20</v>
      </c>
      <c r="O2037" t="s">
        <v>170</v>
      </c>
      <c r="P2037">
        <v>2025</v>
      </c>
    </row>
    <row r="2038" spans="1:16" hidden="1" x14ac:dyDescent="0.25">
      <c r="A2038" s="96" t="s">
        <v>2</v>
      </c>
      <c r="B2038" s="96" t="s">
        <v>206</v>
      </c>
      <c r="C2038" s="96" t="s">
        <v>2027</v>
      </c>
      <c r="D2038" s="96" t="s">
        <v>237</v>
      </c>
      <c r="E2038" s="43">
        <v>45682</v>
      </c>
      <c r="F2038" s="43">
        <v>45746</v>
      </c>
      <c r="G2038" s="96" t="s">
        <v>90</v>
      </c>
      <c r="H2038" s="96" t="s">
        <v>5627</v>
      </c>
      <c r="I2038" s="96" t="s">
        <v>209</v>
      </c>
      <c r="J2038" s="96" t="s">
        <v>216</v>
      </c>
      <c r="K2038" s="96" t="s">
        <v>205</v>
      </c>
      <c r="L2038">
        <v>64</v>
      </c>
      <c r="M2038" t="s">
        <v>28</v>
      </c>
      <c r="N2038" t="s">
        <v>181</v>
      </c>
      <c r="O2038" t="s">
        <v>152</v>
      </c>
      <c r="P2038">
        <v>2025</v>
      </c>
    </row>
    <row r="2039" spans="1:16" hidden="1" x14ac:dyDescent="0.25">
      <c r="A2039" s="96" t="s">
        <v>2</v>
      </c>
      <c r="B2039" s="96" t="s">
        <v>322</v>
      </c>
      <c r="C2039" s="96" t="s">
        <v>2028</v>
      </c>
      <c r="D2039" s="96" t="s">
        <v>40</v>
      </c>
      <c r="E2039" s="43">
        <v>45719</v>
      </c>
      <c r="F2039" s="43">
        <v>45790</v>
      </c>
      <c r="G2039" s="96" t="s">
        <v>92</v>
      </c>
      <c r="H2039" s="96" t="s">
        <v>5628</v>
      </c>
      <c r="I2039" s="96" t="s">
        <v>194</v>
      </c>
      <c r="J2039" s="96" t="s">
        <v>93</v>
      </c>
      <c r="K2039" s="96" t="s">
        <v>205</v>
      </c>
      <c r="L2039">
        <v>71</v>
      </c>
      <c r="M2039" t="s">
        <v>28</v>
      </c>
      <c r="N2039" t="s">
        <v>186</v>
      </c>
      <c r="O2039" t="s">
        <v>150</v>
      </c>
      <c r="P2039">
        <v>2025</v>
      </c>
    </row>
    <row r="2040" spans="1:16" hidden="1" x14ac:dyDescent="0.25">
      <c r="A2040" s="96" t="s">
        <v>2</v>
      </c>
      <c r="B2040" s="96" t="s">
        <v>238</v>
      </c>
      <c r="C2040" s="96" t="s">
        <v>2029</v>
      </c>
      <c r="D2040" s="96" t="s">
        <v>223</v>
      </c>
      <c r="E2040" s="43">
        <v>45972</v>
      </c>
      <c r="F2040" s="43">
        <v>46091</v>
      </c>
      <c r="G2040" s="96" t="s">
        <v>92</v>
      </c>
      <c r="H2040" s="96" t="s">
        <v>1958</v>
      </c>
      <c r="I2040" s="96" t="s">
        <v>194</v>
      </c>
      <c r="J2040" s="96" t="s">
        <v>216</v>
      </c>
      <c r="K2040" s="96" t="s">
        <v>233</v>
      </c>
      <c r="L2040">
        <v>119</v>
      </c>
      <c r="M2040" t="s">
        <v>28</v>
      </c>
      <c r="N2040" t="s">
        <v>20</v>
      </c>
      <c r="O2040" t="s">
        <v>170</v>
      </c>
      <c r="P2040">
        <v>2025</v>
      </c>
    </row>
    <row r="2041" spans="1:16" hidden="1" x14ac:dyDescent="0.25">
      <c r="A2041" s="96" t="s">
        <v>2</v>
      </c>
      <c r="B2041" s="96" t="s">
        <v>221</v>
      </c>
      <c r="C2041" s="96" t="s">
        <v>2032</v>
      </c>
      <c r="D2041" s="96" t="s">
        <v>215</v>
      </c>
      <c r="E2041" s="43">
        <v>45909</v>
      </c>
      <c r="F2041" s="43">
        <v>45924</v>
      </c>
      <c r="G2041" s="96" t="s">
        <v>95</v>
      </c>
      <c r="H2041" s="96" t="s">
        <v>5629</v>
      </c>
      <c r="I2041" s="96" t="s">
        <v>204</v>
      </c>
      <c r="J2041" s="96" t="s">
        <v>94</v>
      </c>
      <c r="K2041" s="96" t="s">
        <v>195</v>
      </c>
      <c r="L2041">
        <v>15</v>
      </c>
      <c r="M2041" t="s">
        <v>19</v>
      </c>
      <c r="N2041" t="s">
        <v>12</v>
      </c>
      <c r="O2041" t="s">
        <v>170</v>
      </c>
      <c r="P2041">
        <v>2025</v>
      </c>
    </row>
    <row r="2042" spans="1:16" hidden="1" x14ac:dyDescent="0.25">
      <c r="A2042" s="96" t="s">
        <v>2</v>
      </c>
      <c r="B2042" s="96" t="s">
        <v>206</v>
      </c>
      <c r="C2042" s="96" t="s">
        <v>2034</v>
      </c>
      <c r="D2042" s="96" t="s">
        <v>203</v>
      </c>
      <c r="E2042" s="43">
        <v>45778</v>
      </c>
      <c r="F2042" s="43">
        <v>45821</v>
      </c>
      <c r="G2042" s="96" t="s">
        <v>92</v>
      </c>
      <c r="H2042" s="96" t="s">
        <v>5630</v>
      </c>
      <c r="I2042" s="96" t="s">
        <v>194</v>
      </c>
      <c r="J2042" s="96" t="s">
        <v>168</v>
      </c>
      <c r="K2042" s="96" t="s">
        <v>246</v>
      </c>
      <c r="L2042">
        <v>43</v>
      </c>
      <c r="M2042" t="s">
        <v>24</v>
      </c>
      <c r="N2042" t="s">
        <v>182</v>
      </c>
      <c r="O2042" t="s">
        <v>152</v>
      </c>
      <c r="P2042">
        <v>2025</v>
      </c>
    </row>
    <row r="2043" spans="1:16" hidden="1" x14ac:dyDescent="0.25">
      <c r="A2043" s="96" t="s">
        <v>2</v>
      </c>
      <c r="B2043" s="96" t="s">
        <v>231</v>
      </c>
      <c r="C2043" s="96" t="s">
        <v>5631</v>
      </c>
      <c r="D2043" s="96" t="s">
        <v>40</v>
      </c>
      <c r="E2043" s="43">
        <v>45716</v>
      </c>
      <c r="F2043" s="43">
        <v>45740</v>
      </c>
      <c r="G2043" s="96" t="s">
        <v>90</v>
      </c>
      <c r="H2043" s="96" t="s">
        <v>5632</v>
      </c>
      <c r="I2043" s="96" t="s">
        <v>209</v>
      </c>
      <c r="J2043" s="96" t="s">
        <v>97</v>
      </c>
      <c r="K2043" s="96" t="s">
        <v>233</v>
      </c>
      <c r="L2043">
        <v>24</v>
      </c>
      <c r="M2043" t="s">
        <v>19</v>
      </c>
      <c r="N2043" t="s">
        <v>188</v>
      </c>
      <c r="O2043" t="s">
        <v>170</v>
      </c>
      <c r="P2043">
        <v>2025</v>
      </c>
    </row>
    <row r="2044" spans="1:16" hidden="1" x14ac:dyDescent="0.25">
      <c r="A2044" s="96" t="s">
        <v>2</v>
      </c>
      <c r="B2044" s="96" t="s">
        <v>190</v>
      </c>
      <c r="C2044" s="96" t="s">
        <v>2035</v>
      </c>
      <c r="D2044" s="96" t="s">
        <v>203</v>
      </c>
      <c r="E2044" s="43">
        <v>45950</v>
      </c>
      <c r="F2044" s="43">
        <v>45972</v>
      </c>
      <c r="G2044" s="96" t="s">
        <v>92</v>
      </c>
      <c r="H2044" s="96" t="s">
        <v>5633</v>
      </c>
      <c r="I2044" s="96" t="s">
        <v>194</v>
      </c>
      <c r="J2044" s="96" t="s">
        <v>174</v>
      </c>
      <c r="K2044" s="96" t="s">
        <v>195</v>
      </c>
      <c r="L2044">
        <v>22</v>
      </c>
      <c r="M2044" t="s">
        <v>19</v>
      </c>
      <c r="N2044" t="s">
        <v>16</v>
      </c>
      <c r="O2044" t="s">
        <v>150</v>
      </c>
      <c r="P2044">
        <v>2025</v>
      </c>
    </row>
    <row r="2045" spans="1:16" x14ac:dyDescent="0.25">
      <c r="A2045" s="96" t="s">
        <v>175</v>
      </c>
      <c r="B2045" s="96" t="s">
        <v>261</v>
      </c>
      <c r="C2045" s="96" t="s">
        <v>5634</v>
      </c>
      <c r="D2045" s="96" t="s">
        <v>223</v>
      </c>
      <c r="E2045" s="43">
        <v>46093</v>
      </c>
      <c r="F2045" s="43">
        <v>46146</v>
      </c>
      <c r="G2045" s="96" t="s">
        <v>90</v>
      </c>
      <c r="H2045" s="96" t="s">
        <v>5635</v>
      </c>
      <c r="I2045" s="96" t="s">
        <v>194</v>
      </c>
      <c r="J2045" s="96" t="s">
        <v>216</v>
      </c>
      <c r="K2045" s="96" t="s">
        <v>246</v>
      </c>
      <c r="L2045">
        <v>53</v>
      </c>
      <c r="M2045" t="s">
        <v>24</v>
      </c>
      <c r="N2045" t="s">
        <v>35</v>
      </c>
      <c r="O2045" t="s">
        <v>151</v>
      </c>
      <c r="P2045">
        <v>2026</v>
      </c>
    </row>
    <row r="2046" spans="1:16" x14ac:dyDescent="0.25">
      <c r="A2046" s="96" t="s">
        <v>2</v>
      </c>
      <c r="B2046" s="96" t="s">
        <v>218</v>
      </c>
      <c r="C2046" s="96" t="s">
        <v>2036</v>
      </c>
      <c r="D2046" s="96" t="s">
        <v>40</v>
      </c>
      <c r="E2046" s="43">
        <v>46043</v>
      </c>
      <c r="F2046" s="43">
        <v>46102</v>
      </c>
      <c r="G2046" s="96" t="s">
        <v>92</v>
      </c>
      <c r="H2046" s="96" t="s">
        <v>5636</v>
      </c>
      <c r="I2046" s="96" t="s">
        <v>209</v>
      </c>
      <c r="J2046" s="96" t="s">
        <v>174</v>
      </c>
      <c r="K2046" s="96" t="s">
        <v>205</v>
      </c>
      <c r="L2046">
        <v>59</v>
      </c>
      <c r="M2046" t="s">
        <v>24</v>
      </c>
      <c r="N2046" t="s">
        <v>29</v>
      </c>
      <c r="O2046" t="s">
        <v>152</v>
      </c>
      <c r="P2046">
        <v>2026</v>
      </c>
    </row>
    <row r="2047" spans="1:16" hidden="1" x14ac:dyDescent="0.25">
      <c r="A2047" s="96" t="s">
        <v>2</v>
      </c>
      <c r="B2047" s="96" t="s">
        <v>240</v>
      </c>
      <c r="C2047" s="96" t="s">
        <v>2037</v>
      </c>
      <c r="D2047" s="96" t="s">
        <v>208</v>
      </c>
      <c r="E2047" s="43">
        <v>45915</v>
      </c>
      <c r="F2047" s="43">
        <v>46034</v>
      </c>
      <c r="G2047" s="96" t="s">
        <v>92</v>
      </c>
      <c r="H2047" s="96" t="s">
        <v>5637</v>
      </c>
      <c r="I2047" s="96" t="s">
        <v>225</v>
      </c>
      <c r="J2047" s="96" t="s">
        <v>177</v>
      </c>
      <c r="K2047" s="96" t="s">
        <v>230</v>
      </c>
      <c r="L2047">
        <v>119</v>
      </c>
      <c r="M2047" t="s">
        <v>28</v>
      </c>
      <c r="N2047" t="s">
        <v>12</v>
      </c>
      <c r="O2047" t="s">
        <v>149</v>
      </c>
      <c r="P2047">
        <v>2025</v>
      </c>
    </row>
    <row r="2048" spans="1:16" hidden="1" x14ac:dyDescent="0.25">
      <c r="A2048" s="96" t="s">
        <v>2</v>
      </c>
      <c r="B2048" s="96" t="s">
        <v>238</v>
      </c>
      <c r="C2048" s="96" t="s">
        <v>2038</v>
      </c>
      <c r="D2048" s="96" t="s">
        <v>192</v>
      </c>
      <c r="E2048" s="43">
        <v>45754</v>
      </c>
      <c r="F2048" s="43">
        <v>45803</v>
      </c>
      <c r="G2048" s="96" t="s">
        <v>92</v>
      </c>
      <c r="H2048" s="96" t="s">
        <v>5638</v>
      </c>
      <c r="I2048" s="96" t="s">
        <v>204</v>
      </c>
      <c r="J2048" s="96" t="s">
        <v>91</v>
      </c>
      <c r="K2048" s="96" t="s">
        <v>205</v>
      </c>
      <c r="L2048">
        <v>49</v>
      </c>
      <c r="M2048" t="s">
        <v>24</v>
      </c>
      <c r="N2048" t="s">
        <v>185</v>
      </c>
      <c r="O2048" t="s">
        <v>170</v>
      </c>
      <c r="P2048">
        <v>2025</v>
      </c>
    </row>
    <row r="2049" spans="1:16" hidden="1" x14ac:dyDescent="0.25">
      <c r="A2049" s="96" t="s">
        <v>171</v>
      </c>
      <c r="B2049" s="96" t="s">
        <v>272</v>
      </c>
      <c r="C2049" s="96" t="s">
        <v>5639</v>
      </c>
      <c r="D2049" s="96" t="s">
        <v>223</v>
      </c>
      <c r="E2049" s="43">
        <v>45866</v>
      </c>
      <c r="F2049" s="43">
        <v>45935</v>
      </c>
      <c r="G2049" s="96" t="s">
        <v>90</v>
      </c>
      <c r="H2049" s="96" t="s">
        <v>5640</v>
      </c>
      <c r="I2049" s="96" t="s">
        <v>9</v>
      </c>
      <c r="J2049" s="96" t="s">
        <v>176</v>
      </c>
      <c r="K2049" s="96" t="s">
        <v>230</v>
      </c>
      <c r="L2049">
        <v>69</v>
      </c>
      <c r="M2049" t="s">
        <v>28</v>
      </c>
      <c r="N2049" t="s">
        <v>187</v>
      </c>
      <c r="O2049" t="s">
        <v>151</v>
      </c>
      <c r="P2049">
        <v>2025</v>
      </c>
    </row>
    <row r="2050" spans="1:16" x14ac:dyDescent="0.25">
      <c r="A2050" s="96" t="s">
        <v>2</v>
      </c>
      <c r="B2050" s="96" t="s">
        <v>244</v>
      </c>
      <c r="C2050" s="96" t="s">
        <v>2039</v>
      </c>
      <c r="D2050" s="96" t="s">
        <v>14</v>
      </c>
      <c r="E2050" s="43">
        <v>46144</v>
      </c>
      <c r="F2050" s="43">
        <v>46147</v>
      </c>
      <c r="G2050" s="96" t="s">
        <v>92</v>
      </c>
      <c r="H2050" s="96" t="s">
        <v>5641</v>
      </c>
      <c r="I2050" s="96" t="s">
        <v>157</v>
      </c>
      <c r="J2050" s="96" t="s">
        <v>169</v>
      </c>
      <c r="K2050" s="96" t="s">
        <v>233</v>
      </c>
      <c r="L2050">
        <v>3</v>
      </c>
      <c r="M2050" t="s">
        <v>11</v>
      </c>
      <c r="N2050" t="s">
        <v>183</v>
      </c>
      <c r="O2050" t="s">
        <v>150</v>
      </c>
      <c r="P2050">
        <v>2026</v>
      </c>
    </row>
    <row r="2051" spans="1:16" hidden="1" x14ac:dyDescent="0.25">
      <c r="A2051" s="96" t="s">
        <v>2</v>
      </c>
      <c r="B2051" s="96" t="s">
        <v>257</v>
      </c>
      <c r="C2051" s="96" t="s">
        <v>5642</v>
      </c>
      <c r="D2051" s="96" t="s">
        <v>223</v>
      </c>
      <c r="E2051" s="43">
        <v>45985</v>
      </c>
      <c r="F2051" s="43">
        <v>46064</v>
      </c>
      <c r="G2051" s="96" t="s">
        <v>92</v>
      </c>
      <c r="H2051" s="96" t="s">
        <v>5643</v>
      </c>
      <c r="I2051" s="96" t="s">
        <v>194</v>
      </c>
      <c r="J2051" s="96" t="s">
        <v>174</v>
      </c>
      <c r="K2051" s="96" t="s">
        <v>205</v>
      </c>
      <c r="L2051">
        <v>79</v>
      </c>
      <c r="M2051" t="s">
        <v>28</v>
      </c>
      <c r="N2051" t="s">
        <v>20</v>
      </c>
      <c r="O2051" t="s">
        <v>151</v>
      </c>
      <c r="P2051">
        <v>2025</v>
      </c>
    </row>
    <row r="2052" spans="1:16" hidden="1" x14ac:dyDescent="0.25">
      <c r="A2052" s="96" t="s">
        <v>2</v>
      </c>
      <c r="B2052" s="96" t="s">
        <v>240</v>
      </c>
      <c r="C2052" s="96" t="s">
        <v>2040</v>
      </c>
      <c r="D2052" s="96" t="s">
        <v>40</v>
      </c>
      <c r="E2052" s="43">
        <v>45915</v>
      </c>
      <c r="F2052" s="43">
        <v>46029</v>
      </c>
      <c r="G2052" s="96" t="s">
        <v>90</v>
      </c>
      <c r="H2052" s="96" t="s">
        <v>5644</v>
      </c>
      <c r="I2052" s="96" t="s">
        <v>194</v>
      </c>
      <c r="J2052" s="96" t="s">
        <v>97</v>
      </c>
      <c r="K2052" s="96" t="s">
        <v>217</v>
      </c>
      <c r="L2052">
        <v>114</v>
      </c>
      <c r="M2052" t="s">
        <v>28</v>
      </c>
      <c r="N2052" t="s">
        <v>12</v>
      </c>
      <c r="O2052" t="s">
        <v>149</v>
      </c>
      <c r="P2052">
        <v>2025</v>
      </c>
    </row>
    <row r="2053" spans="1:16" hidden="1" x14ac:dyDescent="0.25">
      <c r="A2053" s="96" t="s">
        <v>175</v>
      </c>
      <c r="B2053" s="96" t="s">
        <v>251</v>
      </c>
      <c r="C2053" s="96" t="s">
        <v>2041</v>
      </c>
      <c r="D2053" s="96" t="s">
        <v>40</v>
      </c>
      <c r="E2053" s="43">
        <v>45949</v>
      </c>
      <c r="F2053" s="43">
        <v>45986</v>
      </c>
      <c r="G2053" s="96" t="s">
        <v>92</v>
      </c>
      <c r="H2053" s="96" t="s">
        <v>5645</v>
      </c>
      <c r="I2053" s="96" t="s">
        <v>225</v>
      </c>
      <c r="J2053" s="96" t="s">
        <v>168</v>
      </c>
      <c r="K2053" s="96" t="s">
        <v>217</v>
      </c>
      <c r="L2053">
        <v>37</v>
      </c>
      <c r="M2053" t="s">
        <v>24</v>
      </c>
      <c r="N2053" t="s">
        <v>16</v>
      </c>
      <c r="O2053" t="s">
        <v>170</v>
      </c>
      <c r="P2053">
        <v>2025</v>
      </c>
    </row>
    <row r="2054" spans="1:16" hidden="1" x14ac:dyDescent="0.25">
      <c r="A2054" s="96" t="s">
        <v>175</v>
      </c>
      <c r="B2054" s="96" t="s">
        <v>238</v>
      </c>
      <c r="C2054" s="96" t="s">
        <v>2042</v>
      </c>
      <c r="D2054" s="96" t="s">
        <v>10</v>
      </c>
      <c r="E2054" s="43">
        <v>45689</v>
      </c>
      <c r="F2054" s="43">
        <v>45807</v>
      </c>
      <c r="G2054" s="96" t="s">
        <v>92</v>
      </c>
      <c r="H2054" s="96" t="s">
        <v>5646</v>
      </c>
      <c r="I2054" s="96" t="s">
        <v>194</v>
      </c>
      <c r="J2054" s="96" t="s">
        <v>177</v>
      </c>
      <c r="K2054" s="96" t="s">
        <v>205</v>
      </c>
      <c r="L2054">
        <v>118</v>
      </c>
      <c r="M2054" t="s">
        <v>28</v>
      </c>
      <c r="N2054" t="s">
        <v>188</v>
      </c>
      <c r="O2054" t="s">
        <v>170</v>
      </c>
      <c r="P2054">
        <v>2025</v>
      </c>
    </row>
    <row r="2055" spans="1:16" x14ac:dyDescent="0.25">
      <c r="A2055" s="96" t="s">
        <v>2</v>
      </c>
      <c r="B2055" s="96" t="s">
        <v>261</v>
      </c>
      <c r="C2055" s="96" t="s">
        <v>2043</v>
      </c>
      <c r="D2055" s="96" t="s">
        <v>40</v>
      </c>
      <c r="E2055" s="43">
        <v>46042</v>
      </c>
      <c r="F2055" s="43">
        <v>46049</v>
      </c>
      <c r="G2055" s="96" t="s">
        <v>92</v>
      </c>
      <c r="H2055" s="96" t="s">
        <v>5647</v>
      </c>
      <c r="I2055" s="96" t="s">
        <v>209</v>
      </c>
      <c r="J2055" s="96" t="s">
        <v>165</v>
      </c>
      <c r="K2055" s="96" t="s">
        <v>210</v>
      </c>
      <c r="L2055">
        <v>7</v>
      </c>
      <c r="M2055" t="s">
        <v>11</v>
      </c>
      <c r="N2055" t="s">
        <v>29</v>
      </c>
      <c r="O2055" t="s">
        <v>151</v>
      </c>
      <c r="P2055">
        <v>2026</v>
      </c>
    </row>
    <row r="2056" spans="1:16" hidden="1" x14ac:dyDescent="0.25">
      <c r="A2056" s="96" t="s">
        <v>21</v>
      </c>
      <c r="B2056" s="96" t="s">
        <v>213</v>
      </c>
      <c r="C2056" s="96" t="s">
        <v>5648</v>
      </c>
      <c r="D2056" s="96" t="s">
        <v>208</v>
      </c>
      <c r="E2056" s="43">
        <v>45963</v>
      </c>
      <c r="F2056" s="43">
        <v>46066</v>
      </c>
      <c r="G2056" s="96" t="s">
        <v>90</v>
      </c>
      <c r="H2056" s="96" t="s">
        <v>5649</v>
      </c>
      <c r="I2056" s="96" t="s">
        <v>209</v>
      </c>
      <c r="J2056" s="96" t="s">
        <v>199</v>
      </c>
      <c r="K2056" s="96" t="s">
        <v>200</v>
      </c>
      <c r="L2056">
        <v>103</v>
      </c>
      <c r="M2056" t="s">
        <v>28</v>
      </c>
      <c r="N2056" t="s">
        <v>20</v>
      </c>
      <c r="O2056" t="s">
        <v>149</v>
      </c>
      <c r="P2056">
        <v>2025</v>
      </c>
    </row>
    <row r="2057" spans="1:16" hidden="1" x14ac:dyDescent="0.25">
      <c r="A2057" s="96" t="s">
        <v>2</v>
      </c>
      <c r="B2057" s="96" t="s">
        <v>221</v>
      </c>
      <c r="C2057" s="96" t="s">
        <v>2044</v>
      </c>
      <c r="D2057" s="96" t="s">
        <v>34</v>
      </c>
      <c r="E2057" s="43">
        <v>45938</v>
      </c>
      <c r="F2057" s="43">
        <v>45960</v>
      </c>
      <c r="G2057" s="96" t="s">
        <v>92</v>
      </c>
      <c r="H2057" s="96" t="s">
        <v>5650</v>
      </c>
      <c r="I2057" s="96" t="s">
        <v>9</v>
      </c>
      <c r="J2057" s="96" t="s">
        <v>199</v>
      </c>
      <c r="K2057" s="96" t="s">
        <v>233</v>
      </c>
      <c r="L2057">
        <v>22</v>
      </c>
      <c r="M2057" t="s">
        <v>19</v>
      </c>
      <c r="N2057" t="s">
        <v>16</v>
      </c>
      <c r="O2057" t="s">
        <v>170</v>
      </c>
      <c r="P2057">
        <v>2025</v>
      </c>
    </row>
    <row r="2058" spans="1:16" hidden="1" x14ac:dyDescent="0.25">
      <c r="A2058" s="96" t="s">
        <v>2</v>
      </c>
      <c r="B2058" s="96" t="s">
        <v>238</v>
      </c>
      <c r="C2058" s="96" t="s">
        <v>2045</v>
      </c>
      <c r="D2058" s="96" t="s">
        <v>14</v>
      </c>
      <c r="E2058" s="43">
        <v>45739</v>
      </c>
      <c r="F2058" s="43">
        <v>45813</v>
      </c>
      <c r="G2058" s="96" t="s">
        <v>92</v>
      </c>
      <c r="H2058" s="96" t="s">
        <v>5651</v>
      </c>
      <c r="I2058" s="96" t="s">
        <v>225</v>
      </c>
      <c r="J2058" s="96" t="s">
        <v>169</v>
      </c>
      <c r="K2058" s="96" t="s">
        <v>200</v>
      </c>
      <c r="L2058">
        <v>74</v>
      </c>
      <c r="M2058" t="s">
        <v>28</v>
      </c>
      <c r="N2058" t="s">
        <v>186</v>
      </c>
      <c r="O2058" t="s">
        <v>170</v>
      </c>
      <c r="P2058">
        <v>2025</v>
      </c>
    </row>
    <row r="2059" spans="1:16" hidden="1" x14ac:dyDescent="0.25">
      <c r="A2059" s="96" t="s">
        <v>2</v>
      </c>
      <c r="B2059" s="96" t="s">
        <v>231</v>
      </c>
      <c r="C2059" s="96" t="s">
        <v>2046</v>
      </c>
      <c r="D2059" s="96" t="s">
        <v>223</v>
      </c>
      <c r="E2059" s="43">
        <v>45861</v>
      </c>
      <c r="F2059" s="43">
        <v>45977</v>
      </c>
      <c r="G2059" s="96" t="s">
        <v>92</v>
      </c>
      <c r="H2059" s="96" t="s">
        <v>5652</v>
      </c>
      <c r="I2059" s="96" t="s">
        <v>225</v>
      </c>
      <c r="J2059" s="96" t="s">
        <v>172</v>
      </c>
      <c r="K2059" s="96" t="s">
        <v>233</v>
      </c>
      <c r="L2059">
        <v>116</v>
      </c>
      <c r="M2059" t="s">
        <v>28</v>
      </c>
      <c r="N2059" t="s">
        <v>187</v>
      </c>
      <c r="O2059" t="s">
        <v>170</v>
      </c>
      <c r="P2059">
        <v>2025</v>
      </c>
    </row>
    <row r="2060" spans="1:16" x14ac:dyDescent="0.25">
      <c r="A2060" s="96" t="s">
        <v>21</v>
      </c>
      <c r="B2060" s="96" t="s">
        <v>261</v>
      </c>
      <c r="C2060" s="96" t="s">
        <v>2047</v>
      </c>
      <c r="D2060" s="96" t="s">
        <v>40</v>
      </c>
      <c r="E2060" s="43">
        <v>46030</v>
      </c>
      <c r="F2060" s="43">
        <v>46044</v>
      </c>
      <c r="G2060" s="96" t="s">
        <v>92</v>
      </c>
      <c r="H2060" s="96" t="s">
        <v>5653</v>
      </c>
      <c r="I2060" s="96" t="s">
        <v>209</v>
      </c>
      <c r="J2060" s="96" t="s">
        <v>96</v>
      </c>
      <c r="K2060" s="96" t="s">
        <v>217</v>
      </c>
      <c r="L2060">
        <v>14</v>
      </c>
      <c r="M2060" t="s">
        <v>15</v>
      </c>
      <c r="N2060" t="s">
        <v>29</v>
      </c>
      <c r="O2060" t="s">
        <v>151</v>
      </c>
      <c r="P2060">
        <v>2026</v>
      </c>
    </row>
    <row r="2061" spans="1:16" hidden="1" x14ac:dyDescent="0.25">
      <c r="A2061" s="96" t="s">
        <v>2</v>
      </c>
      <c r="B2061" s="96" t="s">
        <v>280</v>
      </c>
      <c r="C2061" s="96" t="s">
        <v>5654</v>
      </c>
      <c r="D2061" s="96" t="s">
        <v>203</v>
      </c>
      <c r="E2061" s="43">
        <v>45915</v>
      </c>
      <c r="F2061" s="43">
        <v>45981</v>
      </c>
      <c r="G2061" s="96" t="s">
        <v>90</v>
      </c>
      <c r="H2061" s="96" t="s">
        <v>1971</v>
      </c>
      <c r="I2061" s="96" t="s">
        <v>225</v>
      </c>
      <c r="J2061" s="96" t="s">
        <v>93</v>
      </c>
      <c r="K2061" s="96" t="s">
        <v>210</v>
      </c>
      <c r="L2061">
        <v>66</v>
      </c>
      <c r="M2061" t="s">
        <v>28</v>
      </c>
      <c r="N2061" t="s">
        <v>12</v>
      </c>
      <c r="O2061" t="s">
        <v>170</v>
      </c>
      <c r="P2061">
        <v>2025</v>
      </c>
    </row>
    <row r="2062" spans="1:16" x14ac:dyDescent="0.25">
      <c r="A2062" s="96" t="s">
        <v>21</v>
      </c>
      <c r="B2062" s="96" t="s">
        <v>261</v>
      </c>
      <c r="C2062" s="96" t="s">
        <v>2048</v>
      </c>
      <c r="D2062" s="96" t="s">
        <v>237</v>
      </c>
      <c r="E2062" s="43">
        <v>46054</v>
      </c>
      <c r="F2062" s="43">
        <v>46086</v>
      </c>
      <c r="G2062" s="96" t="s">
        <v>92</v>
      </c>
      <c r="H2062" s="96" t="s">
        <v>1973</v>
      </c>
      <c r="I2062" s="96" t="s">
        <v>204</v>
      </c>
      <c r="J2062" s="96" t="s">
        <v>168</v>
      </c>
      <c r="K2062" s="96" t="s">
        <v>233</v>
      </c>
      <c r="L2062">
        <v>32</v>
      </c>
      <c r="M2062" t="s">
        <v>24</v>
      </c>
      <c r="N2062" t="s">
        <v>32</v>
      </c>
      <c r="O2062" t="s">
        <v>151</v>
      </c>
      <c r="P2062">
        <v>2026</v>
      </c>
    </row>
    <row r="2063" spans="1:16" x14ac:dyDescent="0.25">
      <c r="A2063" s="96" t="s">
        <v>2</v>
      </c>
      <c r="B2063" s="96" t="s">
        <v>374</v>
      </c>
      <c r="C2063" s="96" t="s">
        <v>5655</v>
      </c>
      <c r="D2063" s="96" t="s">
        <v>215</v>
      </c>
      <c r="E2063" s="43">
        <v>46103</v>
      </c>
      <c r="F2063" s="43">
        <v>46128</v>
      </c>
      <c r="G2063" s="96" t="s">
        <v>92</v>
      </c>
      <c r="H2063" s="96" t="s">
        <v>1974</v>
      </c>
      <c r="I2063" s="96" t="s">
        <v>9</v>
      </c>
      <c r="J2063" s="96" t="s">
        <v>169</v>
      </c>
      <c r="K2063" s="96" t="s">
        <v>200</v>
      </c>
      <c r="L2063">
        <v>25</v>
      </c>
      <c r="M2063" t="s">
        <v>19</v>
      </c>
      <c r="N2063" t="s">
        <v>35</v>
      </c>
      <c r="O2063" t="s">
        <v>150</v>
      </c>
      <c r="P2063">
        <v>2026</v>
      </c>
    </row>
    <row r="2064" spans="1:16" x14ac:dyDescent="0.25">
      <c r="A2064" s="96" t="s">
        <v>175</v>
      </c>
      <c r="B2064" s="96" t="s">
        <v>196</v>
      </c>
      <c r="C2064" s="96" t="s">
        <v>5656</v>
      </c>
      <c r="D2064" s="96" t="s">
        <v>40</v>
      </c>
      <c r="E2064" s="43">
        <v>46078</v>
      </c>
      <c r="F2064" s="43">
        <v>46092</v>
      </c>
      <c r="G2064" s="96" t="s">
        <v>92</v>
      </c>
      <c r="H2064" s="96" t="s">
        <v>5657</v>
      </c>
      <c r="I2064" s="96" t="s">
        <v>225</v>
      </c>
      <c r="J2064" s="96" t="s">
        <v>98</v>
      </c>
      <c r="K2064" s="96" t="s">
        <v>230</v>
      </c>
      <c r="L2064">
        <v>14</v>
      </c>
      <c r="M2064" t="s">
        <v>15</v>
      </c>
      <c r="N2064" t="s">
        <v>32</v>
      </c>
      <c r="O2064" t="s">
        <v>152</v>
      </c>
      <c r="P2064">
        <v>2026</v>
      </c>
    </row>
    <row r="2065" spans="1:16" x14ac:dyDescent="0.25">
      <c r="A2065" s="96" t="s">
        <v>21</v>
      </c>
      <c r="B2065" s="96" t="s">
        <v>234</v>
      </c>
      <c r="C2065" s="96" t="s">
        <v>2049</v>
      </c>
      <c r="D2065" s="96" t="s">
        <v>34</v>
      </c>
      <c r="E2065" s="43">
        <v>46026</v>
      </c>
      <c r="F2065" s="43">
        <v>46120</v>
      </c>
      <c r="G2065" s="96" t="s">
        <v>90</v>
      </c>
      <c r="H2065" s="96" t="s">
        <v>5658</v>
      </c>
      <c r="I2065" s="96" t="s">
        <v>194</v>
      </c>
      <c r="J2065" s="96" t="s">
        <v>216</v>
      </c>
      <c r="K2065" s="96" t="s">
        <v>233</v>
      </c>
      <c r="L2065">
        <v>94</v>
      </c>
      <c r="M2065" t="s">
        <v>28</v>
      </c>
      <c r="N2065" t="s">
        <v>29</v>
      </c>
      <c r="O2065" t="s">
        <v>150</v>
      </c>
      <c r="P2065">
        <v>2026</v>
      </c>
    </row>
    <row r="2066" spans="1:16" hidden="1" x14ac:dyDescent="0.25">
      <c r="A2066" s="96" t="s">
        <v>2</v>
      </c>
      <c r="B2066" s="96" t="s">
        <v>255</v>
      </c>
      <c r="C2066" s="96" t="s">
        <v>2051</v>
      </c>
      <c r="D2066" s="96" t="s">
        <v>215</v>
      </c>
      <c r="E2066" s="43">
        <v>45738</v>
      </c>
      <c r="F2066" s="43">
        <v>45740</v>
      </c>
      <c r="G2066" s="96" t="s">
        <v>90</v>
      </c>
      <c r="H2066" s="96" t="s">
        <v>5659</v>
      </c>
      <c r="I2066" s="96" t="s">
        <v>228</v>
      </c>
      <c r="J2066" s="96" t="s">
        <v>283</v>
      </c>
      <c r="K2066" s="96" t="s">
        <v>246</v>
      </c>
      <c r="L2066">
        <v>2</v>
      </c>
      <c r="M2066" t="s">
        <v>11</v>
      </c>
      <c r="N2066" t="s">
        <v>186</v>
      </c>
      <c r="O2066" t="s">
        <v>150</v>
      </c>
      <c r="P2066">
        <v>2025</v>
      </c>
    </row>
    <row r="2067" spans="1:16" x14ac:dyDescent="0.25">
      <c r="A2067" s="96" t="s">
        <v>2</v>
      </c>
      <c r="B2067" s="96" t="s">
        <v>290</v>
      </c>
      <c r="C2067" s="96" t="s">
        <v>2052</v>
      </c>
      <c r="D2067" s="96" t="s">
        <v>192</v>
      </c>
      <c r="E2067" s="43">
        <v>46137</v>
      </c>
      <c r="F2067" s="43">
        <v>46148</v>
      </c>
      <c r="G2067" s="96" t="s">
        <v>92</v>
      </c>
      <c r="H2067" s="96" t="s">
        <v>5660</v>
      </c>
      <c r="I2067" s="96" t="s">
        <v>157</v>
      </c>
      <c r="J2067" s="96" t="s">
        <v>98</v>
      </c>
      <c r="K2067" s="96" t="s">
        <v>246</v>
      </c>
      <c r="L2067">
        <v>11</v>
      </c>
      <c r="M2067" t="s">
        <v>15</v>
      </c>
      <c r="N2067" t="s">
        <v>37</v>
      </c>
      <c r="O2067" t="s">
        <v>149</v>
      </c>
      <c r="P2067">
        <v>2026</v>
      </c>
    </row>
    <row r="2068" spans="1:16" hidden="1" x14ac:dyDescent="0.25">
      <c r="A2068" s="96" t="s">
        <v>2</v>
      </c>
      <c r="B2068" s="96" t="s">
        <v>272</v>
      </c>
      <c r="C2068" s="96" t="s">
        <v>2054</v>
      </c>
      <c r="D2068" s="96" t="s">
        <v>208</v>
      </c>
      <c r="E2068" s="43">
        <v>45876</v>
      </c>
      <c r="F2068" s="43">
        <v>45967</v>
      </c>
      <c r="G2068" s="96" t="s">
        <v>95</v>
      </c>
      <c r="H2068" s="96" t="s">
        <v>5661</v>
      </c>
      <c r="I2068" s="96" t="s">
        <v>157</v>
      </c>
      <c r="J2068" s="96" t="s">
        <v>173</v>
      </c>
      <c r="K2068" s="96" t="s">
        <v>233</v>
      </c>
      <c r="L2068">
        <v>91</v>
      </c>
      <c r="M2068" t="s">
        <v>28</v>
      </c>
      <c r="N2068" t="s">
        <v>8</v>
      </c>
      <c r="O2068" t="s">
        <v>151</v>
      </c>
      <c r="P2068">
        <v>2025</v>
      </c>
    </row>
    <row r="2069" spans="1:16" hidden="1" x14ac:dyDescent="0.25">
      <c r="A2069" s="96" t="s">
        <v>2</v>
      </c>
      <c r="B2069" s="96" t="s">
        <v>231</v>
      </c>
      <c r="C2069" s="96" t="s">
        <v>2057</v>
      </c>
      <c r="D2069" s="96" t="s">
        <v>192</v>
      </c>
      <c r="E2069" s="43">
        <v>45691</v>
      </c>
      <c r="F2069" s="43">
        <v>45747</v>
      </c>
      <c r="G2069" s="96" t="s">
        <v>92</v>
      </c>
      <c r="H2069" s="96" t="s">
        <v>1982</v>
      </c>
      <c r="I2069" s="96" t="s">
        <v>228</v>
      </c>
      <c r="J2069" s="96" t="s">
        <v>174</v>
      </c>
      <c r="K2069" s="96" t="s">
        <v>210</v>
      </c>
      <c r="L2069">
        <v>56</v>
      </c>
      <c r="M2069" t="s">
        <v>24</v>
      </c>
      <c r="N2069" t="s">
        <v>188</v>
      </c>
      <c r="O2069" t="s">
        <v>170</v>
      </c>
      <c r="P2069">
        <v>2025</v>
      </c>
    </row>
    <row r="2070" spans="1:16" hidden="1" x14ac:dyDescent="0.25">
      <c r="A2070" s="96" t="s">
        <v>21</v>
      </c>
      <c r="B2070" s="96" t="s">
        <v>251</v>
      </c>
      <c r="C2070" s="96" t="s">
        <v>2058</v>
      </c>
      <c r="D2070" s="96" t="s">
        <v>34</v>
      </c>
      <c r="E2070" s="43">
        <v>45876</v>
      </c>
      <c r="F2070" s="43">
        <v>45943</v>
      </c>
      <c r="G2070" s="96" t="s">
        <v>90</v>
      </c>
      <c r="H2070" s="96" t="s">
        <v>5662</v>
      </c>
      <c r="I2070" s="96" t="s">
        <v>209</v>
      </c>
      <c r="J2070" s="96" t="s">
        <v>94</v>
      </c>
      <c r="K2070" s="96" t="s">
        <v>200</v>
      </c>
      <c r="L2070">
        <v>67</v>
      </c>
      <c r="M2070" t="s">
        <v>28</v>
      </c>
      <c r="N2070" t="s">
        <v>8</v>
      </c>
      <c r="O2070" t="s">
        <v>170</v>
      </c>
      <c r="P2070">
        <v>2025</v>
      </c>
    </row>
    <row r="2071" spans="1:16" x14ac:dyDescent="0.25">
      <c r="A2071" s="96" t="s">
        <v>2</v>
      </c>
      <c r="B2071" s="96" t="s">
        <v>374</v>
      </c>
      <c r="C2071" s="96" t="s">
        <v>2059</v>
      </c>
      <c r="D2071" s="96" t="s">
        <v>14</v>
      </c>
      <c r="E2071" s="43">
        <v>46139</v>
      </c>
      <c r="F2071" s="43">
        <v>46146</v>
      </c>
      <c r="G2071" s="96" t="s">
        <v>92</v>
      </c>
      <c r="H2071" s="96" t="s">
        <v>5663</v>
      </c>
      <c r="I2071" s="96" t="s">
        <v>157</v>
      </c>
      <c r="J2071" s="96" t="s">
        <v>165</v>
      </c>
      <c r="K2071" s="96" t="s">
        <v>217</v>
      </c>
      <c r="L2071">
        <v>7</v>
      </c>
      <c r="M2071" t="s">
        <v>11</v>
      </c>
      <c r="N2071" t="s">
        <v>37</v>
      </c>
      <c r="O2071" t="s">
        <v>150</v>
      </c>
      <c r="P2071">
        <v>2026</v>
      </c>
    </row>
    <row r="2072" spans="1:16" hidden="1" x14ac:dyDescent="0.25">
      <c r="A2072" s="96" t="s">
        <v>2</v>
      </c>
      <c r="B2072" s="96" t="s">
        <v>211</v>
      </c>
      <c r="C2072" s="96" t="s">
        <v>2060</v>
      </c>
      <c r="D2072" s="96" t="s">
        <v>223</v>
      </c>
      <c r="E2072" s="43">
        <v>45961</v>
      </c>
      <c r="F2072" s="43">
        <v>45985</v>
      </c>
      <c r="G2072" s="96" t="s">
        <v>92</v>
      </c>
      <c r="H2072" s="96" t="s">
        <v>5664</v>
      </c>
      <c r="I2072" s="96" t="s">
        <v>9</v>
      </c>
      <c r="J2072" s="96" t="s">
        <v>216</v>
      </c>
      <c r="K2072" s="96" t="s">
        <v>195</v>
      </c>
      <c r="L2072">
        <v>24</v>
      </c>
      <c r="M2072" t="s">
        <v>19</v>
      </c>
      <c r="N2072" t="s">
        <v>16</v>
      </c>
      <c r="O2072" t="s">
        <v>170</v>
      </c>
      <c r="P2072">
        <v>2025</v>
      </c>
    </row>
    <row r="2073" spans="1:16" hidden="1" x14ac:dyDescent="0.25">
      <c r="A2073" s="96" t="s">
        <v>2</v>
      </c>
      <c r="B2073" s="96" t="s">
        <v>238</v>
      </c>
      <c r="C2073" s="96" t="s">
        <v>2061</v>
      </c>
      <c r="D2073" s="96" t="s">
        <v>215</v>
      </c>
      <c r="E2073" s="43">
        <v>45849</v>
      </c>
      <c r="F2073" s="43">
        <v>45850</v>
      </c>
      <c r="G2073" s="96" t="s">
        <v>90</v>
      </c>
      <c r="H2073" s="96" t="s">
        <v>1986</v>
      </c>
      <c r="I2073" s="96" t="s">
        <v>157</v>
      </c>
      <c r="J2073" s="96" t="s">
        <v>97</v>
      </c>
      <c r="K2073" s="96" t="s">
        <v>246</v>
      </c>
      <c r="L2073">
        <v>1</v>
      </c>
      <c r="M2073" t="s">
        <v>11</v>
      </c>
      <c r="N2073" t="s">
        <v>187</v>
      </c>
      <c r="O2073" t="s">
        <v>170</v>
      </c>
      <c r="P2073">
        <v>2025</v>
      </c>
    </row>
    <row r="2074" spans="1:16" hidden="1" x14ac:dyDescent="0.25">
      <c r="A2074" s="96" t="s">
        <v>2</v>
      </c>
      <c r="B2074" s="96" t="s">
        <v>257</v>
      </c>
      <c r="C2074" s="96" t="s">
        <v>2062</v>
      </c>
      <c r="D2074" s="96" t="s">
        <v>192</v>
      </c>
      <c r="E2074" s="43">
        <v>45871</v>
      </c>
      <c r="F2074" s="43">
        <v>45962</v>
      </c>
      <c r="G2074" s="96" t="s">
        <v>92</v>
      </c>
      <c r="H2074" s="96" t="s">
        <v>5665</v>
      </c>
      <c r="I2074" s="96" t="s">
        <v>204</v>
      </c>
      <c r="J2074" s="96" t="s">
        <v>165</v>
      </c>
      <c r="K2074" s="96" t="s">
        <v>230</v>
      </c>
      <c r="L2074">
        <v>91</v>
      </c>
      <c r="M2074" t="s">
        <v>28</v>
      </c>
      <c r="N2074" t="s">
        <v>8</v>
      </c>
      <c r="O2074" t="s">
        <v>151</v>
      </c>
      <c r="P2074">
        <v>2025</v>
      </c>
    </row>
    <row r="2075" spans="1:16" hidden="1" x14ac:dyDescent="0.25">
      <c r="A2075" s="96" t="s">
        <v>21</v>
      </c>
      <c r="B2075" s="96" t="s">
        <v>190</v>
      </c>
      <c r="C2075" s="96" t="s">
        <v>2063</v>
      </c>
      <c r="D2075" s="96" t="s">
        <v>215</v>
      </c>
      <c r="E2075" s="43">
        <v>45841</v>
      </c>
      <c r="F2075" s="43">
        <v>45877</v>
      </c>
      <c r="G2075" s="96" t="s">
        <v>92</v>
      </c>
      <c r="H2075" s="96" t="s">
        <v>5666</v>
      </c>
      <c r="I2075" s="96" t="s">
        <v>157</v>
      </c>
      <c r="J2075" s="96" t="s">
        <v>91</v>
      </c>
      <c r="K2075" s="96" t="s">
        <v>195</v>
      </c>
      <c r="L2075">
        <v>36</v>
      </c>
      <c r="M2075" t="s">
        <v>24</v>
      </c>
      <c r="N2075" t="s">
        <v>187</v>
      </c>
      <c r="O2075" t="s">
        <v>150</v>
      </c>
      <c r="P2075">
        <v>2025</v>
      </c>
    </row>
    <row r="2076" spans="1:16" hidden="1" x14ac:dyDescent="0.25">
      <c r="A2076" s="96" t="s">
        <v>2</v>
      </c>
      <c r="B2076" s="96" t="s">
        <v>264</v>
      </c>
      <c r="C2076" s="96" t="s">
        <v>2064</v>
      </c>
      <c r="D2076" s="96" t="s">
        <v>14</v>
      </c>
      <c r="E2076" s="43">
        <v>45971</v>
      </c>
      <c r="F2076" s="43">
        <v>45980</v>
      </c>
      <c r="G2076" s="96" t="s">
        <v>92</v>
      </c>
      <c r="H2076" s="96" t="s">
        <v>1989</v>
      </c>
      <c r="I2076" s="96" t="s">
        <v>209</v>
      </c>
      <c r="J2076" s="96" t="s">
        <v>199</v>
      </c>
      <c r="K2076" s="96" t="s">
        <v>195</v>
      </c>
      <c r="L2076">
        <v>9</v>
      </c>
      <c r="M2076" t="s">
        <v>15</v>
      </c>
      <c r="N2076" t="s">
        <v>20</v>
      </c>
      <c r="O2076" t="s">
        <v>152</v>
      </c>
      <c r="P2076">
        <v>2025</v>
      </c>
    </row>
    <row r="2077" spans="1:16" hidden="1" x14ac:dyDescent="0.25">
      <c r="A2077" s="96" t="s">
        <v>2</v>
      </c>
      <c r="B2077" s="96" t="s">
        <v>206</v>
      </c>
      <c r="C2077" s="96" t="s">
        <v>2065</v>
      </c>
      <c r="D2077" s="96" t="s">
        <v>237</v>
      </c>
      <c r="E2077" s="43">
        <v>45912</v>
      </c>
      <c r="F2077" s="43">
        <v>45952</v>
      </c>
      <c r="G2077" s="96" t="s">
        <v>95</v>
      </c>
      <c r="H2077" s="96" t="s">
        <v>1990</v>
      </c>
      <c r="I2077" s="96" t="s">
        <v>157</v>
      </c>
      <c r="J2077" s="96" t="s">
        <v>97</v>
      </c>
      <c r="K2077" s="96" t="s">
        <v>195</v>
      </c>
      <c r="L2077">
        <v>40</v>
      </c>
      <c r="M2077" t="s">
        <v>24</v>
      </c>
      <c r="N2077" t="s">
        <v>12</v>
      </c>
      <c r="O2077" t="s">
        <v>152</v>
      </c>
      <c r="P2077">
        <v>2025</v>
      </c>
    </row>
    <row r="2078" spans="1:16" x14ac:dyDescent="0.25">
      <c r="A2078" s="96" t="s">
        <v>2</v>
      </c>
      <c r="B2078" s="96" t="s">
        <v>218</v>
      </c>
      <c r="C2078" s="96" t="s">
        <v>2066</v>
      </c>
      <c r="D2078" s="96" t="s">
        <v>215</v>
      </c>
      <c r="E2078" s="43">
        <v>46108</v>
      </c>
      <c r="F2078" s="43">
        <v>46151</v>
      </c>
      <c r="G2078" s="96" t="s">
        <v>92</v>
      </c>
      <c r="H2078" s="96" t="s">
        <v>1992</v>
      </c>
      <c r="I2078" s="96" t="s">
        <v>204</v>
      </c>
      <c r="J2078" s="96" t="s">
        <v>173</v>
      </c>
      <c r="K2078" s="96" t="s">
        <v>217</v>
      </c>
      <c r="L2078">
        <v>43</v>
      </c>
      <c r="M2078" t="s">
        <v>24</v>
      </c>
      <c r="N2078" t="s">
        <v>35</v>
      </c>
      <c r="O2078" t="s">
        <v>152</v>
      </c>
      <c r="P2078">
        <v>2026</v>
      </c>
    </row>
    <row r="2079" spans="1:16" x14ac:dyDescent="0.25">
      <c r="A2079" s="96" t="s">
        <v>171</v>
      </c>
      <c r="B2079" s="96" t="s">
        <v>226</v>
      </c>
      <c r="C2079" s="96" t="s">
        <v>5667</v>
      </c>
      <c r="D2079" s="96" t="s">
        <v>215</v>
      </c>
      <c r="E2079" s="43">
        <v>46147</v>
      </c>
      <c r="F2079" s="43">
        <v>46147</v>
      </c>
      <c r="G2079" s="96" t="s">
        <v>92</v>
      </c>
      <c r="H2079" s="96" t="s">
        <v>1994</v>
      </c>
      <c r="I2079" s="96" t="s">
        <v>209</v>
      </c>
      <c r="J2079" s="96" t="s">
        <v>98</v>
      </c>
      <c r="K2079" s="96" t="s">
        <v>233</v>
      </c>
      <c r="L2079">
        <v>0</v>
      </c>
      <c r="M2079" t="s">
        <v>11</v>
      </c>
      <c r="N2079" t="s">
        <v>183</v>
      </c>
      <c r="O2079" t="s">
        <v>151</v>
      </c>
      <c r="P2079">
        <v>2026</v>
      </c>
    </row>
    <row r="2080" spans="1:16" x14ac:dyDescent="0.25">
      <c r="A2080" s="96" t="s">
        <v>2</v>
      </c>
      <c r="B2080" s="96" t="s">
        <v>274</v>
      </c>
      <c r="C2080" s="96" t="s">
        <v>2067</v>
      </c>
      <c r="D2080" s="96" t="s">
        <v>14</v>
      </c>
      <c r="E2080" s="43">
        <v>46135</v>
      </c>
      <c r="F2080" s="43">
        <v>46149</v>
      </c>
      <c r="G2080" s="96" t="s">
        <v>90</v>
      </c>
      <c r="H2080" s="96" t="s">
        <v>1995</v>
      </c>
      <c r="I2080" s="96" t="s">
        <v>204</v>
      </c>
      <c r="J2080" s="96" t="s">
        <v>91</v>
      </c>
      <c r="K2080" s="96" t="s">
        <v>205</v>
      </c>
      <c r="L2080">
        <v>14</v>
      </c>
      <c r="M2080" t="s">
        <v>15</v>
      </c>
      <c r="N2080" t="s">
        <v>37</v>
      </c>
      <c r="O2080" t="s">
        <v>170</v>
      </c>
      <c r="P2080">
        <v>2026</v>
      </c>
    </row>
    <row r="2081" spans="1:16" x14ac:dyDescent="0.25">
      <c r="A2081" s="96" t="s">
        <v>2</v>
      </c>
      <c r="B2081" s="96" t="s">
        <v>274</v>
      </c>
      <c r="C2081" s="96" t="s">
        <v>2068</v>
      </c>
      <c r="D2081" s="96" t="s">
        <v>192</v>
      </c>
      <c r="E2081" s="43">
        <v>46049</v>
      </c>
      <c r="F2081" s="43">
        <v>46151</v>
      </c>
      <c r="G2081" s="96" t="s">
        <v>92</v>
      </c>
      <c r="H2081" s="96" t="s">
        <v>1997</v>
      </c>
      <c r="I2081" s="96" t="s">
        <v>204</v>
      </c>
      <c r="J2081" s="96" t="s">
        <v>172</v>
      </c>
      <c r="K2081" s="96" t="s">
        <v>195</v>
      </c>
      <c r="L2081">
        <v>102</v>
      </c>
      <c r="M2081" t="s">
        <v>28</v>
      </c>
      <c r="N2081" t="s">
        <v>29</v>
      </c>
      <c r="O2081" t="s">
        <v>170</v>
      </c>
      <c r="P2081">
        <v>2026</v>
      </c>
    </row>
    <row r="2082" spans="1:16" x14ac:dyDescent="0.25">
      <c r="A2082" s="96" t="s">
        <v>2</v>
      </c>
      <c r="B2082" s="96" t="s">
        <v>274</v>
      </c>
      <c r="C2082" s="96" t="s">
        <v>2069</v>
      </c>
      <c r="D2082" s="96" t="s">
        <v>34</v>
      </c>
      <c r="E2082" s="43">
        <v>46039</v>
      </c>
      <c r="F2082" s="43">
        <v>46094</v>
      </c>
      <c r="G2082" s="96" t="s">
        <v>90</v>
      </c>
      <c r="H2082" s="96" t="s">
        <v>5668</v>
      </c>
      <c r="I2082" s="96" t="s">
        <v>157</v>
      </c>
      <c r="J2082" s="96" t="s">
        <v>165</v>
      </c>
      <c r="K2082" s="96" t="s">
        <v>230</v>
      </c>
      <c r="L2082">
        <v>55</v>
      </c>
      <c r="M2082" t="s">
        <v>24</v>
      </c>
      <c r="N2082" t="s">
        <v>29</v>
      </c>
      <c r="O2082" t="s">
        <v>170</v>
      </c>
      <c r="P2082">
        <v>2026</v>
      </c>
    </row>
    <row r="2083" spans="1:16" hidden="1" x14ac:dyDescent="0.25">
      <c r="A2083" s="96" t="s">
        <v>2</v>
      </c>
      <c r="B2083" s="96" t="s">
        <v>211</v>
      </c>
      <c r="C2083" s="96" t="s">
        <v>2070</v>
      </c>
      <c r="D2083" s="96" t="s">
        <v>40</v>
      </c>
      <c r="E2083" s="43">
        <v>45951</v>
      </c>
      <c r="F2083" s="43">
        <v>46013</v>
      </c>
      <c r="G2083" s="96" t="s">
        <v>95</v>
      </c>
      <c r="H2083" s="96" t="s">
        <v>5669</v>
      </c>
      <c r="I2083" s="96" t="s">
        <v>209</v>
      </c>
      <c r="J2083" s="96" t="s">
        <v>216</v>
      </c>
      <c r="K2083" s="96" t="s">
        <v>230</v>
      </c>
      <c r="L2083">
        <v>62</v>
      </c>
      <c r="M2083" t="s">
        <v>28</v>
      </c>
      <c r="N2083" t="s">
        <v>16</v>
      </c>
      <c r="O2083" t="s">
        <v>170</v>
      </c>
      <c r="P2083">
        <v>2025</v>
      </c>
    </row>
    <row r="2084" spans="1:16" hidden="1" x14ac:dyDescent="0.25">
      <c r="A2084" s="96" t="s">
        <v>2</v>
      </c>
      <c r="B2084" s="96" t="s">
        <v>190</v>
      </c>
      <c r="C2084" s="96" t="s">
        <v>2071</v>
      </c>
      <c r="D2084" s="96" t="s">
        <v>34</v>
      </c>
      <c r="E2084" s="43">
        <v>45733</v>
      </c>
      <c r="F2084" s="43">
        <v>45821</v>
      </c>
      <c r="G2084" s="96" t="s">
        <v>92</v>
      </c>
      <c r="H2084" s="96" t="s">
        <v>5670</v>
      </c>
      <c r="I2084" s="96" t="s">
        <v>209</v>
      </c>
      <c r="J2084" s="96" t="s">
        <v>165</v>
      </c>
      <c r="K2084" s="96" t="s">
        <v>246</v>
      </c>
      <c r="L2084">
        <v>88</v>
      </c>
      <c r="M2084" t="s">
        <v>28</v>
      </c>
      <c r="N2084" t="s">
        <v>186</v>
      </c>
      <c r="O2084" t="s">
        <v>150</v>
      </c>
      <c r="P2084">
        <v>2025</v>
      </c>
    </row>
    <row r="2085" spans="1:16" hidden="1" x14ac:dyDescent="0.25">
      <c r="A2085" s="96" t="s">
        <v>2</v>
      </c>
      <c r="B2085" s="96" t="s">
        <v>280</v>
      </c>
      <c r="C2085" s="96" t="s">
        <v>2073</v>
      </c>
      <c r="D2085" s="96" t="s">
        <v>237</v>
      </c>
      <c r="E2085" s="43">
        <v>45697</v>
      </c>
      <c r="F2085" s="43">
        <v>45788</v>
      </c>
      <c r="G2085" s="96" t="s">
        <v>90</v>
      </c>
      <c r="H2085" s="96" t="s">
        <v>5671</v>
      </c>
      <c r="I2085" s="96" t="s">
        <v>194</v>
      </c>
      <c r="J2085" s="96" t="s">
        <v>93</v>
      </c>
      <c r="K2085" s="96" t="s">
        <v>200</v>
      </c>
      <c r="L2085">
        <v>91</v>
      </c>
      <c r="M2085" t="s">
        <v>28</v>
      </c>
      <c r="N2085" t="s">
        <v>188</v>
      </c>
      <c r="O2085" t="s">
        <v>170</v>
      </c>
      <c r="P2085">
        <v>2025</v>
      </c>
    </row>
    <row r="2086" spans="1:16" x14ac:dyDescent="0.25">
      <c r="A2086" s="96" t="s">
        <v>2</v>
      </c>
      <c r="B2086" s="96" t="s">
        <v>261</v>
      </c>
      <c r="C2086" s="96" t="s">
        <v>5672</v>
      </c>
      <c r="D2086" s="96" t="s">
        <v>203</v>
      </c>
      <c r="E2086" s="43">
        <v>46078</v>
      </c>
      <c r="F2086" s="43">
        <v>46143</v>
      </c>
      <c r="G2086" s="96" t="s">
        <v>92</v>
      </c>
      <c r="H2086" s="96" t="s">
        <v>5673</v>
      </c>
      <c r="I2086" s="96" t="s">
        <v>228</v>
      </c>
      <c r="J2086" s="96" t="s">
        <v>94</v>
      </c>
      <c r="K2086" s="96" t="s">
        <v>246</v>
      </c>
      <c r="L2086">
        <v>65</v>
      </c>
      <c r="M2086" t="s">
        <v>28</v>
      </c>
      <c r="N2086" t="s">
        <v>32</v>
      </c>
      <c r="O2086" t="s">
        <v>151</v>
      </c>
      <c r="P2086">
        <v>2026</v>
      </c>
    </row>
    <row r="2087" spans="1:16" hidden="1" x14ac:dyDescent="0.25">
      <c r="A2087" s="96" t="s">
        <v>2</v>
      </c>
      <c r="B2087" s="96" t="s">
        <v>253</v>
      </c>
      <c r="C2087" s="96" t="s">
        <v>2074</v>
      </c>
      <c r="D2087" s="96" t="s">
        <v>192</v>
      </c>
      <c r="E2087" s="43">
        <v>45740</v>
      </c>
      <c r="F2087" s="43">
        <v>45746</v>
      </c>
      <c r="G2087" s="96" t="s">
        <v>92</v>
      </c>
      <c r="H2087" s="96" t="s">
        <v>5674</v>
      </c>
      <c r="I2087" s="96" t="s">
        <v>204</v>
      </c>
      <c r="J2087" s="96" t="s">
        <v>174</v>
      </c>
      <c r="K2087" s="96" t="s">
        <v>200</v>
      </c>
      <c r="L2087">
        <v>6</v>
      </c>
      <c r="M2087" t="s">
        <v>11</v>
      </c>
      <c r="N2087" t="s">
        <v>186</v>
      </c>
      <c r="O2087" t="s">
        <v>152</v>
      </c>
      <c r="P2087">
        <v>2025</v>
      </c>
    </row>
    <row r="2088" spans="1:16" hidden="1" x14ac:dyDescent="0.25">
      <c r="A2088" s="96" t="s">
        <v>2</v>
      </c>
      <c r="B2088" s="96" t="s">
        <v>221</v>
      </c>
      <c r="C2088" s="96" t="s">
        <v>2075</v>
      </c>
      <c r="D2088" s="96" t="s">
        <v>40</v>
      </c>
      <c r="E2088" s="43">
        <v>45867</v>
      </c>
      <c r="F2088" s="43">
        <v>45986</v>
      </c>
      <c r="G2088" s="96" t="s">
        <v>90</v>
      </c>
      <c r="H2088" s="96" t="s">
        <v>5675</v>
      </c>
      <c r="I2088" s="96" t="s">
        <v>9</v>
      </c>
      <c r="J2088" s="96" t="s">
        <v>98</v>
      </c>
      <c r="K2088" s="96" t="s">
        <v>157</v>
      </c>
      <c r="L2088">
        <v>119</v>
      </c>
      <c r="M2088" t="s">
        <v>28</v>
      </c>
      <c r="N2088" t="s">
        <v>187</v>
      </c>
      <c r="O2088" t="s">
        <v>170</v>
      </c>
      <c r="P2088">
        <v>2025</v>
      </c>
    </row>
    <row r="2089" spans="1:16" x14ac:dyDescent="0.25">
      <c r="A2089" s="96" t="s">
        <v>2</v>
      </c>
      <c r="B2089" s="96" t="s">
        <v>274</v>
      </c>
      <c r="C2089" s="96" t="s">
        <v>2076</v>
      </c>
      <c r="D2089" s="96" t="s">
        <v>14</v>
      </c>
      <c r="E2089" s="43">
        <v>46030</v>
      </c>
      <c r="F2089" s="43">
        <v>46094</v>
      </c>
      <c r="G2089" s="96" t="s">
        <v>90</v>
      </c>
      <c r="H2089" s="96" t="s">
        <v>5676</v>
      </c>
      <c r="I2089" s="96" t="s">
        <v>204</v>
      </c>
      <c r="J2089" s="96" t="s">
        <v>216</v>
      </c>
      <c r="K2089" s="96" t="s">
        <v>200</v>
      </c>
      <c r="L2089">
        <v>64</v>
      </c>
      <c r="M2089" t="s">
        <v>28</v>
      </c>
      <c r="N2089" t="s">
        <v>29</v>
      </c>
      <c r="O2089" t="s">
        <v>170</v>
      </c>
      <c r="P2089">
        <v>2026</v>
      </c>
    </row>
    <row r="2090" spans="1:16" hidden="1" x14ac:dyDescent="0.25">
      <c r="A2090" s="96" t="s">
        <v>2</v>
      </c>
      <c r="B2090" s="96" t="s">
        <v>221</v>
      </c>
      <c r="C2090" s="96" t="s">
        <v>5677</v>
      </c>
      <c r="D2090" s="96" t="s">
        <v>237</v>
      </c>
      <c r="E2090" s="43">
        <v>45975</v>
      </c>
      <c r="F2090" s="43">
        <v>46000</v>
      </c>
      <c r="G2090" s="96" t="s">
        <v>92</v>
      </c>
      <c r="H2090" s="96" t="s">
        <v>5678</v>
      </c>
      <c r="I2090" s="96" t="s">
        <v>209</v>
      </c>
      <c r="J2090" s="96" t="s">
        <v>173</v>
      </c>
      <c r="K2090" s="96" t="s">
        <v>195</v>
      </c>
      <c r="L2090">
        <v>25</v>
      </c>
      <c r="M2090" t="s">
        <v>19</v>
      </c>
      <c r="N2090" t="s">
        <v>20</v>
      </c>
      <c r="O2090" t="s">
        <v>170</v>
      </c>
      <c r="P2090">
        <v>2025</v>
      </c>
    </row>
    <row r="2091" spans="1:16" hidden="1" x14ac:dyDescent="0.25">
      <c r="A2091" s="96" t="s">
        <v>2</v>
      </c>
      <c r="B2091" s="96" t="s">
        <v>253</v>
      </c>
      <c r="C2091" s="96" t="s">
        <v>2077</v>
      </c>
      <c r="D2091" s="96" t="s">
        <v>14</v>
      </c>
      <c r="E2091" s="43">
        <v>45800</v>
      </c>
      <c r="F2091" s="43">
        <v>45906</v>
      </c>
      <c r="G2091" s="96" t="s">
        <v>92</v>
      </c>
      <c r="H2091" s="96" t="s">
        <v>5679</v>
      </c>
      <c r="I2091" s="96" t="s">
        <v>209</v>
      </c>
      <c r="J2091" s="96" t="s">
        <v>174</v>
      </c>
      <c r="K2091" s="96" t="s">
        <v>230</v>
      </c>
      <c r="L2091">
        <v>106</v>
      </c>
      <c r="M2091" t="s">
        <v>28</v>
      </c>
      <c r="N2091" t="s">
        <v>182</v>
      </c>
      <c r="O2091" t="s">
        <v>152</v>
      </c>
      <c r="P2091">
        <v>2025</v>
      </c>
    </row>
    <row r="2092" spans="1:16" x14ac:dyDescent="0.25">
      <c r="A2092" s="96" t="s">
        <v>2</v>
      </c>
      <c r="B2092" s="96" t="s">
        <v>249</v>
      </c>
      <c r="C2092" s="96" t="s">
        <v>2078</v>
      </c>
      <c r="D2092" s="96" t="s">
        <v>223</v>
      </c>
      <c r="E2092" s="43">
        <v>46073</v>
      </c>
      <c r="F2092" s="43">
        <v>46132</v>
      </c>
      <c r="G2092" s="96" t="s">
        <v>90</v>
      </c>
      <c r="H2092" s="96" t="s">
        <v>5680</v>
      </c>
      <c r="I2092" s="96" t="s">
        <v>209</v>
      </c>
      <c r="J2092" s="96" t="s">
        <v>174</v>
      </c>
      <c r="K2092" s="96" t="s">
        <v>205</v>
      </c>
      <c r="L2092">
        <v>59</v>
      </c>
      <c r="M2092" t="s">
        <v>24</v>
      </c>
      <c r="N2092" t="s">
        <v>32</v>
      </c>
      <c r="O2092" t="s">
        <v>170</v>
      </c>
      <c r="P2092">
        <v>2026</v>
      </c>
    </row>
    <row r="2093" spans="1:16" hidden="1" x14ac:dyDescent="0.25">
      <c r="A2093" s="96" t="s">
        <v>2</v>
      </c>
      <c r="B2093" s="96" t="s">
        <v>251</v>
      </c>
      <c r="C2093" s="96" t="s">
        <v>5681</v>
      </c>
      <c r="D2093" s="96" t="s">
        <v>208</v>
      </c>
      <c r="E2093" s="43">
        <v>45794</v>
      </c>
      <c r="F2093" s="43">
        <v>45831</v>
      </c>
      <c r="G2093" s="96" t="s">
        <v>90</v>
      </c>
      <c r="H2093" s="96" t="s">
        <v>5682</v>
      </c>
      <c r="I2093" s="96" t="s">
        <v>194</v>
      </c>
      <c r="J2093" s="96" t="s">
        <v>169</v>
      </c>
      <c r="K2093" s="96" t="s">
        <v>157</v>
      </c>
      <c r="L2093">
        <v>37</v>
      </c>
      <c r="M2093" t="s">
        <v>24</v>
      </c>
      <c r="N2093" t="s">
        <v>182</v>
      </c>
      <c r="O2093" t="s">
        <v>170</v>
      </c>
      <c r="P2093">
        <v>2025</v>
      </c>
    </row>
    <row r="2094" spans="1:16" hidden="1" x14ac:dyDescent="0.25">
      <c r="A2094" s="96" t="s">
        <v>171</v>
      </c>
      <c r="B2094" s="96" t="s">
        <v>190</v>
      </c>
      <c r="C2094" s="96" t="s">
        <v>2079</v>
      </c>
      <c r="D2094" s="96" t="s">
        <v>208</v>
      </c>
      <c r="E2094" s="43">
        <v>45958</v>
      </c>
      <c r="F2094" s="43">
        <v>46077</v>
      </c>
      <c r="G2094" s="96" t="s">
        <v>90</v>
      </c>
      <c r="H2094" s="96" t="s">
        <v>5683</v>
      </c>
      <c r="I2094" s="96" t="s">
        <v>157</v>
      </c>
      <c r="J2094" s="96" t="s">
        <v>173</v>
      </c>
      <c r="K2094" s="96" t="s">
        <v>195</v>
      </c>
      <c r="L2094">
        <v>119</v>
      </c>
      <c r="M2094" t="s">
        <v>28</v>
      </c>
      <c r="N2094" t="s">
        <v>16</v>
      </c>
      <c r="O2094" t="s">
        <v>150</v>
      </c>
      <c r="P2094">
        <v>2025</v>
      </c>
    </row>
    <row r="2095" spans="1:16" x14ac:dyDescent="0.25">
      <c r="A2095" s="96" t="s">
        <v>2</v>
      </c>
      <c r="B2095" s="96" t="s">
        <v>249</v>
      </c>
      <c r="C2095" s="96" t="s">
        <v>5684</v>
      </c>
      <c r="D2095" s="96" t="s">
        <v>40</v>
      </c>
      <c r="E2095" s="43">
        <v>46028</v>
      </c>
      <c r="F2095" s="43">
        <v>46127</v>
      </c>
      <c r="G2095" s="96" t="s">
        <v>95</v>
      </c>
      <c r="H2095" s="96" t="s">
        <v>5685</v>
      </c>
      <c r="I2095" s="96" t="s">
        <v>194</v>
      </c>
      <c r="J2095" s="96" t="s">
        <v>199</v>
      </c>
      <c r="K2095" s="96" t="s">
        <v>246</v>
      </c>
      <c r="L2095">
        <v>99</v>
      </c>
      <c r="M2095" t="s">
        <v>28</v>
      </c>
      <c r="N2095" t="s">
        <v>29</v>
      </c>
      <c r="O2095" t="s">
        <v>170</v>
      </c>
      <c r="P2095">
        <v>2026</v>
      </c>
    </row>
    <row r="2096" spans="1:16" hidden="1" x14ac:dyDescent="0.25">
      <c r="A2096" s="96" t="s">
        <v>2</v>
      </c>
      <c r="B2096" s="96" t="s">
        <v>213</v>
      </c>
      <c r="C2096" s="96" t="s">
        <v>2081</v>
      </c>
      <c r="D2096" s="96" t="s">
        <v>203</v>
      </c>
      <c r="E2096" s="43">
        <v>45909</v>
      </c>
      <c r="F2096" s="43">
        <v>45978</v>
      </c>
      <c r="G2096" s="96" t="s">
        <v>90</v>
      </c>
      <c r="H2096" s="96" t="s">
        <v>5686</v>
      </c>
      <c r="I2096" s="96" t="s">
        <v>194</v>
      </c>
      <c r="J2096" s="96" t="s">
        <v>283</v>
      </c>
      <c r="K2096" s="96" t="s">
        <v>246</v>
      </c>
      <c r="L2096">
        <v>69</v>
      </c>
      <c r="M2096" t="s">
        <v>28</v>
      </c>
      <c r="N2096" t="s">
        <v>12</v>
      </c>
      <c r="O2096" t="s">
        <v>149</v>
      </c>
      <c r="P2096">
        <v>2025</v>
      </c>
    </row>
    <row r="2097" spans="1:16" hidden="1" x14ac:dyDescent="0.25">
      <c r="A2097" s="96" t="s">
        <v>2</v>
      </c>
      <c r="B2097" s="96" t="s">
        <v>240</v>
      </c>
      <c r="C2097" s="96" t="s">
        <v>5687</v>
      </c>
      <c r="D2097" s="96" t="s">
        <v>215</v>
      </c>
      <c r="E2097" s="43">
        <v>45700</v>
      </c>
      <c r="F2097" s="43">
        <v>45715</v>
      </c>
      <c r="G2097" s="96" t="s">
        <v>92</v>
      </c>
      <c r="H2097" s="96" t="s">
        <v>5688</v>
      </c>
      <c r="I2097" s="96" t="s">
        <v>225</v>
      </c>
      <c r="J2097" s="96" t="s">
        <v>174</v>
      </c>
      <c r="K2097" s="96" t="s">
        <v>246</v>
      </c>
      <c r="L2097">
        <v>15</v>
      </c>
      <c r="M2097" t="s">
        <v>19</v>
      </c>
      <c r="N2097" t="s">
        <v>188</v>
      </c>
      <c r="O2097" t="s">
        <v>149</v>
      </c>
      <c r="P2097">
        <v>2025</v>
      </c>
    </row>
    <row r="2098" spans="1:16" x14ac:dyDescent="0.25">
      <c r="A2098" s="96" t="s">
        <v>2</v>
      </c>
      <c r="B2098" s="96" t="s">
        <v>374</v>
      </c>
      <c r="C2098" s="96" t="s">
        <v>5689</v>
      </c>
      <c r="D2098" s="96" t="s">
        <v>203</v>
      </c>
      <c r="E2098" s="43">
        <v>46096</v>
      </c>
      <c r="F2098" s="43">
        <v>46149</v>
      </c>
      <c r="G2098" s="96" t="s">
        <v>92</v>
      </c>
      <c r="H2098" s="96" t="s">
        <v>5690</v>
      </c>
      <c r="I2098" s="96" t="s">
        <v>228</v>
      </c>
      <c r="J2098" s="96" t="s">
        <v>216</v>
      </c>
      <c r="K2098" s="96" t="s">
        <v>230</v>
      </c>
      <c r="L2098">
        <v>53</v>
      </c>
      <c r="M2098" t="s">
        <v>24</v>
      </c>
      <c r="N2098" t="s">
        <v>35</v>
      </c>
      <c r="O2098" t="s">
        <v>150</v>
      </c>
      <c r="P2098">
        <v>2026</v>
      </c>
    </row>
    <row r="2099" spans="1:16" hidden="1" x14ac:dyDescent="0.25">
      <c r="A2099" s="96" t="s">
        <v>2</v>
      </c>
      <c r="B2099" s="96" t="s">
        <v>322</v>
      </c>
      <c r="C2099" s="96" t="s">
        <v>5691</v>
      </c>
      <c r="D2099" s="96" t="s">
        <v>208</v>
      </c>
      <c r="E2099" s="43">
        <v>46005</v>
      </c>
      <c r="F2099" s="43">
        <v>46013</v>
      </c>
      <c r="G2099" s="96" t="s">
        <v>95</v>
      </c>
      <c r="H2099" s="96" t="s">
        <v>5692</v>
      </c>
      <c r="I2099" s="96" t="s">
        <v>194</v>
      </c>
      <c r="J2099" s="96" t="s">
        <v>169</v>
      </c>
      <c r="K2099" s="96" t="s">
        <v>210</v>
      </c>
      <c r="L2099">
        <v>8</v>
      </c>
      <c r="M2099" t="s">
        <v>15</v>
      </c>
      <c r="N2099" t="s">
        <v>25</v>
      </c>
      <c r="O2099" t="s">
        <v>150</v>
      </c>
      <c r="P2099">
        <v>2025</v>
      </c>
    </row>
    <row r="2100" spans="1:16" hidden="1" x14ac:dyDescent="0.25">
      <c r="A2100" s="96" t="s">
        <v>2</v>
      </c>
      <c r="B2100" s="96" t="s">
        <v>190</v>
      </c>
      <c r="C2100" s="96" t="s">
        <v>2083</v>
      </c>
      <c r="D2100" s="96" t="s">
        <v>223</v>
      </c>
      <c r="E2100" s="43">
        <v>45805</v>
      </c>
      <c r="F2100" s="43">
        <v>45837</v>
      </c>
      <c r="G2100" s="96" t="s">
        <v>92</v>
      </c>
      <c r="H2100" s="96" t="s">
        <v>5693</v>
      </c>
      <c r="I2100" s="96" t="s">
        <v>9</v>
      </c>
      <c r="J2100" s="96" t="s">
        <v>169</v>
      </c>
      <c r="K2100" s="96" t="s">
        <v>233</v>
      </c>
      <c r="L2100">
        <v>32</v>
      </c>
      <c r="M2100" t="s">
        <v>24</v>
      </c>
      <c r="N2100" t="s">
        <v>182</v>
      </c>
      <c r="O2100" t="s">
        <v>150</v>
      </c>
      <c r="P2100">
        <v>2025</v>
      </c>
    </row>
    <row r="2101" spans="1:16" x14ac:dyDescent="0.25">
      <c r="A2101" s="96" t="s">
        <v>2</v>
      </c>
      <c r="B2101" s="96" t="s">
        <v>218</v>
      </c>
      <c r="C2101" s="96" t="s">
        <v>2084</v>
      </c>
      <c r="D2101" s="96" t="s">
        <v>215</v>
      </c>
      <c r="E2101" s="43">
        <v>46143</v>
      </c>
      <c r="F2101" s="43">
        <v>46151</v>
      </c>
      <c r="G2101" s="96" t="s">
        <v>92</v>
      </c>
      <c r="H2101" s="96" t="s">
        <v>5694</v>
      </c>
      <c r="I2101" s="96" t="s">
        <v>9</v>
      </c>
      <c r="J2101" s="96" t="s">
        <v>165</v>
      </c>
      <c r="K2101" s="96" t="s">
        <v>200</v>
      </c>
      <c r="L2101">
        <v>8</v>
      </c>
      <c r="M2101" t="s">
        <v>15</v>
      </c>
      <c r="N2101" t="s">
        <v>183</v>
      </c>
      <c r="O2101" t="s">
        <v>152</v>
      </c>
      <c r="P2101">
        <v>2026</v>
      </c>
    </row>
    <row r="2102" spans="1:16" hidden="1" x14ac:dyDescent="0.25">
      <c r="A2102" s="96" t="s">
        <v>2</v>
      </c>
      <c r="B2102" s="96" t="s">
        <v>255</v>
      </c>
      <c r="C2102" s="96" t="s">
        <v>5695</v>
      </c>
      <c r="D2102" s="96" t="s">
        <v>14</v>
      </c>
      <c r="E2102" s="43">
        <v>45845</v>
      </c>
      <c r="F2102" s="43">
        <v>45950</v>
      </c>
      <c r="G2102" s="96" t="s">
        <v>92</v>
      </c>
      <c r="H2102" s="96" t="s">
        <v>2012</v>
      </c>
      <c r="I2102" s="96" t="s">
        <v>157</v>
      </c>
      <c r="J2102" s="96" t="s">
        <v>283</v>
      </c>
      <c r="K2102" s="96" t="s">
        <v>233</v>
      </c>
      <c r="L2102">
        <v>105</v>
      </c>
      <c r="M2102" t="s">
        <v>28</v>
      </c>
      <c r="N2102" t="s">
        <v>187</v>
      </c>
      <c r="O2102" t="s">
        <v>150</v>
      </c>
      <c r="P2102">
        <v>2025</v>
      </c>
    </row>
    <row r="2103" spans="1:16" x14ac:dyDescent="0.25">
      <c r="A2103" s="96" t="s">
        <v>2</v>
      </c>
      <c r="B2103" s="96" t="s">
        <v>249</v>
      </c>
      <c r="C2103" s="96" t="s">
        <v>2085</v>
      </c>
      <c r="D2103" s="96" t="s">
        <v>203</v>
      </c>
      <c r="E2103" s="43">
        <v>46103</v>
      </c>
      <c r="F2103" s="43">
        <v>46147</v>
      </c>
      <c r="G2103" s="96" t="s">
        <v>92</v>
      </c>
      <c r="H2103" s="96" t="s">
        <v>2013</v>
      </c>
      <c r="I2103" s="96" t="s">
        <v>204</v>
      </c>
      <c r="J2103" s="96" t="s">
        <v>174</v>
      </c>
      <c r="K2103" s="96" t="s">
        <v>200</v>
      </c>
      <c r="L2103">
        <v>44</v>
      </c>
      <c r="M2103" t="s">
        <v>24</v>
      </c>
      <c r="N2103" t="s">
        <v>35</v>
      </c>
      <c r="O2103" t="s">
        <v>170</v>
      </c>
      <c r="P2103">
        <v>2026</v>
      </c>
    </row>
    <row r="2104" spans="1:16" x14ac:dyDescent="0.25">
      <c r="A2104" s="96" t="s">
        <v>2</v>
      </c>
      <c r="B2104" s="96" t="s">
        <v>234</v>
      </c>
      <c r="C2104" s="96" t="s">
        <v>2088</v>
      </c>
      <c r="D2104" s="96" t="s">
        <v>223</v>
      </c>
      <c r="E2104" s="43">
        <v>46102</v>
      </c>
      <c r="F2104" s="43">
        <v>46107</v>
      </c>
      <c r="G2104" s="96" t="s">
        <v>92</v>
      </c>
      <c r="H2104" s="96" t="s">
        <v>5696</v>
      </c>
      <c r="I2104" s="96" t="s">
        <v>228</v>
      </c>
      <c r="J2104" s="96" t="s">
        <v>177</v>
      </c>
      <c r="K2104" s="96" t="s">
        <v>205</v>
      </c>
      <c r="L2104">
        <v>5</v>
      </c>
      <c r="M2104" t="s">
        <v>11</v>
      </c>
      <c r="N2104" t="s">
        <v>35</v>
      </c>
      <c r="O2104" t="s">
        <v>150</v>
      </c>
      <c r="P2104">
        <v>2026</v>
      </c>
    </row>
    <row r="2105" spans="1:16" x14ac:dyDescent="0.25">
      <c r="A2105" s="96" t="s">
        <v>2</v>
      </c>
      <c r="B2105" s="96" t="s">
        <v>374</v>
      </c>
      <c r="C2105" s="96" t="s">
        <v>2089</v>
      </c>
      <c r="D2105" s="96" t="s">
        <v>10</v>
      </c>
      <c r="E2105" s="43">
        <v>46108</v>
      </c>
      <c r="F2105" s="43">
        <v>46146</v>
      </c>
      <c r="G2105" s="96" t="s">
        <v>95</v>
      </c>
      <c r="H2105" s="96" t="s">
        <v>5697</v>
      </c>
      <c r="I2105" s="96" t="s">
        <v>157</v>
      </c>
      <c r="J2105" s="96" t="s">
        <v>216</v>
      </c>
      <c r="K2105" s="96" t="s">
        <v>157</v>
      </c>
      <c r="L2105">
        <v>38</v>
      </c>
      <c r="M2105" t="s">
        <v>24</v>
      </c>
      <c r="N2105" t="s">
        <v>35</v>
      </c>
      <c r="O2105" t="s">
        <v>150</v>
      </c>
      <c r="P2105">
        <v>2026</v>
      </c>
    </row>
    <row r="2106" spans="1:16" hidden="1" x14ac:dyDescent="0.25">
      <c r="A2106" s="96" t="s">
        <v>2</v>
      </c>
      <c r="B2106" s="96" t="s">
        <v>264</v>
      </c>
      <c r="C2106" s="96" t="s">
        <v>5698</v>
      </c>
      <c r="D2106" s="96" t="s">
        <v>10</v>
      </c>
      <c r="E2106" s="43">
        <v>45905</v>
      </c>
      <c r="F2106" s="43">
        <v>45938</v>
      </c>
      <c r="G2106" s="96" t="s">
        <v>92</v>
      </c>
      <c r="H2106" s="96" t="s">
        <v>5699</v>
      </c>
      <c r="I2106" s="96" t="s">
        <v>204</v>
      </c>
      <c r="J2106" s="96" t="s">
        <v>283</v>
      </c>
      <c r="K2106" s="96" t="s">
        <v>230</v>
      </c>
      <c r="L2106">
        <v>33</v>
      </c>
      <c r="M2106" t="s">
        <v>24</v>
      </c>
      <c r="N2106" t="s">
        <v>12</v>
      </c>
      <c r="O2106" t="s">
        <v>152</v>
      </c>
      <c r="P2106">
        <v>2025</v>
      </c>
    </row>
    <row r="2107" spans="1:16" x14ac:dyDescent="0.25">
      <c r="A2107" s="96" t="s">
        <v>2</v>
      </c>
      <c r="B2107" s="96" t="s">
        <v>201</v>
      </c>
      <c r="C2107" s="96" t="s">
        <v>5700</v>
      </c>
      <c r="D2107" s="96" t="s">
        <v>40</v>
      </c>
      <c r="E2107" s="43">
        <v>46035</v>
      </c>
      <c r="F2107" s="43">
        <v>46091</v>
      </c>
      <c r="G2107" s="96" t="s">
        <v>90</v>
      </c>
      <c r="H2107" s="96" t="s">
        <v>5701</v>
      </c>
      <c r="I2107" s="96" t="s">
        <v>228</v>
      </c>
      <c r="J2107" s="96" t="s">
        <v>283</v>
      </c>
      <c r="K2107" s="96" t="s">
        <v>210</v>
      </c>
      <c r="L2107">
        <v>56</v>
      </c>
      <c r="M2107" t="s">
        <v>24</v>
      </c>
      <c r="N2107" t="s">
        <v>29</v>
      </c>
      <c r="O2107" t="s">
        <v>170</v>
      </c>
      <c r="P2107">
        <v>2026</v>
      </c>
    </row>
    <row r="2108" spans="1:16" x14ac:dyDescent="0.25">
      <c r="A2108" s="96" t="s">
        <v>2</v>
      </c>
      <c r="B2108" s="96" t="s">
        <v>302</v>
      </c>
      <c r="C2108" s="96" t="s">
        <v>2091</v>
      </c>
      <c r="D2108" s="96" t="s">
        <v>40</v>
      </c>
      <c r="E2108" s="43">
        <v>46140</v>
      </c>
      <c r="F2108" s="43">
        <v>46149</v>
      </c>
      <c r="G2108" s="96" t="s">
        <v>92</v>
      </c>
      <c r="H2108" s="96" t="s">
        <v>5702</v>
      </c>
      <c r="I2108" s="96" t="s">
        <v>209</v>
      </c>
      <c r="J2108" s="96" t="s">
        <v>176</v>
      </c>
      <c r="K2108" s="96" t="s">
        <v>195</v>
      </c>
      <c r="L2108">
        <v>9</v>
      </c>
      <c r="M2108" t="s">
        <v>15</v>
      </c>
      <c r="N2108" t="s">
        <v>37</v>
      </c>
      <c r="O2108" t="s">
        <v>150</v>
      </c>
      <c r="P2108">
        <v>2026</v>
      </c>
    </row>
    <row r="2109" spans="1:16" hidden="1" x14ac:dyDescent="0.25">
      <c r="A2109" s="96" t="s">
        <v>2</v>
      </c>
      <c r="B2109" s="96" t="s">
        <v>213</v>
      </c>
      <c r="C2109" s="96" t="s">
        <v>2093</v>
      </c>
      <c r="D2109" s="96" t="s">
        <v>223</v>
      </c>
      <c r="E2109" s="43">
        <v>45729</v>
      </c>
      <c r="F2109" s="43">
        <v>45745</v>
      </c>
      <c r="G2109" s="96" t="s">
        <v>92</v>
      </c>
      <c r="H2109" s="96" t="s">
        <v>5703</v>
      </c>
      <c r="I2109" s="96" t="s">
        <v>209</v>
      </c>
      <c r="J2109" s="96" t="s">
        <v>91</v>
      </c>
      <c r="K2109" s="96" t="s">
        <v>217</v>
      </c>
      <c r="L2109">
        <v>16</v>
      </c>
      <c r="M2109" t="s">
        <v>19</v>
      </c>
      <c r="N2109" t="s">
        <v>186</v>
      </c>
      <c r="O2109" t="s">
        <v>149</v>
      </c>
      <c r="P2109">
        <v>2025</v>
      </c>
    </row>
    <row r="2110" spans="1:16" x14ac:dyDescent="0.25">
      <c r="A2110" s="96" t="s">
        <v>2</v>
      </c>
      <c r="B2110" s="96" t="s">
        <v>261</v>
      </c>
      <c r="C2110" s="96" t="s">
        <v>2095</v>
      </c>
      <c r="D2110" s="96" t="s">
        <v>34</v>
      </c>
      <c r="E2110" s="43">
        <v>46115</v>
      </c>
      <c r="F2110" s="43">
        <v>46151</v>
      </c>
      <c r="G2110" s="96" t="s">
        <v>90</v>
      </c>
      <c r="H2110" s="96" t="s">
        <v>5704</v>
      </c>
      <c r="I2110" s="96" t="s">
        <v>204</v>
      </c>
      <c r="J2110" s="96" t="s">
        <v>177</v>
      </c>
      <c r="K2110" s="96" t="s">
        <v>205</v>
      </c>
      <c r="L2110">
        <v>36</v>
      </c>
      <c r="M2110" t="s">
        <v>24</v>
      </c>
      <c r="N2110" t="s">
        <v>37</v>
      </c>
      <c r="O2110" t="s">
        <v>151</v>
      </c>
      <c r="P2110">
        <v>2026</v>
      </c>
    </row>
    <row r="2111" spans="1:16" hidden="1" x14ac:dyDescent="0.25">
      <c r="A2111" s="96" t="s">
        <v>2</v>
      </c>
      <c r="B2111" s="96" t="s">
        <v>238</v>
      </c>
      <c r="C2111" s="96" t="s">
        <v>5705</v>
      </c>
      <c r="D2111" s="96" t="s">
        <v>40</v>
      </c>
      <c r="E2111" s="43">
        <v>46012</v>
      </c>
      <c r="F2111" s="43">
        <v>46112</v>
      </c>
      <c r="G2111" s="96" t="s">
        <v>90</v>
      </c>
      <c r="H2111" s="96" t="s">
        <v>2020</v>
      </c>
      <c r="I2111" s="96" t="s">
        <v>204</v>
      </c>
      <c r="J2111" s="96" t="s">
        <v>173</v>
      </c>
      <c r="K2111" s="96" t="s">
        <v>246</v>
      </c>
      <c r="L2111">
        <v>100</v>
      </c>
      <c r="M2111" t="s">
        <v>28</v>
      </c>
      <c r="N2111" t="s">
        <v>25</v>
      </c>
      <c r="O2111" t="s">
        <v>170</v>
      </c>
      <c r="P2111">
        <v>2025</v>
      </c>
    </row>
    <row r="2112" spans="1:16" hidden="1" x14ac:dyDescent="0.25">
      <c r="A2112" s="96" t="s">
        <v>2</v>
      </c>
      <c r="B2112" s="96" t="s">
        <v>247</v>
      </c>
      <c r="C2112" s="96" t="s">
        <v>5706</v>
      </c>
      <c r="D2112" s="96" t="s">
        <v>192</v>
      </c>
      <c r="E2112" s="43">
        <v>45841</v>
      </c>
      <c r="F2112" s="43">
        <v>45861</v>
      </c>
      <c r="G2112" s="96" t="s">
        <v>90</v>
      </c>
      <c r="H2112" s="96" t="s">
        <v>2022</v>
      </c>
      <c r="I2112" s="96" t="s">
        <v>194</v>
      </c>
      <c r="J2112" s="96" t="s">
        <v>168</v>
      </c>
      <c r="K2112" s="96" t="s">
        <v>200</v>
      </c>
      <c r="L2112">
        <v>20</v>
      </c>
      <c r="M2112" t="s">
        <v>19</v>
      </c>
      <c r="N2112" t="s">
        <v>187</v>
      </c>
      <c r="O2112" t="s">
        <v>150</v>
      </c>
      <c r="P2112">
        <v>2025</v>
      </c>
    </row>
    <row r="2113" spans="1:16" x14ac:dyDescent="0.25">
      <c r="A2113" s="96" t="s">
        <v>2</v>
      </c>
      <c r="B2113" s="96" t="s">
        <v>269</v>
      </c>
      <c r="C2113" s="96" t="s">
        <v>5707</v>
      </c>
      <c r="D2113" s="96" t="s">
        <v>14</v>
      </c>
      <c r="E2113" s="43">
        <v>46101</v>
      </c>
      <c r="F2113" s="43">
        <v>46146</v>
      </c>
      <c r="G2113" s="96" t="s">
        <v>90</v>
      </c>
      <c r="H2113" s="96" t="s">
        <v>2024</v>
      </c>
      <c r="I2113" s="96" t="s">
        <v>225</v>
      </c>
      <c r="J2113" s="96" t="s">
        <v>93</v>
      </c>
      <c r="K2113" s="96" t="s">
        <v>205</v>
      </c>
      <c r="L2113">
        <v>45</v>
      </c>
      <c r="M2113" t="s">
        <v>24</v>
      </c>
      <c r="N2113" t="s">
        <v>35</v>
      </c>
      <c r="O2113" t="s">
        <v>152</v>
      </c>
      <c r="P2113">
        <v>2026</v>
      </c>
    </row>
    <row r="2114" spans="1:16" hidden="1" x14ac:dyDescent="0.25">
      <c r="A2114" s="96" t="s">
        <v>2</v>
      </c>
      <c r="B2114" s="96" t="s">
        <v>253</v>
      </c>
      <c r="C2114" s="96" t="s">
        <v>5708</v>
      </c>
      <c r="D2114" s="96" t="s">
        <v>14</v>
      </c>
      <c r="E2114" s="43">
        <v>45910</v>
      </c>
      <c r="F2114" s="43">
        <v>46001</v>
      </c>
      <c r="G2114" s="96" t="s">
        <v>90</v>
      </c>
      <c r="H2114" s="96" t="s">
        <v>2026</v>
      </c>
      <c r="I2114" s="96" t="s">
        <v>228</v>
      </c>
      <c r="J2114" s="96" t="s">
        <v>94</v>
      </c>
      <c r="K2114" s="96" t="s">
        <v>210</v>
      </c>
      <c r="L2114">
        <v>91</v>
      </c>
      <c r="M2114" t="s">
        <v>28</v>
      </c>
      <c r="N2114" t="s">
        <v>12</v>
      </c>
      <c r="O2114" t="s">
        <v>152</v>
      </c>
      <c r="P2114">
        <v>2025</v>
      </c>
    </row>
    <row r="2115" spans="1:16" x14ac:dyDescent="0.25">
      <c r="A2115" s="96" t="s">
        <v>2</v>
      </c>
      <c r="B2115" s="96" t="s">
        <v>234</v>
      </c>
      <c r="C2115" s="96" t="s">
        <v>5709</v>
      </c>
      <c r="D2115" s="96" t="s">
        <v>208</v>
      </c>
      <c r="E2115" s="43">
        <v>46094</v>
      </c>
      <c r="F2115" s="43">
        <v>46151</v>
      </c>
      <c r="G2115" s="96" t="s">
        <v>92</v>
      </c>
      <c r="H2115" s="96" t="s">
        <v>5710</v>
      </c>
      <c r="I2115" s="96" t="s">
        <v>194</v>
      </c>
      <c r="J2115" s="96" t="s">
        <v>199</v>
      </c>
      <c r="K2115" s="96" t="s">
        <v>246</v>
      </c>
      <c r="L2115">
        <v>57</v>
      </c>
      <c r="M2115" t="s">
        <v>24</v>
      </c>
      <c r="N2115" t="s">
        <v>35</v>
      </c>
      <c r="O2115" t="s">
        <v>150</v>
      </c>
      <c r="P2115">
        <v>2026</v>
      </c>
    </row>
    <row r="2116" spans="1:16" hidden="1" x14ac:dyDescent="0.25">
      <c r="A2116" s="96" t="s">
        <v>171</v>
      </c>
      <c r="B2116" s="96" t="s">
        <v>213</v>
      </c>
      <c r="C2116" s="96" t="s">
        <v>5711</v>
      </c>
      <c r="D2116" s="96" t="s">
        <v>223</v>
      </c>
      <c r="E2116" s="43">
        <v>45796</v>
      </c>
      <c r="F2116" s="43">
        <v>45887</v>
      </c>
      <c r="G2116" s="96" t="s">
        <v>92</v>
      </c>
      <c r="H2116" s="96" t="s">
        <v>5712</v>
      </c>
      <c r="I2116" s="96" t="s">
        <v>9</v>
      </c>
      <c r="J2116" s="96" t="s">
        <v>165</v>
      </c>
      <c r="K2116" s="96" t="s">
        <v>210</v>
      </c>
      <c r="L2116">
        <v>91</v>
      </c>
      <c r="M2116" t="s">
        <v>28</v>
      </c>
      <c r="N2116" t="s">
        <v>182</v>
      </c>
      <c r="O2116" t="s">
        <v>149</v>
      </c>
      <c r="P2116">
        <v>2025</v>
      </c>
    </row>
    <row r="2117" spans="1:16" hidden="1" x14ac:dyDescent="0.25">
      <c r="A2117" s="96" t="s">
        <v>171</v>
      </c>
      <c r="B2117" s="96" t="s">
        <v>240</v>
      </c>
      <c r="C2117" s="96" t="s">
        <v>2097</v>
      </c>
      <c r="D2117" s="96" t="s">
        <v>203</v>
      </c>
      <c r="E2117" s="43">
        <v>45776</v>
      </c>
      <c r="F2117" s="43">
        <v>45841</v>
      </c>
      <c r="G2117" s="96" t="s">
        <v>92</v>
      </c>
      <c r="H2117" s="96" t="s">
        <v>5713</v>
      </c>
      <c r="I2117" s="96" t="s">
        <v>209</v>
      </c>
      <c r="J2117" s="96" t="s">
        <v>229</v>
      </c>
      <c r="K2117" s="96" t="s">
        <v>195</v>
      </c>
      <c r="L2117">
        <v>65</v>
      </c>
      <c r="M2117" t="s">
        <v>28</v>
      </c>
      <c r="N2117" t="s">
        <v>185</v>
      </c>
      <c r="O2117" t="s">
        <v>149</v>
      </c>
      <c r="P2117">
        <v>2025</v>
      </c>
    </row>
    <row r="2118" spans="1:16" hidden="1" x14ac:dyDescent="0.25">
      <c r="A2118" s="96" t="s">
        <v>2</v>
      </c>
      <c r="B2118" s="96" t="s">
        <v>253</v>
      </c>
      <c r="C2118" s="96" t="s">
        <v>5714</v>
      </c>
      <c r="D2118" s="96" t="s">
        <v>208</v>
      </c>
      <c r="E2118" s="43">
        <v>45990</v>
      </c>
      <c r="F2118" s="43">
        <v>46028</v>
      </c>
      <c r="G2118" s="96" t="s">
        <v>90</v>
      </c>
      <c r="H2118" s="96" t="s">
        <v>2030</v>
      </c>
      <c r="I2118" s="96" t="s">
        <v>157</v>
      </c>
      <c r="J2118" s="96" t="s">
        <v>283</v>
      </c>
      <c r="K2118" s="96" t="s">
        <v>246</v>
      </c>
      <c r="L2118">
        <v>38</v>
      </c>
      <c r="M2118" t="s">
        <v>24</v>
      </c>
      <c r="N2118" t="s">
        <v>20</v>
      </c>
      <c r="O2118" t="s">
        <v>152</v>
      </c>
      <c r="P2118">
        <v>2025</v>
      </c>
    </row>
    <row r="2119" spans="1:16" hidden="1" x14ac:dyDescent="0.25">
      <c r="A2119" s="96" t="s">
        <v>2</v>
      </c>
      <c r="B2119" s="96" t="s">
        <v>190</v>
      </c>
      <c r="C2119" s="96" t="s">
        <v>2098</v>
      </c>
      <c r="D2119" s="96" t="s">
        <v>215</v>
      </c>
      <c r="E2119" s="43">
        <v>45797</v>
      </c>
      <c r="F2119" s="43">
        <v>45821</v>
      </c>
      <c r="G2119" s="96" t="s">
        <v>92</v>
      </c>
      <c r="H2119" s="96" t="s">
        <v>2031</v>
      </c>
      <c r="I2119" s="96" t="s">
        <v>209</v>
      </c>
      <c r="J2119" s="96" t="s">
        <v>173</v>
      </c>
      <c r="K2119" s="96" t="s">
        <v>246</v>
      </c>
      <c r="L2119">
        <v>24</v>
      </c>
      <c r="M2119" t="s">
        <v>19</v>
      </c>
      <c r="N2119" t="s">
        <v>182</v>
      </c>
      <c r="O2119" t="s">
        <v>150</v>
      </c>
      <c r="P2119">
        <v>2025</v>
      </c>
    </row>
    <row r="2120" spans="1:16" hidden="1" x14ac:dyDescent="0.25">
      <c r="A2120" s="96" t="s">
        <v>2</v>
      </c>
      <c r="B2120" s="96" t="s">
        <v>257</v>
      </c>
      <c r="C2120" s="96" t="s">
        <v>2099</v>
      </c>
      <c r="D2120" s="96" t="s">
        <v>10</v>
      </c>
      <c r="E2120" s="43">
        <v>45768</v>
      </c>
      <c r="F2120" s="43">
        <v>45846</v>
      </c>
      <c r="G2120" s="96" t="s">
        <v>95</v>
      </c>
      <c r="H2120" s="96" t="s">
        <v>2033</v>
      </c>
      <c r="I2120" s="96" t="s">
        <v>225</v>
      </c>
      <c r="J2120" s="96" t="s">
        <v>176</v>
      </c>
      <c r="K2120" s="96" t="s">
        <v>195</v>
      </c>
      <c r="L2120">
        <v>78</v>
      </c>
      <c r="M2120" t="s">
        <v>28</v>
      </c>
      <c r="N2120" t="s">
        <v>185</v>
      </c>
      <c r="O2120" t="s">
        <v>151</v>
      </c>
      <c r="P2120">
        <v>2025</v>
      </c>
    </row>
    <row r="2121" spans="1:16" hidden="1" x14ac:dyDescent="0.25">
      <c r="A2121" s="96" t="s">
        <v>21</v>
      </c>
      <c r="B2121" s="96" t="s">
        <v>206</v>
      </c>
      <c r="C2121" s="96" t="s">
        <v>5715</v>
      </c>
      <c r="D2121" s="96" t="s">
        <v>237</v>
      </c>
      <c r="E2121" s="43">
        <v>45742</v>
      </c>
      <c r="F2121" s="43">
        <v>45751</v>
      </c>
      <c r="G2121" s="96" t="s">
        <v>90</v>
      </c>
      <c r="H2121" s="96" t="s">
        <v>5716</v>
      </c>
      <c r="I2121" s="96" t="s">
        <v>228</v>
      </c>
      <c r="J2121" s="96" t="s">
        <v>176</v>
      </c>
      <c r="K2121" s="96" t="s">
        <v>200</v>
      </c>
      <c r="L2121">
        <v>9</v>
      </c>
      <c r="M2121" t="s">
        <v>15</v>
      </c>
      <c r="N2121" t="s">
        <v>186</v>
      </c>
      <c r="O2121" t="s">
        <v>152</v>
      </c>
      <c r="P2121">
        <v>2025</v>
      </c>
    </row>
    <row r="2122" spans="1:16" hidden="1" x14ac:dyDescent="0.25">
      <c r="A2122" s="96" t="s">
        <v>171</v>
      </c>
      <c r="B2122" s="96" t="s">
        <v>247</v>
      </c>
      <c r="C2122" s="96" t="s">
        <v>2100</v>
      </c>
      <c r="D2122" s="96" t="s">
        <v>40</v>
      </c>
      <c r="E2122" s="43">
        <v>45774</v>
      </c>
      <c r="F2122" s="43">
        <v>45788</v>
      </c>
      <c r="G2122" s="96" t="s">
        <v>90</v>
      </c>
      <c r="H2122" s="96" t="s">
        <v>5717</v>
      </c>
      <c r="I2122" s="96" t="s">
        <v>228</v>
      </c>
      <c r="J2122" s="96" t="s">
        <v>174</v>
      </c>
      <c r="K2122" s="96" t="s">
        <v>195</v>
      </c>
      <c r="L2122">
        <v>14</v>
      </c>
      <c r="M2122" t="s">
        <v>15</v>
      </c>
      <c r="N2122" t="s">
        <v>185</v>
      </c>
      <c r="O2122" t="s">
        <v>150</v>
      </c>
      <c r="P2122">
        <v>2025</v>
      </c>
    </row>
    <row r="2123" spans="1:16" x14ac:dyDescent="0.25">
      <c r="A2123" s="96" t="s">
        <v>2</v>
      </c>
      <c r="B2123" s="96" t="s">
        <v>261</v>
      </c>
      <c r="C2123" s="96" t="s">
        <v>2101</v>
      </c>
      <c r="D2123" s="96" t="s">
        <v>203</v>
      </c>
      <c r="E2123" s="43">
        <v>46063</v>
      </c>
      <c r="F2123" s="43">
        <v>46151</v>
      </c>
      <c r="G2123" s="96" t="s">
        <v>90</v>
      </c>
      <c r="H2123" s="96" t="s">
        <v>5718</v>
      </c>
      <c r="I2123" s="96" t="s">
        <v>225</v>
      </c>
      <c r="J2123" s="96" t="s">
        <v>283</v>
      </c>
      <c r="K2123" s="96" t="s">
        <v>157</v>
      </c>
      <c r="L2123">
        <v>88</v>
      </c>
      <c r="M2123" t="s">
        <v>28</v>
      </c>
      <c r="N2123" t="s">
        <v>32</v>
      </c>
      <c r="O2123" t="s">
        <v>151</v>
      </c>
      <c r="P2123">
        <v>2026</v>
      </c>
    </row>
    <row r="2124" spans="1:16" hidden="1" x14ac:dyDescent="0.25">
      <c r="A2124" s="96" t="s">
        <v>2</v>
      </c>
      <c r="B2124" s="96" t="s">
        <v>251</v>
      </c>
      <c r="C2124" s="96" t="s">
        <v>5719</v>
      </c>
      <c r="D2124" s="96" t="s">
        <v>14</v>
      </c>
      <c r="E2124" s="43">
        <v>45658</v>
      </c>
      <c r="F2124" s="43">
        <v>45736</v>
      </c>
      <c r="G2124" s="96" t="s">
        <v>92</v>
      </c>
      <c r="H2124" s="96" t="s">
        <v>5720</v>
      </c>
      <c r="I2124" s="96" t="s">
        <v>157</v>
      </c>
      <c r="J2124" s="96" t="s">
        <v>229</v>
      </c>
      <c r="K2124" s="96" t="s">
        <v>233</v>
      </c>
      <c r="L2124">
        <v>78</v>
      </c>
      <c r="M2124" t="s">
        <v>28</v>
      </c>
      <c r="N2124" t="s">
        <v>181</v>
      </c>
      <c r="O2124" t="s">
        <v>170</v>
      </c>
      <c r="P2124">
        <v>2025</v>
      </c>
    </row>
    <row r="2125" spans="1:16" hidden="1" x14ac:dyDescent="0.25">
      <c r="A2125" s="96" t="s">
        <v>2</v>
      </c>
      <c r="B2125" s="96" t="s">
        <v>190</v>
      </c>
      <c r="C2125" s="96" t="s">
        <v>5721</v>
      </c>
      <c r="D2125" s="96" t="s">
        <v>10</v>
      </c>
      <c r="E2125" s="43">
        <v>45800</v>
      </c>
      <c r="F2125" s="43">
        <v>45845</v>
      </c>
      <c r="G2125" s="96" t="s">
        <v>90</v>
      </c>
      <c r="H2125" s="96" t="s">
        <v>5722</v>
      </c>
      <c r="I2125" s="96" t="s">
        <v>225</v>
      </c>
      <c r="J2125" s="96" t="s">
        <v>94</v>
      </c>
      <c r="K2125" s="96" t="s">
        <v>205</v>
      </c>
      <c r="L2125">
        <v>45</v>
      </c>
      <c r="M2125" t="s">
        <v>24</v>
      </c>
      <c r="N2125" t="s">
        <v>182</v>
      </c>
      <c r="O2125" t="s">
        <v>150</v>
      </c>
      <c r="P2125">
        <v>2025</v>
      </c>
    </row>
    <row r="2126" spans="1:16" hidden="1" x14ac:dyDescent="0.25">
      <c r="A2126" s="96" t="s">
        <v>2</v>
      </c>
      <c r="B2126" s="96" t="s">
        <v>253</v>
      </c>
      <c r="C2126" s="96" t="s">
        <v>2102</v>
      </c>
      <c r="D2126" s="96" t="s">
        <v>192</v>
      </c>
      <c r="E2126" s="43">
        <v>45906</v>
      </c>
      <c r="F2126" s="43">
        <v>45948</v>
      </c>
      <c r="G2126" s="96" t="s">
        <v>95</v>
      </c>
      <c r="H2126" s="96" t="s">
        <v>5723</v>
      </c>
      <c r="I2126" s="96" t="s">
        <v>157</v>
      </c>
      <c r="J2126" s="96" t="s">
        <v>199</v>
      </c>
      <c r="K2126" s="96" t="s">
        <v>230</v>
      </c>
      <c r="L2126">
        <v>42</v>
      </c>
      <c r="M2126" t="s">
        <v>24</v>
      </c>
      <c r="N2126" t="s">
        <v>12</v>
      </c>
      <c r="O2126" t="s">
        <v>152</v>
      </c>
      <c r="P2126">
        <v>2025</v>
      </c>
    </row>
    <row r="2127" spans="1:16" hidden="1" x14ac:dyDescent="0.25">
      <c r="A2127" s="96" t="s">
        <v>21</v>
      </c>
      <c r="B2127" s="96" t="s">
        <v>257</v>
      </c>
      <c r="C2127" s="96" t="s">
        <v>5724</v>
      </c>
      <c r="D2127" s="96" t="s">
        <v>237</v>
      </c>
      <c r="E2127" s="43">
        <v>45809</v>
      </c>
      <c r="F2127" s="43">
        <v>45889</v>
      </c>
      <c r="G2127" s="96" t="s">
        <v>92</v>
      </c>
      <c r="H2127" s="96" t="s">
        <v>5725</v>
      </c>
      <c r="I2127" s="96" t="s">
        <v>225</v>
      </c>
      <c r="J2127" s="96" t="s">
        <v>93</v>
      </c>
      <c r="K2127" s="96" t="s">
        <v>210</v>
      </c>
      <c r="L2127">
        <v>80</v>
      </c>
      <c r="M2127" t="s">
        <v>28</v>
      </c>
      <c r="N2127" t="s">
        <v>184</v>
      </c>
      <c r="O2127" t="s">
        <v>151</v>
      </c>
      <c r="P2127">
        <v>2025</v>
      </c>
    </row>
    <row r="2128" spans="1:16" hidden="1" x14ac:dyDescent="0.25">
      <c r="A2128" s="96" t="s">
        <v>2</v>
      </c>
      <c r="B2128" s="96" t="s">
        <v>221</v>
      </c>
      <c r="C2128" s="96" t="s">
        <v>5726</v>
      </c>
      <c r="D2128" s="96" t="s">
        <v>215</v>
      </c>
      <c r="E2128" s="43">
        <v>45831</v>
      </c>
      <c r="F2128" s="43">
        <v>45845</v>
      </c>
      <c r="G2128" s="96" t="s">
        <v>90</v>
      </c>
      <c r="H2128" s="96" t="s">
        <v>5727</v>
      </c>
      <c r="I2128" s="96" t="s">
        <v>209</v>
      </c>
      <c r="J2128" s="96" t="s">
        <v>98</v>
      </c>
      <c r="K2128" s="96" t="s">
        <v>230</v>
      </c>
      <c r="L2128">
        <v>14</v>
      </c>
      <c r="M2128" t="s">
        <v>15</v>
      </c>
      <c r="N2128" t="s">
        <v>184</v>
      </c>
      <c r="O2128" t="s">
        <v>170</v>
      </c>
      <c r="P2128">
        <v>2025</v>
      </c>
    </row>
    <row r="2129" spans="1:16" x14ac:dyDescent="0.25">
      <c r="A2129" s="96" t="s">
        <v>2</v>
      </c>
      <c r="B2129" s="96" t="s">
        <v>196</v>
      </c>
      <c r="C2129" s="96" t="s">
        <v>2103</v>
      </c>
      <c r="D2129" s="96" t="s">
        <v>215</v>
      </c>
      <c r="E2129" s="43">
        <v>46105</v>
      </c>
      <c r="F2129" s="43">
        <v>46151</v>
      </c>
      <c r="G2129" s="96" t="s">
        <v>92</v>
      </c>
      <c r="H2129" s="96" t="s">
        <v>5728</v>
      </c>
      <c r="I2129" s="96" t="s">
        <v>204</v>
      </c>
      <c r="J2129" s="96" t="s">
        <v>91</v>
      </c>
      <c r="K2129" s="96" t="s">
        <v>230</v>
      </c>
      <c r="L2129">
        <v>46</v>
      </c>
      <c r="M2129" t="s">
        <v>24</v>
      </c>
      <c r="N2129" t="s">
        <v>35</v>
      </c>
      <c r="O2129" t="s">
        <v>152</v>
      </c>
      <c r="P2129">
        <v>2026</v>
      </c>
    </row>
    <row r="2130" spans="1:16" hidden="1" x14ac:dyDescent="0.25">
      <c r="A2130" s="96" t="s">
        <v>2</v>
      </c>
      <c r="B2130" s="96" t="s">
        <v>240</v>
      </c>
      <c r="C2130" s="96" t="s">
        <v>2105</v>
      </c>
      <c r="D2130" s="96" t="s">
        <v>34</v>
      </c>
      <c r="E2130" s="43">
        <v>45796</v>
      </c>
      <c r="F2130" s="43">
        <v>45876</v>
      </c>
      <c r="G2130" s="96" t="s">
        <v>90</v>
      </c>
      <c r="H2130" s="96" t="s">
        <v>5729</v>
      </c>
      <c r="I2130" s="96" t="s">
        <v>194</v>
      </c>
      <c r="J2130" s="96" t="s">
        <v>96</v>
      </c>
      <c r="K2130" s="96" t="s">
        <v>233</v>
      </c>
      <c r="L2130">
        <v>80</v>
      </c>
      <c r="M2130" t="s">
        <v>28</v>
      </c>
      <c r="N2130" t="s">
        <v>182</v>
      </c>
      <c r="O2130" t="s">
        <v>149</v>
      </c>
      <c r="P2130">
        <v>2025</v>
      </c>
    </row>
    <row r="2131" spans="1:16" hidden="1" x14ac:dyDescent="0.25">
      <c r="A2131" s="96" t="s">
        <v>2</v>
      </c>
      <c r="B2131" s="96" t="s">
        <v>280</v>
      </c>
      <c r="C2131" s="96" t="s">
        <v>2107</v>
      </c>
      <c r="D2131" s="96" t="s">
        <v>208</v>
      </c>
      <c r="E2131" s="43">
        <v>45977</v>
      </c>
      <c r="F2131" s="43">
        <v>46008</v>
      </c>
      <c r="G2131" s="96" t="s">
        <v>90</v>
      </c>
      <c r="H2131" s="96" t="s">
        <v>5730</v>
      </c>
      <c r="I2131" s="96" t="s">
        <v>9</v>
      </c>
      <c r="J2131" s="96" t="s">
        <v>165</v>
      </c>
      <c r="K2131" s="96" t="s">
        <v>210</v>
      </c>
      <c r="L2131">
        <v>31</v>
      </c>
      <c r="M2131" t="s">
        <v>24</v>
      </c>
      <c r="N2131" t="s">
        <v>20</v>
      </c>
      <c r="O2131" t="s">
        <v>170</v>
      </c>
      <c r="P2131">
        <v>2025</v>
      </c>
    </row>
    <row r="2132" spans="1:16" hidden="1" x14ac:dyDescent="0.25">
      <c r="A2132" s="96" t="s">
        <v>2</v>
      </c>
      <c r="B2132" s="96" t="s">
        <v>213</v>
      </c>
      <c r="C2132" s="96" t="s">
        <v>2109</v>
      </c>
      <c r="D2132" s="96" t="s">
        <v>223</v>
      </c>
      <c r="E2132" s="43">
        <v>45796</v>
      </c>
      <c r="F2132" s="43">
        <v>45853</v>
      </c>
      <c r="G2132" s="96" t="s">
        <v>90</v>
      </c>
      <c r="H2132" s="96" t="s">
        <v>5731</v>
      </c>
      <c r="I2132" s="96" t="s">
        <v>9</v>
      </c>
      <c r="J2132" s="96" t="s">
        <v>169</v>
      </c>
      <c r="K2132" s="96" t="s">
        <v>246</v>
      </c>
      <c r="L2132">
        <v>57</v>
      </c>
      <c r="M2132" t="s">
        <v>24</v>
      </c>
      <c r="N2132" t="s">
        <v>182</v>
      </c>
      <c r="O2132" t="s">
        <v>149</v>
      </c>
      <c r="P2132">
        <v>2025</v>
      </c>
    </row>
    <row r="2133" spans="1:16" hidden="1" x14ac:dyDescent="0.25">
      <c r="A2133" s="96" t="s">
        <v>2</v>
      </c>
      <c r="B2133" s="96" t="s">
        <v>257</v>
      </c>
      <c r="C2133" s="96" t="s">
        <v>2110</v>
      </c>
      <c r="D2133" s="96" t="s">
        <v>208</v>
      </c>
      <c r="E2133" s="43">
        <v>45954</v>
      </c>
      <c r="F2133" s="43">
        <v>45977</v>
      </c>
      <c r="G2133" s="96" t="s">
        <v>90</v>
      </c>
      <c r="H2133" s="96" t="s">
        <v>5732</v>
      </c>
      <c r="I2133" s="96" t="s">
        <v>225</v>
      </c>
      <c r="J2133" s="96" t="s">
        <v>174</v>
      </c>
      <c r="K2133" s="96" t="s">
        <v>246</v>
      </c>
      <c r="L2133">
        <v>23</v>
      </c>
      <c r="M2133" t="s">
        <v>19</v>
      </c>
      <c r="N2133" t="s">
        <v>16</v>
      </c>
      <c r="O2133" t="s">
        <v>151</v>
      </c>
      <c r="P2133">
        <v>2025</v>
      </c>
    </row>
    <row r="2134" spans="1:16" hidden="1" x14ac:dyDescent="0.25">
      <c r="A2134" s="96" t="s">
        <v>2</v>
      </c>
      <c r="B2134" s="96" t="s">
        <v>221</v>
      </c>
      <c r="C2134" s="96" t="s">
        <v>5733</v>
      </c>
      <c r="D2134" s="96" t="s">
        <v>223</v>
      </c>
      <c r="E2134" s="43">
        <v>45952</v>
      </c>
      <c r="F2134" s="43">
        <v>45997</v>
      </c>
      <c r="G2134" s="96" t="s">
        <v>92</v>
      </c>
      <c r="H2134" s="96" t="s">
        <v>5734</v>
      </c>
      <c r="I2134" s="96" t="s">
        <v>157</v>
      </c>
      <c r="J2134" s="96" t="s">
        <v>176</v>
      </c>
      <c r="K2134" s="96" t="s">
        <v>217</v>
      </c>
      <c r="L2134">
        <v>45</v>
      </c>
      <c r="M2134" t="s">
        <v>24</v>
      </c>
      <c r="N2134" t="s">
        <v>16</v>
      </c>
      <c r="O2134" t="s">
        <v>170</v>
      </c>
      <c r="P2134">
        <v>2025</v>
      </c>
    </row>
    <row r="2135" spans="1:16" hidden="1" x14ac:dyDescent="0.25">
      <c r="A2135" s="96" t="s">
        <v>175</v>
      </c>
      <c r="B2135" s="96" t="s">
        <v>272</v>
      </c>
      <c r="C2135" s="96" t="s">
        <v>5735</v>
      </c>
      <c r="D2135" s="96" t="s">
        <v>237</v>
      </c>
      <c r="E2135" s="43">
        <v>46005</v>
      </c>
      <c r="F2135" s="43">
        <v>46083</v>
      </c>
      <c r="G2135" s="96" t="s">
        <v>92</v>
      </c>
      <c r="H2135" s="96" t="s">
        <v>5736</v>
      </c>
      <c r="I2135" s="96" t="s">
        <v>9</v>
      </c>
      <c r="J2135" s="96" t="s">
        <v>172</v>
      </c>
      <c r="K2135" s="96" t="s">
        <v>246</v>
      </c>
      <c r="L2135">
        <v>78</v>
      </c>
      <c r="M2135" t="s">
        <v>28</v>
      </c>
      <c r="N2135" t="s">
        <v>25</v>
      </c>
      <c r="O2135" t="s">
        <v>151</v>
      </c>
      <c r="P2135">
        <v>2025</v>
      </c>
    </row>
    <row r="2136" spans="1:16" x14ac:dyDescent="0.25">
      <c r="A2136" s="96" t="s">
        <v>2</v>
      </c>
      <c r="B2136" s="96" t="s">
        <v>261</v>
      </c>
      <c r="C2136" s="96" t="s">
        <v>2112</v>
      </c>
      <c r="D2136" s="96" t="s">
        <v>203</v>
      </c>
      <c r="E2136" s="43">
        <v>46095</v>
      </c>
      <c r="F2136" s="43">
        <v>46121</v>
      </c>
      <c r="G2136" s="96" t="s">
        <v>90</v>
      </c>
      <c r="H2136" s="96" t="s">
        <v>5737</v>
      </c>
      <c r="I2136" s="96" t="s">
        <v>209</v>
      </c>
      <c r="J2136" s="96" t="s">
        <v>93</v>
      </c>
      <c r="K2136" s="96" t="s">
        <v>217</v>
      </c>
      <c r="L2136">
        <v>26</v>
      </c>
      <c r="M2136" t="s">
        <v>19</v>
      </c>
      <c r="N2136" t="s">
        <v>35</v>
      </c>
      <c r="O2136" t="s">
        <v>151</v>
      </c>
      <c r="P2136">
        <v>2026</v>
      </c>
    </row>
    <row r="2137" spans="1:16" hidden="1" x14ac:dyDescent="0.25">
      <c r="A2137" s="96" t="s">
        <v>2</v>
      </c>
      <c r="B2137" s="96" t="s">
        <v>253</v>
      </c>
      <c r="C2137" s="96" t="s">
        <v>2114</v>
      </c>
      <c r="D2137" s="96" t="s">
        <v>208</v>
      </c>
      <c r="E2137" s="43">
        <v>45926</v>
      </c>
      <c r="F2137" s="43">
        <v>45946</v>
      </c>
      <c r="G2137" s="96" t="s">
        <v>92</v>
      </c>
      <c r="H2137" s="96" t="s">
        <v>5738</v>
      </c>
      <c r="I2137" s="96" t="s">
        <v>228</v>
      </c>
      <c r="J2137" s="96" t="s">
        <v>97</v>
      </c>
      <c r="K2137" s="96" t="s">
        <v>205</v>
      </c>
      <c r="L2137">
        <v>20</v>
      </c>
      <c r="M2137" t="s">
        <v>19</v>
      </c>
      <c r="N2137" t="s">
        <v>12</v>
      </c>
      <c r="O2137" t="s">
        <v>152</v>
      </c>
      <c r="P2137">
        <v>2025</v>
      </c>
    </row>
    <row r="2138" spans="1:16" hidden="1" x14ac:dyDescent="0.25">
      <c r="A2138" s="96" t="s">
        <v>2</v>
      </c>
      <c r="B2138" s="96" t="s">
        <v>280</v>
      </c>
      <c r="C2138" s="96" t="s">
        <v>5739</v>
      </c>
      <c r="D2138" s="96" t="s">
        <v>14</v>
      </c>
      <c r="E2138" s="43">
        <v>45786</v>
      </c>
      <c r="F2138" s="43">
        <v>45800</v>
      </c>
      <c r="G2138" s="96" t="s">
        <v>92</v>
      </c>
      <c r="H2138" s="96" t="s">
        <v>5740</v>
      </c>
      <c r="I2138" s="96" t="s">
        <v>209</v>
      </c>
      <c r="J2138" s="96" t="s">
        <v>229</v>
      </c>
      <c r="K2138" s="96" t="s">
        <v>210</v>
      </c>
      <c r="L2138">
        <v>14</v>
      </c>
      <c r="M2138" t="s">
        <v>15</v>
      </c>
      <c r="N2138" t="s">
        <v>182</v>
      </c>
      <c r="O2138" t="s">
        <v>170</v>
      </c>
      <c r="P2138">
        <v>2025</v>
      </c>
    </row>
    <row r="2139" spans="1:16" x14ac:dyDescent="0.25">
      <c r="A2139" s="96" t="s">
        <v>2</v>
      </c>
      <c r="B2139" s="96" t="s">
        <v>290</v>
      </c>
      <c r="C2139" s="96" t="s">
        <v>5741</v>
      </c>
      <c r="D2139" s="96" t="s">
        <v>237</v>
      </c>
      <c r="E2139" s="43">
        <v>46058</v>
      </c>
      <c r="F2139" s="43">
        <v>46143</v>
      </c>
      <c r="G2139" s="96" t="s">
        <v>95</v>
      </c>
      <c r="H2139" s="96" t="s">
        <v>2050</v>
      </c>
      <c r="I2139" s="96" t="s">
        <v>194</v>
      </c>
      <c r="J2139" s="96" t="s">
        <v>216</v>
      </c>
      <c r="K2139" s="96" t="s">
        <v>233</v>
      </c>
      <c r="L2139">
        <v>85</v>
      </c>
      <c r="M2139" t="s">
        <v>28</v>
      </c>
      <c r="N2139" t="s">
        <v>32</v>
      </c>
      <c r="O2139" t="s">
        <v>149</v>
      </c>
      <c r="P2139">
        <v>2026</v>
      </c>
    </row>
    <row r="2140" spans="1:16" hidden="1" x14ac:dyDescent="0.25">
      <c r="A2140" s="96" t="s">
        <v>2</v>
      </c>
      <c r="B2140" s="96" t="s">
        <v>251</v>
      </c>
      <c r="C2140" s="96" t="s">
        <v>5742</v>
      </c>
      <c r="D2140" s="96" t="s">
        <v>223</v>
      </c>
      <c r="E2140" s="43">
        <v>45999</v>
      </c>
      <c r="F2140" s="43">
        <v>46034</v>
      </c>
      <c r="G2140" s="96" t="s">
        <v>92</v>
      </c>
      <c r="H2140" s="96" t="s">
        <v>5743</v>
      </c>
      <c r="I2140" s="96" t="s">
        <v>194</v>
      </c>
      <c r="J2140" s="96" t="s">
        <v>98</v>
      </c>
      <c r="K2140" s="96" t="s">
        <v>205</v>
      </c>
      <c r="L2140">
        <v>35</v>
      </c>
      <c r="M2140" t="s">
        <v>24</v>
      </c>
      <c r="N2140" t="s">
        <v>25</v>
      </c>
      <c r="O2140" t="s">
        <v>170</v>
      </c>
      <c r="P2140">
        <v>2025</v>
      </c>
    </row>
    <row r="2141" spans="1:16" hidden="1" x14ac:dyDescent="0.25">
      <c r="A2141" s="96" t="s">
        <v>2</v>
      </c>
      <c r="B2141" s="96" t="s">
        <v>264</v>
      </c>
      <c r="C2141" s="96" t="s">
        <v>2117</v>
      </c>
      <c r="D2141" s="96" t="s">
        <v>237</v>
      </c>
      <c r="E2141" s="43">
        <v>45708</v>
      </c>
      <c r="F2141" s="43">
        <v>45760</v>
      </c>
      <c r="G2141" s="96" t="s">
        <v>92</v>
      </c>
      <c r="H2141" s="96" t="s">
        <v>2053</v>
      </c>
      <c r="I2141" s="96" t="s">
        <v>204</v>
      </c>
      <c r="J2141" s="96" t="s">
        <v>216</v>
      </c>
      <c r="K2141" s="96" t="s">
        <v>217</v>
      </c>
      <c r="L2141">
        <v>52</v>
      </c>
      <c r="M2141" t="s">
        <v>24</v>
      </c>
      <c r="N2141" t="s">
        <v>188</v>
      </c>
      <c r="O2141" t="s">
        <v>152</v>
      </c>
      <c r="P2141">
        <v>2025</v>
      </c>
    </row>
    <row r="2142" spans="1:16" hidden="1" x14ac:dyDescent="0.25">
      <c r="A2142" s="96" t="s">
        <v>2</v>
      </c>
      <c r="B2142" s="96" t="s">
        <v>257</v>
      </c>
      <c r="C2142" s="96" t="s">
        <v>2118</v>
      </c>
      <c r="D2142" s="96" t="s">
        <v>34</v>
      </c>
      <c r="E2142" s="43">
        <v>45786</v>
      </c>
      <c r="F2142" s="43">
        <v>45848</v>
      </c>
      <c r="G2142" s="96" t="s">
        <v>92</v>
      </c>
      <c r="H2142" s="96" t="s">
        <v>2055</v>
      </c>
      <c r="I2142" s="96" t="s">
        <v>228</v>
      </c>
      <c r="J2142" s="96" t="s">
        <v>283</v>
      </c>
      <c r="K2142" s="96" t="s">
        <v>230</v>
      </c>
      <c r="L2142">
        <v>62</v>
      </c>
      <c r="M2142" t="s">
        <v>28</v>
      </c>
      <c r="N2142" t="s">
        <v>182</v>
      </c>
      <c r="O2142" t="s">
        <v>151</v>
      </c>
      <c r="P2142">
        <v>2025</v>
      </c>
    </row>
    <row r="2143" spans="1:16" hidden="1" x14ac:dyDescent="0.25">
      <c r="A2143" s="96" t="s">
        <v>2</v>
      </c>
      <c r="B2143" s="96" t="s">
        <v>322</v>
      </c>
      <c r="C2143" s="96" t="s">
        <v>2119</v>
      </c>
      <c r="D2143" s="96" t="s">
        <v>208</v>
      </c>
      <c r="E2143" s="43">
        <v>45822</v>
      </c>
      <c r="F2143" s="43">
        <v>45941</v>
      </c>
      <c r="G2143" s="96" t="s">
        <v>92</v>
      </c>
      <c r="H2143" s="96" t="s">
        <v>2056</v>
      </c>
      <c r="I2143" s="96" t="s">
        <v>228</v>
      </c>
      <c r="J2143" s="96" t="s">
        <v>173</v>
      </c>
      <c r="K2143" s="96" t="s">
        <v>157</v>
      </c>
      <c r="L2143">
        <v>119</v>
      </c>
      <c r="M2143" t="s">
        <v>28</v>
      </c>
      <c r="N2143" t="s">
        <v>184</v>
      </c>
      <c r="O2143" t="s">
        <v>150</v>
      </c>
      <c r="P2143">
        <v>2025</v>
      </c>
    </row>
    <row r="2144" spans="1:16" hidden="1" x14ac:dyDescent="0.25">
      <c r="A2144" s="96" t="s">
        <v>2</v>
      </c>
      <c r="B2144" s="96" t="s">
        <v>264</v>
      </c>
      <c r="C2144" s="96" t="s">
        <v>5744</v>
      </c>
      <c r="D2144" s="96" t="s">
        <v>14</v>
      </c>
      <c r="E2144" s="43">
        <v>45731</v>
      </c>
      <c r="F2144" s="43">
        <v>45791</v>
      </c>
      <c r="G2144" s="96" t="s">
        <v>92</v>
      </c>
      <c r="H2144" s="96" t="s">
        <v>5745</v>
      </c>
      <c r="I2144" s="96" t="s">
        <v>209</v>
      </c>
      <c r="J2144" s="96" t="s">
        <v>98</v>
      </c>
      <c r="K2144" s="96" t="s">
        <v>200</v>
      </c>
      <c r="L2144">
        <v>60</v>
      </c>
      <c r="M2144" t="s">
        <v>24</v>
      </c>
      <c r="N2144" t="s">
        <v>186</v>
      </c>
      <c r="O2144" t="s">
        <v>152</v>
      </c>
      <c r="P2144">
        <v>2025</v>
      </c>
    </row>
    <row r="2145" spans="1:16" hidden="1" x14ac:dyDescent="0.25">
      <c r="A2145" s="96" t="s">
        <v>2</v>
      </c>
      <c r="B2145" s="96" t="s">
        <v>231</v>
      </c>
      <c r="C2145" s="96" t="s">
        <v>2120</v>
      </c>
      <c r="D2145" s="96" t="s">
        <v>203</v>
      </c>
      <c r="E2145" s="43">
        <v>45870</v>
      </c>
      <c r="F2145" s="43">
        <v>45984</v>
      </c>
      <c r="G2145" s="96" t="s">
        <v>92</v>
      </c>
      <c r="H2145" s="96" t="s">
        <v>5746</v>
      </c>
      <c r="I2145" s="96" t="s">
        <v>194</v>
      </c>
      <c r="J2145" s="96" t="s">
        <v>168</v>
      </c>
      <c r="K2145" s="96" t="s">
        <v>195</v>
      </c>
      <c r="L2145">
        <v>114</v>
      </c>
      <c r="M2145" t="s">
        <v>28</v>
      </c>
      <c r="N2145" t="s">
        <v>8</v>
      </c>
      <c r="O2145" t="s">
        <v>170</v>
      </c>
      <c r="P2145">
        <v>2025</v>
      </c>
    </row>
    <row r="2146" spans="1:16" x14ac:dyDescent="0.25">
      <c r="A2146" s="96" t="s">
        <v>2</v>
      </c>
      <c r="B2146" s="96" t="s">
        <v>261</v>
      </c>
      <c r="C2146" s="96" t="s">
        <v>2121</v>
      </c>
      <c r="D2146" s="96" t="s">
        <v>208</v>
      </c>
      <c r="E2146" s="43">
        <v>46090</v>
      </c>
      <c r="F2146" s="43">
        <v>46151</v>
      </c>
      <c r="G2146" s="96" t="s">
        <v>92</v>
      </c>
      <c r="H2146" s="96" t="s">
        <v>5747</v>
      </c>
      <c r="I2146" s="96" t="s">
        <v>204</v>
      </c>
      <c r="J2146" s="96" t="s">
        <v>97</v>
      </c>
      <c r="K2146" s="96" t="s">
        <v>210</v>
      </c>
      <c r="L2146">
        <v>61</v>
      </c>
      <c r="M2146" t="s">
        <v>28</v>
      </c>
      <c r="N2146" t="s">
        <v>35</v>
      </c>
      <c r="O2146" t="s">
        <v>151</v>
      </c>
      <c r="P2146">
        <v>2026</v>
      </c>
    </row>
    <row r="2147" spans="1:16" hidden="1" x14ac:dyDescent="0.25">
      <c r="A2147" s="96" t="s">
        <v>2</v>
      </c>
      <c r="B2147" s="96" t="s">
        <v>280</v>
      </c>
      <c r="C2147" s="96" t="s">
        <v>2122</v>
      </c>
      <c r="D2147" s="96" t="s">
        <v>192</v>
      </c>
      <c r="E2147" s="43">
        <v>45840</v>
      </c>
      <c r="F2147" s="43">
        <v>45860</v>
      </c>
      <c r="G2147" s="96" t="s">
        <v>92</v>
      </c>
      <c r="H2147" s="96" t="s">
        <v>5748</v>
      </c>
      <c r="I2147" s="96" t="s">
        <v>194</v>
      </c>
      <c r="J2147" s="96" t="s">
        <v>168</v>
      </c>
      <c r="K2147" s="96" t="s">
        <v>200</v>
      </c>
      <c r="L2147">
        <v>20</v>
      </c>
      <c r="M2147" t="s">
        <v>19</v>
      </c>
      <c r="N2147" t="s">
        <v>187</v>
      </c>
      <c r="O2147" t="s">
        <v>170</v>
      </c>
      <c r="P2147">
        <v>2025</v>
      </c>
    </row>
    <row r="2148" spans="1:16" hidden="1" x14ac:dyDescent="0.25">
      <c r="A2148" s="96" t="s">
        <v>189</v>
      </c>
      <c r="B2148" s="96" t="s">
        <v>206</v>
      </c>
      <c r="C2148" s="96" t="s">
        <v>5749</v>
      </c>
      <c r="D2148" s="96" t="s">
        <v>203</v>
      </c>
      <c r="E2148" s="43">
        <v>45925</v>
      </c>
      <c r="F2148" s="43">
        <v>45953</v>
      </c>
      <c r="G2148" s="96" t="s">
        <v>95</v>
      </c>
      <c r="H2148" s="96" t="s">
        <v>5750</v>
      </c>
      <c r="I2148" s="96" t="s">
        <v>194</v>
      </c>
      <c r="J2148" s="96" t="s">
        <v>165</v>
      </c>
      <c r="K2148" s="96" t="s">
        <v>205</v>
      </c>
      <c r="L2148">
        <v>28</v>
      </c>
      <c r="M2148" t="s">
        <v>19</v>
      </c>
      <c r="N2148" t="s">
        <v>12</v>
      </c>
      <c r="O2148" t="s">
        <v>152</v>
      </c>
      <c r="P2148">
        <v>2025</v>
      </c>
    </row>
    <row r="2149" spans="1:16" hidden="1" x14ac:dyDescent="0.25">
      <c r="A2149" s="96" t="s">
        <v>171</v>
      </c>
      <c r="B2149" s="96" t="s">
        <v>280</v>
      </c>
      <c r="C2149" s="96" t="s">
        <v>5751</v>
      </c>
      <c r="D2149" s="96" t="s">
        <v>203</v>
      </c>
      <c r="E2149" s="43">
        <v>45861</v>
      </c>
      <c r="F2149" s="43">
        <v>45916</v>
      </c>
      <c r="G2149" s="96" t="s">
        <v>92</v>
      </c>
      <c r="H2149" s="96" t="s">
        <v>5752</v>
      </c>
      <c r="I2149" s="96" t="s">
        <v>194</v>
      </c>
      <c r="J2149" s="96" t="s">
        <v>168</v>
      </c>
      <c r="K2149" s="96" t="s">
        <v>233</v>
      </c>
      <c r="L2149">
        <v>55</v>
      </c>
      <c r="M2149" t="s">
        <v>24</v>
      </c>
      <c r="N2149" t="s">
        <v>187</v>
      </c>
      <c r="O2149" t="s">
        <v>170</v>
      </c>
      <c r="P2149">
        <v>2025</v>
      </c>
    </row>
    <row r="2150" spans="1:16" hidden="1" x14ac:dyDescent="0.25">
      <c r="A2150" s="96" t="s">
        <v>189</v>
      </c>
      <c r="B2150" s="96" t="s">
        <v>255</v>
      </c>
      <c r="C2150" s="96" t="s">
        <v>2124</v>
      </c>
      <c r="D2150" s="96" t="s">
        <v>192</v>
      </c>
      <c r="E2150" s="43">
        <v>45931</v>
      </c>
      <c r="F2150" s="43">
        <v>46050</v>
      </c>
      <c r="G2150" s="96" t="s">
        <v>92</v>
      </c>
      <c r="H2150" s="96" t="s">
        <v>5753</v>
      </c>
      <c r="I2150" s="96" t="s">
        <v>228</v>
      </c>
      <c r="J2150" s="96" t="s">
        <v>199</v>
      </c>
      <c r="K2150" s="96" t="s">
        <v>217</v>
      </c>
      <c r="L2150">
        <v>119</v>
      </c>
      <c r="M2150" t="s">
        <v>28</v>
      </c>
      <c r="N2150" t="s">
        <v>16</v>
      </c>
      <c r="O2150" t="s">
        <v>150</v>
      </c>
      <c r="P2150">
        <v>2025</v>
      </c>
    </row>
    <row r="2151" spans="1:16" x14ac:dyDescent="0.25">
      <c r="A2151" s="96" t="s">
        <v>2</v>
      </c>
      <c r="B2151" s="96" t="s">
        <v>226</v>
      </c>
      <c r="C2151" s="96" t="s">
        <v>5754</v>
      </c>
      <c r="D2151" s="96" t="s">
        <v>34</v>
      </c>
      <c r="E2151" s="43">
        <v>46024</v>
      </c>
      <c r="F2151" s="43">
        <v>46041</v>
      </c>
      <c r="G2151" s="96" t="s">
        <v>92</v>
      </c>
      <c r="H2151" s="96" t="s">
        <v>5755</v>
      </c>
      <c r="I2151" s="96" t="s">
        <v>157</v>
      </c>
      <c r="J2151" s="96" t="s">
        <v>172</v>
      </c>
      <c r="K2151" s="96" t="s">
        <v>205</v>
      </c>
      <c r="L2151">
        <v>17</v>
      </c>
      <c r="M2151" t="s">
        <v>19</v>
      </c>
      <c r="N2151" t="s">
        <v>29</v>
      </c>
      <c r="O2151" t="s">
        <v>151</v>
      </c>
      <c r="P2151">
        <v>2026</v>
      </c>
    </row>
    <row r="2152" spans="1:16" hidden="1" x14ac:dyDescent="0.25">
      <c r="A2152" s="96" t="s">
        <v>21</v>
      </c>
      <c r="B2152" s="96" t="s">
        <v>322</v>
      </c>
      <c r="C2152" s="96" t="s">
        <v>2126</v>
      </c>
      <c r="D2152" s="96" t="s">
        <v>192</v>
      </c>
      <c r="E2152" s="43">
        <v>45996</v>
      </c>
      <c r="F2152" s="43">
        <v>46055</v>
      </c>
      <c r="G2152" s="96" t="s">
        <v>92</v>
      </c>
      <c r="H2152" s="96" t="s">
        <v>5756</v>
      </c>
      <c r="I2152" s="96" t="s">
        <v>9</v>
      </c>
      <c r="J2152" s="96" t="s">
        <v>168</v>
      </c>
      <c r="K2152" s="96" t="s">
        <v>200</v>
      </c>
      <c r="L2152">
        <v>59</v>
      </c>
      <c r="M2152" t="s">
        <v>24</v>
      </c>
      <c r="N2152" t="s">
        <v>25</v>
      </c>
      <c r="O2152" t="s">
        <v>150</v>
      </c>
      <c r="P2152">
        <v>2025</v>
      </c>
    </row>
    <row r="2153" spans="1:16" hidden="1" x14ac:dyDescent="0.25">
      <c r="A2153" s="96" t="s">
        <v>2</v>
      </c>
      <c r="B2153" s="96" t="s">
        <v>253</v>
      </c>
      <c r="C2153" s="96" t="s">
        <v>2127</v>
      </c>
      <c r="D2153" s="96" t="s">
        <v>14</v>
      </c>
      <c r="E2153" s="43">
        <v>45853</v>
      </c>
      <c r="F2153" s="43">
        <v>45875</v>
      </c>
      <c r="G2153" s="96" t="s">
        <v>90</v>
      </c>
      <c r="H2153" s="96" t="s">
        <v>5757</v>
      </c>
      <c r="I2153" s="96" t="s">
        <v>194</v>
      </c>
      <c r="J2153" s="96" t="s">
        <v>174</v>
      </c>
      <c r="K2153" s="96" t="s">
        <v>217</v>
      </c>
      <c r="L2153">
        <v>22</v>
      </c>
      <c r="M2153" t="s">
        <v>19</v>
      </c>
      <c r="N2153" t="s">
        <v>187</v>
      </c>
      <c r="O2153" t="s">
        <v>152</v>
      </c>
      <c r="P2153">
        <v>2025</v>
      </c>
    </row>
    <row r="2154" spans="1:16" hidden="1" x14ac:dyDescent="0.25">
      <c r="A2154" s="96" t="s">
        <v>171</v>
      </c>
      <c r="B2154" s="96" t="s">
        <v>190</v>
      </c>
      <c r="C2154" s="96" t="s">
        <v>2128</v>
      </c>
      <c r="D2154" s="96" t="s">
        <v>40</v>
      </c>
      <c r="E2154" s="43">
        <v>45981</v>
      </c>
      <c r="F2154" s="43">
        <v>46083</v>
      </c>
      <c r="G2154" s="96" t="s">
        <v>92</v>
      </c>
      <c r="H2154" s="96" t="s">
        <v>5758</v>
      </c>
      <c r="I2154" s="96" t="s">
        <v>225</v>
      </c>
      <c r="J2154" s="96" t="s">
        <v>173</v>
      </c>
      <c r="K2154" s="96" t="s">
        <v>217</v>
      </c>
      <c r="L2154">
        <v>102</v>
      </c>
      <c r="M2154" t="s">
        <v>28</v>
      </c>
      <c r="N2154" t="s">
        <v>20</v>
      </c>
      <c r="O2154" t="s">
        <v>150</v>
      </c>
      <c r="P2154">
        <v>2025</v>
      </c>
    </row>
    <row r="2155" spans="1:16" hidden="1" x14ac:dyDescent="0.25">
      <c r="A2155" s="96" t="s">
        <v>2</v>
      </c>
      <c r="B2155" s="96" t="s">
        <v>190</v>
      </c>
      <c r="C2155" s="96" t="s">
        <v>2129</v>
      </c>
      <c r="D2155" s="96" t="s">
        <v>10</v>
      </c>
      <c r="E2155" s="43">
        <v>45965</v>
      </c>
      <c r="F2155" s="43">
        <v>45993</v>
      </c>
      <c r="G2155" s="96" t="s">
        <v>90</v>
      </c>
      <c r="H2155" s="96" t="s">
        <v>5759</v>
      </c>
      <c r="I2155" s="96" t="s">
        <v>225</v>
      </c>
      <c r="J2155" s="96" t="s">
        <v>168</v>
      </c>
      <c r="K2155" s="96" t="s">
        <v>230</v>
      </c>
      <c r="L2155">
        <v>28</v>
      </c>
      <c r="M2155" t="s">
        <v>19</v>
      </c>
      <c r="N2155" t="s">
        <v>20</v>
      </c>
      <c r="O2155" t="s">
        <v>150</v>
      </c>
      <c r="P2155">
        <v>2025</v>
      </c>
    </row>
    <row r="2156" spans="1:16" x14ac:dyDescent="0.25">
      <c r="A2156" s="96" t="s">
        <v>2</v>
      </c>
      <c r="B2156" s="96" t="s">
        <v>226</v>
      </c>
      <c r="C2156" s="96" t="s">
        <v>2130</v>
      </c>
      <c r="D2156" s="96" t="s">
        <v>237</v>
      </c>
      <c r="E2156" s="43">
        <v>46056</v>
      </c>
      <c r="F2156" s="43">
        <v>46148</v>
      </c>
      <c r="G2156" s="96" t="s">
        <v>92</v>
      </c>
      <c r="H2156" s="96" t="s">
        <v>5760</v>
      </c>
      <c r="I2156" s="96" t="s">
        <v>9</v>
      </c>
      <c r="J2156" s="96" t="s">
        <v>93</v>
      </c>
      <c r="K2156" s="96" t="s">
        <v>210</v>
      </c>
      <c r="L2156">
        <v>92</v>
      </c>
      <c r="M2156" t="s">
        <v>28</v>
      </c>
      <c r="N2156" t="s">
        <v>32</v>
      </c>
      <c r="O2156" t="s">
        <v>151</v>
      </c>
      <c r="P2156">
        <v>2026</v>
      </c>
    </row>
    <row r="2157" spans="1:16" hidden="1" x14ac:dyDescent="0.25">
      <c r="A2157" s="96" t="s">
        <v>2</v>
      </c>
      <c r="B2157" s="96" t="s">
        <v>264</v>
      </c>
      <c r="C2157" s="96" t="s">
        <v>5761</v>
      </c>
      <c r="D2157" s="96" t="s">
        <v>14</v>
      </c>
      <c r="E2157" s="43">
        <v>45901</v>
      </c>
      <c r="F2157" s="43">
        <v>45930</v>
      </c>
      <c r="G2157" s="96" t="s">
        <v>95</v>
      </c>
      <c r="H2157" s="96" t="s">
        <v>5762</v>
      </c>
      <c r="I2157" s="96" t="s">
        <v>225</v>
      </c>
      <c r="J2157" s="96" t="s">
        <v>176</v>
      </c>
      <c r="K2157" s="96" t="s">
        <v>217</v>
      </c>
      <c r="L2157">
        <v>29</v>
      </c>
      <c r="M2157" t="s">
        <v>19</v>
      </c>
      <c r="N2157" t="s">
        <v>12</v>
      </c>
      <c r="O2157" t="s">
        <v>152</v>
      </c>
      <c r="P2157">
        <v>2025</v>
      </c>
    </row>
    <row r="2158" spans="1:16" hidden="1" x14ac:dyDescent="0.25">
      <c r="A2158" s="96" t="s">
        <v>175</v>
      </c>
      <c r="B2158" s="96" t="s">
        <v>190</v>
      </c>
      <c r="C2158" s="96" t="s">
        <v>5763</v>
      </c>
      <c r="D2158" s="96" t="s">
        <v>34</v>
      </c>
      <c r="E2158" s="43">
        <v>45831</v>
      </c>
      <c r="F2158" s="43">
        <v>45946</v>
      </c>
      <c r="G2158" s="96" t="s">
        <v>92</v>
      </c>
      <c r="H2158" s="96" t="s">
        <v>5764</v>
      </c>
      <c r="I2158" s="96" t="s">
        <v>194</v>
      </c>
      <c r="J2158" s="96" t="s">
        <v>177</v>
      </c>
      <c r="K2158" s="96" t="s">
        <v>210</v>
      </c>
      <c r="L2158">
        <v>115</v>
      </c>
      <c r="M2158" t="s">
        <v>28</v>
      </c>
      <c r="N2158" t="s">
        <v>184</v>
      </c>
      <c r="O2158" t="s">
        <v>150</v>
      </c>
      <c r="P2158">
        <v>2025</v>
      </c>
    </row>
    <row r="2159" spans="1:16" x14ac:dyDescent="0.25">
      <c r="A2159" s="96" t="s">
        <v>21</v>
      </c>
      <c r="B2159" s="96" t="s">
        <v>305</v>
      </c>
      <c r="C2159" s="96" t="s">
        <v>2131</v>
      </c>
      <c r="D2159" s="96" t="s">
        <v>192</v>
      </c>
      <c r="E2159" s="43">
        <v>46111</v>
      </c>
      <c r="F2159" s="43">
        <v>46119</v>
      </c>
      <c r="G2159" s="96" t="s">
        <v>90</v>
      </c>
      <c r="H2159" s="96" t="s">
        <v>5765</v>
      </c>
      <c r="I2159" s="96" t="s">
        <v>9</v>
      </c>
      <c r="J2159" s="96" t="s">
        <v>283</v>
      </c>
      <c r="K2159" s="96" t="s">
        <v>210</v>
      </c>
      <c r="L2159">
        <v>8</v>
      </c>
      <c r="M2159" t="s">
        <v>15</v>
      </c>
      <c r="N2159" t="s">
        <v>35</v>
      </c>
      <c r="O2159" t="s">
        <v>170</v>
      </c>
      <c r="P2159">
        <v>2026</v>
      </c>
    </row>
    <row r="2160" spans="1:16" hidden="1" x14ac:dyDescent="0.25">
      <c r="A2160" s="96" t="s">
        <v>2</v>
      </c>
      <c r="B2160" s="96" t="s">
        <v>253</v>
      </c>
      <c r="C2160" s="96" t="s">
        <v>2133</v>
      </c>
      <c r="D2160" s="96" t="s">
        <v>215</v>
      </c>
      <c r="E2160" s="43">
        <v>45934</v>
      </c>
      <c r="F2160" s="43">
        <v>46013</v>
      </c>
      <c r="G2160" s="96" t="s">
        <v>92</v>
      </c>
      <c r="H2160" s="96" t="s">
        <v>2072</v>
      </c>
      <c r="I2160" s="96" t="s">
        <v>225</v>
      </c>
      <c r="J2160" s="96" t="s">
        <v>165</v>
      </c>
      <c r="K2160" s="96" t="s">
        <v>210</v>
      </c>
      <c r="L2160">
        <v>79</v>
      </c>
      <c r="M2160" t="s">
        <v>28</v>
      </c>
      <c r="N2160" t="s">
        <v>16</v>
      </c>
      <c r="O2160" t="s">
        <v>152</v>
      </c>
      <c r="P2160">
        <v>2025</v>
      </c>
    </row>
    <row r="2161" spans="1:16" hidden="1" x14ac:dyDescent="0.25">
      <c r="A2161" s="96" t="s">
        <v>2</v>
      </c>
      <c r="B2161" s="96" t="s">
        <v>211</v>
      </c>
      <c r="C2161" s="96" t="s">
        <v>2135</v>
      </c>
      <c r="D2161" s="96" t="s">
        <v>34</v>
      </c>
      <c r="E2161" s="43">
        <v>45967</v>
      </c>
      <c r="F2161" s="43">
        <v>46078</v>
      </c>
      <c r="G2161" s="96" t="s">
        <v>92</v>
      </c>
      <c r="H2161" s="96" t="s">
        <v>5766</v>
      </c>
      <c r="I2161" s="96" t="s">
        <v>194</v>
      </c>
      <c r="J2161" s="96" t="s">
        <v>97</v>
      </c>
      <c r="K2161" s="96" t="s">
        <v>205</v>
      </c>
      <c r="L2161">
        <v>111</v>
      </c>
      <c r="M2161" t="s">
        <v>28</v>
      </c>
      <c r="N2161" t="s">
        <v>20</v>
      </c>
      <c r="O2161" t="s">
        <v>170</v>
      </c>
      <c r="P2161">
        <v>2025</v>
      </c>
    </row>
    <row r="2162" spans="1:16" hidden="1" x14ac:dyDescent="0.25">
      <c r="A2162" s="96" t="s">
        <v>189</v>
      </c>
      <c r="B2162" s="96" t="s">
        <v>257</v>
      </c>
      <c r="C2162" s="96" t="s">
        <v>2136</v>
      </c>
      <c r="D2162" s="96" t="s">
        <v>237</v>
      </c>
      <c r="E2162" s="43">
        <v>45843</v>
      </c>
      <c r="F2162" s="43">
        <v>45884</v>
      </c>
      <c r="G2162" s="96" t="s">
        <v>90</v>
      </c>
      <c r="H2162" s="96" t="s">
        <v>5767</v>
      </c>
      <c r="I2162" s="96" t="s">
        <v>209</v>
      </c>
      <c r="J2162" s="96" t="s">
        <v>229</v>
      </c>
      <c r="K2162" s="96" t="s">
        <v>210</v>
      </c>
      <c r="L2162">
        <v>41</v>
      </c>
      <c r="M2162" t="s">
        <v>24</v>
      </c>
      <c r="N2162" t="s">
        <v>187</v>
      </c>
      <c r="O2162" t="s">
        <v>151</v>
      </c>
      <c r="P2162">
        <v>2025</v>
      </c>
    </row>
    <row r="2163" spans="1:16" hidden="1" x14ac:dyDescent="0.25">
      <c r="A2163" s="96" t="s">
        <v>2</v>
      </c>
      <c r="B2163" s="96" t="s">
        <v>190</v>
      </c>
      <c r="C2163" s="96" t="s">
        <v>2138</v>
      </c>
      <c r="D2163" s="96" t="s">
        <v>40</v>
      </c>
      <c r="E2163" s="43">
        <v>45806</v>
      </c>
      <c r="F2163" s="43">
        <v>45839</v>
      </c>
      <c r="G2163" s="96" t="s">
        <v>92</v>
      </c>
      <c r="H2163" s="96" t="s">
        <v>5768</v>
      </c>
      <c r="I2163" s="96" t="s">
        <v>225</v>
      </c>
      <c r="J2163" s="96" t="s">
        <v>229</v>
      </c>
      <c r="K2163" s="96" t="s">
        <v>195</v>
      </c>
      <c r="L2163">
        <v>33</v>
      </c>
      <c r="M2163" t="s">
        <v>24</v>
      </c>
      <c r="N2163" t="s">
        <v>182</v>
      </c>
      <c r="O2163" t="s">
        <v>150</v>
      </c>
      <c r="P2163">
        <v>2025</v>
      </c>
    </row>
    <row r="2164" spans="1:16" hidden="1" x14ac:dyDescent="0.25">
      <c r="A2164" s="96" t="s">
        <v>21</v>
      </c>
      <c r="B2164" s="96" t="s">
        <v>190</v>
      </c>
      <c r="C2164" s="96" t="s">
        <v>5769</v>
      </c>
      <c r="D2164" s="96" t="s">
        <v>215</v>
      </c>
      <c r="E2164" s="43">
        <v>45895</v>
      </c>
      <c r="F2164" s="43">
        <v>45976</v>
      </c>
      <c r="G2164" s="96" t="s">
        <v>95</v>
      </c>
      <c r="H2164" s="96" t="s">
        <v>5770</v>
      </c>
      <c r="I2164" s="96" t="s">
        <v>204</v>
      </c>
      <c r="J2164" s="96" t="s">
        <v>229</v>
      </c>
      <c r="K2164" s="96" t="s">
        <v>246</v>
      </c>
      <c r="L2164">
        <v>81</v>
      </c>
      <c r="M2164" t="s">
        <v>28</v>
      </c>
      <c r="N2164" t="s">
        <v>8</v>
      </c>
      <c r="O2164" t="s">
        <v>150</v>
      </c>
      <c r="P2164">
        <v>2025</v>
      </c>
    </row>
    <row r="2165" spans="1:16" hidden="1" x14ac:dyDescent="0.25">
      <c r="A2165" s="96" t="s">
        <v>2</v>
      </c>
      <c r="B2165" s="96" t="s">
        <v>272</v>
      </c>
      <c r="C2165" s="96" t="s">
        <v>2139</v>
      </c>
      <c r="D2165" s="96" t="s">
        <v>215</v>
      </c>
      <c r="E2165" s="43">
        <v>45979</v>
      </c>
      <c r="F2165" s="43">
        <v>46044</v>
      </c>
      <c r="G2165" s="96" t="s">
        <v>92</v>
      </c>
      <c r="H2165" s="96" t="s">
        <v>5771</v>
      </c>
      <c r="I2165" s="96" t="s">
        <v>228</v>
      </c>
      <c r="J2165" s="96" t="s">
        <v>97</v>
      </c>
      <c r="K2165" s="96" t="s">
        <v>205</v>
      </c>
      <c r="L2165">
        <v>65</v>
      </c>
      <c r="M2165" t="s">
        <v>28</v>
      </c>
      <c r="N2165" t="s">
        <v>20</v>
      </c>
      <c r="O2165" t="s">
        <v>151</v>
      </c>
      <c r="P2165">
        <v>2025</v>
      </c>
    </row>
    <row r="2166" spans="1:16" x14ac:dyDescent="0.25">
      <c r="A2166" s="96" t="s">
        <v>2</v>
      </c>
      <c r="B2166" s="96" t="s">
        <v>261</v>
      </c>
      <c r="C2166" s="96" t="s">
        <v>2141</v>
      </c>
      <c r="D2166" s="96" t="s">
        <v>208</v>
      </c>
      <c r="E2166" s="43">
        <v>46107</v>
      </c>
      <c r="F2166" s="43">
        <v>46144</v>
      </c>
      <c r="G2166" s="96" t="s">
        <v>92</v>
      </c>
      <c r="H2166" s="96" t="s">
        <v>5772</v>
      </c>
      <c r="I2166" s="96" t="s">
        <v>209</v>
      </c>
      <c r="J2166" s="96" t="s">
        <v>172</v>
      </c>
      <c r="K2166" s="96" t="s">
        <v>205</v>
      </c>
      <c r="L2166">
        <v>37</v>
      </c>
      <c r="M2166" t="s">
        <v>24</v>
      </c>
      <c r="N2166" t="s">
        <v>35</v>
      </c>
      <c r="O2166" t="s">
        <v>151</v>
      </c>
      <c r="P2166">
        <v>2026</v>
      </c>
    </row>
    <row r="2167" spans="1:16" x14ac:dyDescent="0.25">
      <c r="A2167" s="96" t="s">
        <v>2</v>
      </c>
      <c r="B2167" s="96" t="s">
        <v>269</v>
      </c>
      <c r="C2167" s="96" t="s">
        <v>2143</v>
      </c>
      <c r="D2167" s="96" t="s">
        <v>223</v>
      </c>
      <c r="E2167" s="43">
        <v>46039</v>
      </c>
      <c r="F2167" s="43">
        <v>46082</v>
      </c>
      <c r="G2167" s="96" t="s">
        <v>92</v>
      </c>
      <c r="H2167" s="96" t="s">
        <v>5773</v>
      </c>
      <c r="I2167" s="96" t="s">
        <v>194</v>
      </c>
      <c r="J2167" s="96" t="s">
        <v>91</v>
      </c>
      <c r="K2167" s="96" t="s">
        <v>200</v>
      </c>
      <c r="L2167">
        <v>43</v>
      </c>
      <c r="M2167" t="s">
        <v>24</v>
      </c>
      <c r="N2167" t="s">
        <v>29</v>
      </c>
      <c r="O2167" t="s">
        <v>152</v>
      </c>
      <c r="P2167">
        <v>2026</v>
      </c>
    </row>
    <row r="2168" spans="1:16" x14ac:dyDescent="0.25">
      <c r="A2168" s="96" t="s">
        <v>2</v>
      </c>
      <c r="B2168" s="96" t="s">
        <v>249</v>
      </c>
      <c r="C2168" s="96" t="s">
        <v>5774</v>
      </c>
      <c r="D2168" s="96" t="s">
        <v>192</v>
      </c>
      <c r="E2168" s="43">
        <v>46040</v>
      </c>
      <c r="F2168" s="43">
        <v>46145</v>
      </c>
      <c r="G2168" s="96" t="s">
        <v>90</v>
      </c>
      <c r="H2168" s="96" t="s">
        <v>5775</v>
      </c>
      <c r="I2168" s="96" t="s">
        <v>209</v>
      </c>
      <c r="J2168" s="96" t="s">
        <v>176</v>
      </c>
      <c r="K2168" s="96" t="s">
        <v>200</v>
      </c>
      <c r="L2168">
        <v>105</v>
      </c>
      <c r="M2168" t="s">
        <v>28</v>
      </c>
      <c r="N2168" t="s">
        <v>29</v>
      </c>
      <c r="O2168" t="s">
        <v>170</v>
      </c>
      <c r="P2168">
        <v>2026</v>
      </c>
    </row>
    <row r="2169" spans="1:16" hidden="1" x14ac:dyDescent="0.25">
      <c r="A2169" s="96" t="s">
        <v>2</v>
      </c>
      <c r="B2169" s="96" t="s">
        <v>280</v>
      </c>
      <c r="C2169" s="96" t="s">
        <v>2144</v>
      </c>
      <c r="D2169" s="96" t="s">
        <v>215</v>
      </c>
      <c r="E2169" s="43">
        <v>45947</v>
      </c>
      <c r="F2169" s="43">
        <v>45994</v>
      </c>
      <c r="G2169" s="96" t="s">
        <v>92</v>
      </c>
      <c r="H2169" s="96" t="s">
        <v>2080</v>
      </c>
      <c r="I2169" s="96" t="s">
        <v>194</v>
      </c>
      <c r="J2169" s="96" t="s">
        <v>174</v>
      </c>
      <c r="K2169" s="96" t="s">
        <v>210</v>
      </c>
      <c r="L2169">
        <v>47</v>
      </c>
      <c r="M2169" t="s">
        <v>24</v>
      </c>
      <c r="N2169" t="s">
        <v>16</v>
      </c>
      <c r="O2169" t="s">
        <v>170</v>
      </c>
      <c r="P2169">
        <v>2025</v>
      </c>
    </row>
    <row r="2170" spans="1:16" hidden="1" x14ac:dyDescent="0.25">
      <c r="A2170" s="96" t="s">
        <v>175</v>
      </c>
      <c r="B2170" s="96" t="s">
        <v>272</v>
      </c>
      <c r="C2170" s="96" t="s">
        <v>2145</v>
      </c>
      <c r="D2170" s="96" t="s">
        <v>215</v>
      </c>
      <c r="E2170" s="43">
        <v>45831</v>
      </c>
      <c r="F2170" s="43">
        <v>45877</v>
      </c>
      <c r="G2170" s="96" t="s">
        <v>92</v>
      </c>
      <c r="H2170" s="96" t="s">
        <v>2082</v>
      </c>
      <c r="I2170" s="96" t="s">
        <v>194</v>
      </c>
      <c r="J2170" s="96" t="s">
        <v>176</v>
      </c>
      <c r="K2170" s="96" t="s">
        <v>217</v>
      </c>
      <c r="L2170">
        <v>46</v>
      </c>
      <c r="M2170" t="s">
        <v>24</v>
      </c>
      <c r="N2170" t="s">
        <v>184</v>
      </c>
      <c r="O2170" t="s">
        <v>151</v>
      </c>
      <c r="P2170">
        <v>2025</v>
      </c>
    </row>
    <row r="2171" spans="1:16" x14ac:dyDescent="0.25">
      <c r="A2171" s="96" t="s">
        <v>2</v>
      </c>
      <c r="B2171" s="96" t="s">
        <v>288</v>
      </c>
      <c r="C2171" s="96" t="s">
        <v>2146</v>
      </c>
      <c r="D2171" s="96" t="s">
        <v>34</v>
      </c>
      <c r="E2171" s="43">
        <v>46062</v>
      </c>
      <c r="F2171" s="43">
        <v>46085</v>
      </c>
      <c r="G2171" s="96" t="s">
        <v>92</v>
      </c>
      <c r="H2171" s="96" t="s">
        <v>5776</v>
      </c>
      <c r="I2171" s="96" t="s">
        <v>204</v>
      </c>
      <c r="J2171" s="96" t="s">
        <v>91</v>
      </c>
      <c r="K2171" s="96" t="s">
        <v>210</v>
      </c>
      <c r="L2171">
        <v>23</v>
      </c>
      <c r="M2171" t="s">
        <v>19</v>
      </c>
      <c r="N2171" t="s">
        <v>32</v>
      </c>
      <c r="O2171" t="s">
        <v>170</v>
      </c>
      <c r="P2171">
        <v>2026</v>
      </c>
    </row>
    <row r="2172" spans="1:16" hidden="1" x14ac:dyDescent="0.25">
      <c r="A2172" s="96" t="s">
        <v>2</v>
      </c>
      <c r="B2172" s="96" t="s">
        <v>238</v>
      </c>
      <c r="C2172" s="96" t="s">
        <v>5777</v>
      </c>
      <c r="D2172" s="96" t="s">
        <v>203</v>
      </c>
      <c r="E2172" s="43">
        <v>45879</v>
      </c>
      <c r="F2172" s="43">
        <v>45966</v>
      </c>
      <c r="G2172" s="96" t="s">
        <v>92</v>
      </c>
      <c r="H2172" s="96" t="s">
        <v>5778</v>
      </c>
      <c r="I2172" s="96" t="s">
        <v>225</v>
      </c>
      <c r="J2172" s="96" t="s">
        <v>96</v>
      </c>
      <c r="K2172" s="96" t="s">
        <v>246</v>
      </c>
      <c r="L2172">
        <v>87</v>
      </c>
      <c r="M2172" t="s">
        <v>28</v>
      </c>
      <c r="N2172" t="s">
        <v>8</v>
      </c>
      <c r="O2172" t="s">
        <v>170</v>
      </c>
      <c r="P2172">
        <v>2025</v>
      </c>
    </row>
    <row r="2173" spans="1:16" hidden="1" x14ac:dyDescent="0.25">
      <c r="A2173" s="96" t="s">
        <v>171</v>
      </c>
      <c r="B2173" s="96" t="s">
        <v>240</v>
      </c>
      <c r="C2173" s="96" t="s">
        <v>2147</v>
      </c>
      <c r="D2173" s="96" t="s">
        <v>40</v>
      </c>
      <c r="E2173" s="43">
        <v>46009</v>
      </c>
      <c r="F2173" s="43">
        <v>46089</v>
      </c>
      <c r="G2173" s="96" t="s">
        <v>92</v>
      </c>
      <c r="H2173" s="96" t="s">
        <v>5779</v>
      </c>
      <c r="I2173" s="96" t="s">
        <v>194</v>
      </c>
      <c r="J2173" s="96" t="s">
        <v>283</v>
      </c>
      <c r="K2173" s="96" t="s">
        <v>217</v>
      </c>
      <c r="L2173">
        <v>80</v>
      </c>
      <c r="M2173" t="s">
        <v>28</v>
      </c>
      <c r="N2173" t="s">
        <v>25</v>
      </c>
      <c r="O2173" t="s">
        <v>149</v>
      </c>
      <c r="P2173">
        <v>2025</v>
      </c>
    </row>
    <row r="2174" spans="1:16" hidden="1" x14ac:dyDescent="0.25">
      <c r="A2174" s="96" t="s">
        <v>2</v>
      </c>
      <c r="B2174" s="96" t="s">
        <v>231</v>
      </c>
      <c r="C2174" s="96" t="s">
        <v>5780</v>
      </c>
      <c r="D2174" s="96" t="s">
        <v>215</v>
      </c>
      <c r="E2174" s="43">
        <v>45816</v>
      </c>
      <c r="F2174" s="43">
        <v>45905</v>
      </c>
      <c r="G2174" s="96" t="s">
        <v>90</v>
      </c>
      <c r="H2174" s="96" t="s">
        <v>5781</v>
      </c>
      <c r="I2174" s="96" t="s">
        <v>228</v>
      </c>
      <c r="J2174" s="96" t="s">
        <v>283</v>
      </c>
      <c r="K2174" s="96" t="s">
        <v>157</v>
      </c>
      <c r="L2174">
        <v>89</v>
      </c>
      <c r="M2174" t="s">
        <v>28</v>
      </c>
      <c r="N2174" t="s">
        <v>184</v>
      </c>
      <c r="O2174" t="s">
        <v>170</v>
      </c>
      <c r="P2174">
        <v>2025</v>
      </c>
    </row>
    <row r="2175" spans="1:16" hidden="1" x14ac:dyDescent="0.25">
      <c r="A2175" s="96" t="s">
        <v>2</v>
      </c>
      <c r="B2175" s="96" t="s">
        <v>257</v>
      </c>
      <c r="C2175" s="96" t="s">
        <v>2148</v>
      </c>
      <c r="D2175" s="96" t="s">
        <v>208</v>
      </c>
      <c r="E2175" s="43">
        <v>45752</v>
      </c>
      <c r="F2175" s="43">
        <v>45801</v>
      </c>
      <c r="G2175" s="96" t="s">
        <v>90</v>
      </c>
      <c r="H2175" s="96" t="s">
        <v>5782</v>
      </c>
      <c r="I2175" s="96" t="s">
        <v>209</v>
      </c>
      <c r="J2175" s="96" t="s">
        <v>229</v>
      </c>
      <c r="K2175" s="96" t="s">
        <v>246</v>
      </c>
      <c r="L2175">
        <v>49</v>
      </c>
      <c r="M2175" t="s">
        <v>24</v>
      </c>
      <c r="N2175" t="s">
        <v>185</v>
      </c>
      <c r="O2175" t="s">
        <v>151</v>
      </c>
      <c r="P2175">
        <v>2025</v>
      </c>
    </row>
    <row r="2176" spans="1:16" hidden="1" x14ac:dyDescent="0.25">
      <c r="A2176" s="96" t="s">
        <v>2</v>
      </c>
      <c r="B2176" s="96" t="s">
        <v>280</v>
      </c>
      <c r="C2176" s="96" t="s">
        <v>2149</v>
      </c>
      <c r="D2176" s="96" t="s">
        <v>203</v>
      </c>
      <c r="E2176" s="43">
        <v>45851</v>
      </c>
      <c r="F2176" s="43">
        <v>45963</v>
      </c>
      <c r="G2176" s="96" t="s">
        <v>90</v>
      </c>
      <c r="H2176" s="96" t="s">
        <v>5783</v>
      </c>
      <c r="I2176" s="96" t="s">
        <v>194</v>
      </c>
      <c r="J2176" s="96" t="s">
        <v>229</v>
      </c>
      <c r="K2176" s="96" t="s">
        <v>230</v>
      </c>
      <c r="L2176">
        <v>112</v>
      </c>
      <c r="M2176" t="s">
        <v>28</v>
      </c>
      <c r="N2176" t="s">
        <v>187</v>
      </c>
      <c r="O2176" t="s">
        <v>170</v>
      </c>
      <c r="P2176">
        <v>2025</v>
      </c>
    </row>
    <row r="2177" spans="1:16" x14ac:dyDescent="0.25">
      <c r="A2177" s="96" t="s">
        <v>2</v>
      </c>
      <c r="B2177" s="96" t="s">
        <v>244</v>
      </c>
      <c r="C2177" s="96" t="s">
        <v>2150</v>
      </c>
      <c r="D2177" s="96" t="s">
        <v>237</v>
      </c>
      <c r="E2177" s="43">
        <v>46088</v>
      </c>
      <c r="F2177" s="43">
        <v>46151</v>
      </c>
      <c r="G2177" s="96" t="s">
        <v>95</v>
      </c>
      <c r="H2177" s="96" t="s">
        <v>2086</v>
      </c>
      <c r="I2177" s="96" t="s">
        <v>157</v>
      </c>
      <c r="J2177" s="96" t="s">
        <v>165</v>
      </c>
      <c r="K2177" s="96" t="s">
        <v>205</v>
      </c>
      <c r="L2177">
        <v>63</v>
      </c>
      <c r="M2177" t="s">
        <v>28</v>
      </c>
      <c r="N2177" t="s">
        <v>35</v>
      </c>
      <c r="O2177" t="s">
        <v>150</v>
      </c>
      <c r="P2177">
        <v>2026</v>
      </c>
    </row>
    <row r="2178" spans="1:16" hidden="1" x14ac:dyDescent="0.25">
      <c r="A2178" s="96" t="s">
        <v>2</v>
      </c>
      <c r="B2178" s="96" t="s">
        <v>231</v>
      </c>
      <c r="C2178" s="96" t="s">
        <v>2152</v>
      </c>
      <c r="D2178" s="96" t="s">
        <v>203</v>
      </c>
      <c r="E2178" s="43">
        <v>45797</v>
      </c>
      <c r="F2178" s="43">
        <v>45804</v>
      </c>
      <c r="G2178" s="96" t="s">
        <v>92</v>
      </c>
      <c r="H2178" s="96" t="s">
        <v>2087</v>
      </c>
      <c r="I2178" s="96" t="s">
        <v>9</v>
      </c>
      <c r="J2178" s="96" t="s">
        <v>199</v>
      </c>
      <c r="K2178" s="96" t="s">
        <v>217</v>
      </c>
      <c r="L2178">
        <v>7</v>
      </c>
      <c r="M2178" t="s">
        <v>11</v>
      </c>
      <c r="N2178" t="s">
        <v>182</v>
      </c>
      <c r="O2178" t="s">
        <v>170</v>
      </c>
      <c r="P2178">
        <v>2025</v>
      </c>
    </row>
    <row r="2179" spans="1:16" hidden="1" x14ac:dyDescent="0.25">
      <c r="A2179" s="96" t="s">
        <v>2</v>
      </c>
      <c r="B2179" s="96" t="s">
        <v>272</v>
      </c>
      <c r="C2179" s="96" t="s">
        <v>2154</v>
      </c>
      <c r="D2179" s="96" t="s">
        <v>208</v>
      </c>
      <c r="E2179" s="43">
        <v>45755</v>
      </c>
      <c r="F2179" s="43">
        <v>45790</v>
      </c>
      <c r="G2179" s="96" t="s">
        <v>90</v>
      </c>
      <c r="H2179" s="96" t="s">
        <v>5784</v>
      </c>
      <c r="I2179" s="96" t="s">
        <v>194</v>
      </c>
      <c r="J2179" s="96" t="s">
        <v>94</v>
      </c>
      <c r="K2179" s="96" t="s">
        <v>157</v>
      </c>
      <c r="L2179">
        <v>35</v>
      </c>
      <c r="M2179" t="s">
        <v>24</v>
      </c>
      <c r="N2179" t="s">
        <v>185</v>
      </c>
      <c r="O2179" t="s">
        <v>151</v>
      </c>
      <c r="P2179">
        <v>2025</v>
      </c>
    </row>
    <row r="2180" spans="1:16" x14ac:dyDescent="0.25">
      <c r="A2180" s="96" t="s">
        <v>189</v>
      </c>
      <c r="B2180" s="96" t="s">
        <v>234</v>
      </c>
      <c r="C2180" s="96" t="s">
        <v>2156</v>
      </c>
      <c r="D2180" s="96" t="s">
        <v>14</v>
      </c>
      <c r="E2180" s="43">
        <v>46046</v>
      </c>
      <c r="F2180" s="43">
        <v>46146</v>
      </c>
      <c r="G2180" s="96" t="s">
        <v>92</v>
      </c>
      <c r="H2180" s="96" t="s">
        <v>2090</v>
      </c>
      <c r="I2180" s="96" t="s">
        <v>228</v>
      </c>
      <c r="J2180" s="96" t="s">
        <v>97</v>
      </c>
      <c r="K2180" s="96" t="s">
        <v>210</v>
      </c>
      <c r="L2180">
        <v>100</v>
      </c>
      <c r="M2180" t="s">
        <v>28</v>
      </c>
      <c r="N2180" t="s">
        <v>29</v>
      </c>
      <c r="O2180" t="s">
        <v>150</v>
      </c>
      <c r="P2180">
        <v>2026</v>
      </c>
    </row>
    <row r="2181" spans="1:16" x14ac:dyDescent="0.25">
      <c r="A2181" s="96" t="s">
        <v>2</v>
      </c>
      <c r="B2181" s="96" t="s">
        <v>219</v>
      </c>
      <c r="C2181" s="96" t="s">
        <v>2158</v>
      </c>
      <c r="D2181" s="96" t="s">
        <v>208</v>
      </c>
      <c r="E2181" s="43">
        <v>46026</v>
      </c>
      <c r="F2181" s="43">
        <v>46027</v>
      </c>
      <c r="G2181" s="96" t="s">
        <v>90</v>
      </c>
      <c r="H2181" s="96" t="s">
        <v>2092</v>
      </c>
      <c r="I2181" s="96" t="s">
        <v>194</v>
      </c>
      <c r="J2181" s="96" t="s">
        <v>174</v>
      </c>
      <c r="K2181" s="96" t="s">
        <v>205</v>
      </c>
      <c r="L2181">
        <v>1</v>
      </c>
      <c r="M2181" t="s">
        <v>11</v>
      </c>
      <c r="N2181" t="s">
        <v>29</v>
      </c>
      <c r="O2181" t="s">
        <v>149</v>
      </c>
      <c r="P2181">
        <v>2026</v>
      </c>
    </row>
    <row r="2182" spans="1:16" x14ac:dyDescent="0.25">
      <c r="A2182" s="96" t="s">
        <v>2</v>
      </c>
      <c r="B2182" s="96" t="s">
        <v>269</v>
      </c>
      <c r="C2182" s="96" t="s">
        <v>2160</v>
      </c>
      <c r="D2182" s="96" t="s">
        <v>14</v>
      </c>
      <c r="E2182" s="43">
        <v>46067</v>
      </c>
      <c r="F2182" s="43">
        <v>46105</v>
      </c>
      <c r="G2182" s="96" t="s">
        <v>95</v>
      </c>
      <c r="H2182" s="96" t="s">
        <v>2094</v>
      </c>
      <c r="I2182" s="96" t="s">
        <v>204</v>
      </c>
      <c r="J2182" s="96" t="s">
        <v>165</v>
      </c>
      <c r="K2182" s="96" t="s">
        <v>200</v>
      </c>
      <c r="L2182">
        <v>38</v>
      </c>
      <c r="M2182" t="s">
        <v>24</v>
      </c>
      <c r="N2182" t="s">
        <v>32</v>
      </c>
      <c r="O2182" t="s">
        <v>152</v>
      </c>
      <c r="P2182">
        <v>2026</v>
      </c>
    </row>
    <row r="2183" spans="1:16" hidden="1" x14ac:dyDescent="0.25">
      <c r="A2183" s="96" t="s">
        <v>2</v>
      </c>
      <c r="B2183" s="96" t="s">
        <v>213</v>
      </c>
      <c r="C2183" s="96" t="s">
        <v>2163</v>
      </c>
      <c r="D2183" s="96" t="s">
        <v>10</v>
      </c>
      <c r="E2183" s="43">
        <v>45753</v>
      </c>
      <c r="F2183" s="43">
        <v>45869</v>
      </c>
      <c r="G2183" s="96" t="s">
        <v>90</v>
      </c>
      <c r="H2183" s="96" t="s">
        <v>2096</v>
      </c>
      <c r="I2183" s="96" t="s">
        <v>157</v>
      </c>
      <c r="J2183" s="96" t="s">
        <v>98</v>
      </c>
      <c r="K2183" s="96" t="s">
        <v>205</v>
      </c>
      <c r="L2183">
        <v>116</v>
      </c>
      <c r="M2183" t="s">
        <v>28</v>
      </c>
      <c r="N2183" t="s">
        <v>185</v>
      </c>
      <c r="O2183" t="s">
        <v>149</v>
      </c>
      <c r="P2183">
        <v>2025</v>
      </c>
    </row>
    <row r="2184" spans="1:16" hidden="1" x14ac:dyDescent="0.25">
      <c r="A2184" s="96" t="s">
        <v>2</v>
      </c>
      <c r="B2184" s="96" t="s">
        <v>322</v>
      </c>
      <c r="C2184" s="96" t="s">
        <v>2164</v>
      </c>
      <c r="D2184" s="96" t="s">
        <v>40</v>
      </c>
      <c r="E2184" s="43">
        <v>45679</v>
      </c>
      <c r="F2184" s="43">
        <v>45793</v>
      </c>
      <c r="G2184" s="96" t="s">
        <v>92</v>
      </c>
      <c r="H2184" s="96" t="s">
        <v>5785</v>
      </c>
      <c r="I2184" s="96" t="s">
        <v>225</v>
      </c>
      <c r="J2184" s="96" t="s">
        <v>169</v>
      </c>
      <c r="K2184" s="96" t="s">
        <v>205</v>
      </c>
      <c r="L2184">
        <v>114</v>
      </c>
      <c r="M2184" t="s">
        <v>28</v>
      </c>
      <c r="N2184" t="s">
        <v>181</v>
      </c>
      <c r="O2184" t="s">
        <v>150</v>
      </c>
      <c r="P2184">
        <v>2025</v>
      </c>
    </row>
    <row r="2185" spans="1:16" x14ac:dyDescent="0.25">
      <c r="A2185" s="96" t="s">
        <v>2</v>
      </c>
      <c r="B2185" s="96" t="s">
        <v>317</v>
      </c>
      <c r="C2185" s="96" t="s">
        <v>5786</v>
      </c>
      <c r="D2185" s="96" t="s">
        <v>237</v>
      </c>
      <c r="E2185" s="43">
        <v>46128</v>
      </c>
      <c r="F2185" s="43">
        <v>46150</v>
      </c>
      <c r="G2185" s="96" t="s">
        <v>92</v>
      </c>
      <c r="H2185" s="96" t="s">
        <v>5787</v>
      </c>
      <c r="I2185" s="96" t="s">
        <v>157</v>
      </c>
      <c r="J2185" s="96" t="s">
        <v>168</v>
      </c>
      <c r="K2185" s="96" t="s">
        <v>210</v>
      </c>
      <c r="L2185">
        <v>22</v>
      </c>
      <c r="M2185" t="s">
        <v>19</v>
      </c>
      <c r="N2185" t="s">
        <v>37</v>
      </c>
      <c r="O2185" t="s">
        <v>170</v>
      </c>
      <c r="P2185">
        <v>2026</v>
      </c>
    </row>
    <row r="2186" spans="1:16" hidden="1" x14ac:dyDescent="0.25">
      <c r="A2186" s="96" t="s">
        <v>2</v>
      </c>
      <c r="B2186" s="96" t="s">
        <v>211</v>
      </c>
      <c r="C2186" s="96" t="s">
        <v>2165</v>
      </c>
      <c r="D2186" s="96" t="s">
        <v>208</v>
      </c>
      <c r="E2186" s="43">
        <v>45777</v>
      </c>
      <c r="F2186" s="43">
        <v>45877</v>
      </c>
      <c r="G2186" s="96" t="s">
        <v>92</v>
      </c>
      <c r="H2186" s="96" t="s">
        <v>5788</v>
      </c>
      <c r="I2186" s="96" t="s">
        <v>209</v>
      </c>
      <c r="J2186" s="96" t="s">
        <v>174</v>
      </c>
      <c r="K2186" s="96" t="s">
        <v>205</v>
      </c>
      <c r="L2186">
        <v>100</v>
      </c>
      <c r="M2186" t="s">
        <v>28</v>
      </c>
      <c r="N2186" t="s">
        <v>185</v>
      </c>
      <c r="O2186" t="s">
        <v>170</v>
      </c>
      <c r="P2186">
        <v>2025</v>
      </c>
    </row>
    <row r="2187" spans="1:16" hidden="1" x14ac:dyDescent="0.25">
      <c r="A2187" s="96" t="s">
        <v>175</v>
      </c>
      <c r="B2187" s="96" t="s">
        <v>213</v>
      </c>
      <c r="C2187" s="96" t="s">
        <v>2166</v>
      </c>
      <c r="D2187" s="96" t="s">
        <v>14</v>
      </c>
      <c r="E2187" s="43">
        <v>45669</v>
      </c>
      <c r="F2187" s="43">
        <v>45706</v>
      </c>
      <c r="G2187" s="96" t="s">
        <v>92</v>
      </c>
      <c r="H2187" s="96" t="s">
        <v>5789</v>
      </c>
      <c r="I2187" s="96" t="s">
        <v>9</v>
      </c>
      <c r="J2187" s="96" t="s">
        <v>174</v>
      </c>
      <c r="K2187" s="96" t="s">
        <v>195</v>
      </c>
      <c r="L2187">
        <v>37</v>
      </c>
      <c r="M2187" t="s">
        <v>24</v>
      </c>
      <c r="N2187" t="s">
        <v>181</v>
      </c>
      <c r="O2187" t="s">
        <v>149</v>
      </c>
      <c r="P2187">
        <v>2025</v>
      </c>
    </row>
    <row r="2188" spans="1:16" hidden="1" x14ac:dyDescent="0.25">
      <c r="A2188" s="96" t="s">
        <v>2</v>
      </c>
      <c r="B2188" s="96" t="s">
        <v>238</v>
      </c>
      <c r="C2188" s="96" t="s">
        <v>2167</v>
      </c>
      <c r="D2188" s="96" t="s">
        <v>208</v>
      </c>
      <c r="E2188" s="43">
        <v>45821</v>
      </c>
      <c r="F2188" s="43">
        <v>45822</v>
      </c>
      <c r="G2188" s="96" t="s">
        <v>92</v>
      </c>
      <c r="H2188" s="96" t="s">
        <v>5790</v>
      </c>
      <c r="I2188" s="96" t="s">
        <v>194</v>
      </c>
      <c r="J2188" s="96" t="s">
        <v>177</v>
      </c>
      <c r="K2188" s="96" t="s">
        <v>205</v>
      </c>
      <c r="L2188">
        <v>1</v>
      </c>
      <c r="M2188" t="s">
        <v>11</v>
      </c>
      <c r="N2188" t="s">
        <v>184</v>
      </c>
      <c r="O2188" t="s">
        <v>170</v>
      </c>
      <c r="P2188">
        <v>2025</v>
      </c>
    </row>
    <row r="2189" spans="1:16" x14ac:dyDescent="0.25">
      <c r="A2189" s="96" t="s">
        <v>2</v>
      </c>
      <c r="B2189" s="96" t="s">
        <v>261</v>
      </c>
      <c r="C2189" s="96" t="s">
        <v>2168</v>
      </c>
      <c r="D2189" s="96" t="s">
        <v>10</v>
      </c>
      <c r="E2189" s="43">
        <v>46087</v>
      </c>
      <c r="F2189" s="43">
        <v>46143</v>
      </c>
      <c r="G2189" s="96" t="s">
        <v>92</v>
      </c>
      <c r="H2189" s="96" t="s">
        <v>5791</v>
      </c>
      <c r="I2189" s="96" t="s">
        <v>209</v>
      </c>
      <c r="J2189" s="96" t="s">
        <v>93</v>
      </c>
      <c r="K2189" s="96" t="s">
        <v>217</v>
      </c>
      <c r="L2189">
        <v>56</v>
      </c>
      <c r="M2189" t="s">
        <v>24</v>
      </c>
      <c r="N2189" t="s">
        <v>35</v>
      </c>
      <c r="O2189" t="s">
        <v>151</v>
      </c>
      <c r="P2189">
        <v>2026</v>
      </c>
    </row>
    <row r="2190" spans="1:16" x14ac:dyDescent="0.25">
      <c r="A2190" s="96" t="s">
        <v>2</v>
      </c>
      <c r="B2190" s="96" t="s">
        <v>201</v>
      </c>
      <c r="C2190" s="96" t="s">
        <v>2169</v>
      </c>
      <c r="D2190" s="96" t="s">
        <v>208</v>
      </c>
      <c r="E2190" s="43">
        <v>46144</v>
      </c>
      <c r="F2190" s="43">
        <v>46151</v>
      </c>
      <c r="G2190" s="96" t="s">
        <v>92</v>
      </c>
      <c r="H2190" s="96" t="s">
        <v>5792</v>
      </c>
      <c r="I2190" s="96" t="s">
        <v>228</v>
      </c>
      <c r="J2190" s="96" t="s">
        <v>283</v>
      </c>
      <c r="K2190" s="96" t="s">
        <v>157</v>
      </c>
      <c r="L2190">
        <v>7</v>
      </c>
      <c r="M2190" t="s">
        <v>11</v>
      </c>
      <c r="N2190" t="s">
        <v>183</v>
      </c>
      <c r="O2190" t="s">
        <v>170</v>
      </c>
      <c r="P2190">
        <v>2026</v>
      </c>
    </row>
    <row r="2191" spans="1:16" hidden="1" x14ac:dyDescent="0.25">
      <c r="A2191" s="96" t="s">
        <v>21</v>
      </c>
      <c r="B2191" s="96" t="s">
        <v>211</v>
      </c>
      <c r="C2191" s="96" t="s">
        <v>5793</v>
      </c>
      <c r="D2191" s="96" t="s">
        <v>208</v>
      </c>
      <c r="E2191" s="43">
        <v>45757</v>
      </c>
      <c r="F2191" s="43">
        <v>45838</v>
      </c>
      <c r="G2191" s="96" t="s">
        <v>90</v>
      </c>
      <c r="H2191" s="96" t="s">
        <v>5794</v>
      </c>
      <c r="I2191" s="96" t="s">
        <v>209</v>
      </c>
      <c r="J2191" s="96" t="s">
        <v>172</v>
      </c>
      <c r="K2191" s="96" t="s">
        <v>230</v>
      </c>
      <c r="L2191">
        <v>81</v>
      </c>
      <c r="M2191" t="s">
        <v>28</v>
      </c>
      <c r="N2191" t="s">
        <v>185</v>
      </c>
      <c r="O2191" t="s">
        <v>170</v>
      </c>
      <c r="P2191">
        <v>2025</v>
      </c>
    </row>
    <row r="2192" spans="1:16" hidden="1" x14ac:dyDescent="0.25">
      <c r="A2192" s="96" t="s">
        <v>2</v>
      </c>
      <c r="B2192" s="96" t="s">
        <v>211</v>
      </c>
      <c r="C2192" s="96" t="s">
        <v>5795</v>
      </c>
      <c r="D2192" s="96" t="s">
        <v>14</v>
      </c>
      <c r="E2192" s="43">
        <v>45936</v>
      </c>
      <c r="F2192" s="43">
        <v>46024</v>
      </c>
      <c r="G2192" s="96" t="s">
        <v>90</v>
      </c>
      <c r="H2192" s="96" t="s">
        <v>5796</v>
      </c>
      <c r="I2192" s="96" t="s">
        <v>9</v>
      </c>
      <c r="J2192" s="96" t="s">
        <v>168</v>
      </c>
      <c r="K2192" s="96" t="s">
        <v>200</v>
      </c>
      <c r="L2192">
        <v>88</v>
      </c>
      <c r="M2192" t="s">
        <v>28</v>
      </c>
      <c r="N2192" t="s">
        <v>16</v>
      </c>
      <c r="O2192" t="s">
        <v>170</v>
      </c>
      <c r="P2192">
        <v>2025</v>
      </c>
    </row>
    <row r="2193" spans="1:16" hidden="1" x14ac:dyDescent="0.25">
      <c r="A2193" s="96" t="s">
        <v>2</v>
      </c>
      <c r="B2193" s="96" t="s">
        <v>272</v>
      </c>
      <c r="C2193" s="96" t="s">
        <v>2170</v>
      </c>
      <c r="D2193" s="96" t="s">
        <v>34</v>
      </c>
      <c r="E2193" s="43">
        <v>45913</v>
      </c>
      <c r="F2193" s="43">
        <v>46015</v>
      </c>
      <c r="G2193" s="96" t="s">
        <v>90</v>
      </c>
      <c r="H2193" s="96" t="s">
        <v>5797</v>
      </c>
      <c r="I2193" s="96" t="s">
        <v>204</v>
      </c>
      <c r="J2193" s="96" t="s">
        <v>176</v>
      </c>
      <c r="K2193" s="96" t="s">
        <v>195</v>
      </c>
      <c r="L2193">
        <v>102</v>
      </c>
      <c r="M2193" t="s">
        <v>28</v>
      </c>
      <c r="N2193" t="s">
        <v>12</v>
      </c>
      <c r="O2193" t="s">
        <v>151</v>
      </c>
      <c r="P2193">
        <v>2025</v>
      </c>
    </row>
    <row r="2194" spans="1:16" x14ac:dyDescent="0.25">
      <c r="A2194" s="96" t="s">
        <v>2</v>
      </c>
      <c r="B2194" s="96" t="s">
        <v>290</v>
      </c>
      <c r="C2194" s="96" t="s">
        <v>2171</v>
      </c>
      <c r="D2194" s="96" t="s">
        <v>208</v>
      </c>
      <c r="E2194" s="43">
        <v>46075</v>
      </c>
      <c r="F2194" s="43">
        <v>46147</v>
      </c>
      <c r="G2194" s="96" t="s">
        <v>92</v>
      </c>
      <c r="H2194" s="96" t="s">
        <v>5798</v>
      </c>
      <c r="I2194" s="96" t="s">
        <v>228</v>
      </c>
      <c r="J2194" s="96" t="s">
        <v>229</v>
      </c>
      <c r="K2194" s="96" t="s">
        <v>246</v>
      </c>
      <c r="L2194">
        <v>72</v>
      </c>
      <c r="M2194" t="s">
        <v>28</v>
      </c>
      <c r="N2194" t="s">
        <v>32</v>
      </c>
      <c r="O2194" t="s">
        <v>149</v>
      </c>
      <c r="P2194">
        <v>2026</v>
      </c>
    </row>
    <row r="2195" spans="1:16" hidden="1" x14ac:dyDescent="0.25">
      <c r="A2195" s="96" t="s">
        <v>2</v>
      </c>
      <c r="B2195" s="96" t="s">
        <v>190</v>
      </c>
      <c r="C2195" s="96" t="s">
        <v>5799</v>
      </c>
      <c r="D2195" s="96" t="s">
        <v>203</v>
      </c>
      <c r="E2195" s="43">
        <v>45727</v>
      </c>
      <c r="F2195" s="43">
        <v>45769</v>
      </c>
      <c r="G2195" s="96" t="s">
        <v>90</v>
      </c>
      <c r="H2195" s="96" t="s">
        <v>5800</v>
      </c>
      <c r="I2195" s="96" t="s">
        <v>204</v>
      </c>
      <c r="J2195" s="96" t="s">
        <v>169</v>
      </c>
      <c r="K2195" s="96" t="s">
        <v>157</v>
      </c>
      <c r="L2195">
        <v>42</v>
      </c>
      <c r="M2195" t="s">
        <v>24</v>
      </c>
      <c r="N2195" t="s">
        <v>186</v>
      </c>
      <c r="O2195" t="s">
        <v>150</v>
      </c>
      <c r="P2195">
        <v>2025</v>
      </c>
    </row>
    <row r="2196" spans="1:16" hidden="1" x14ac:dyDescent="0.25">
      <c r="A2196" s="96" t="s">
        <v>2</v>
      </c>
      <c r="B2196" s="96" t="s">
        <v>280</v>
      </c>
      <c r="C2196" s="96" t="s">
        <v>2172</v>
      </c>
      <c r="D2196" s="96" t="s">
        <v>215</v>
      </c>
      <c r="E2196" s="43">
        <v>45778</v>
      </c>
      <c r="F2196" s="43">
        <v>45825</v>
      </c>
      <c r="G2196" s="96" t="s">
        <v>92</v>
      </c>
      <c r="H2196" s="96" t="s">
        <v>5801</v>
      </c>
      <c r="I2196" s="96" t="s">
        <v>209</v>
      </c>
      <c r="J2196" s="96" t="s">
        <v>174</v>
      </c>
      <c r="K2196" s="96" t="s">
        <v>246</v>
      </c>
      <c r="L2196">
        <v>47</v>
      </c>
      <c r="M2196" t="s">
        <v>24</v>
      </c>
      <c r="N2196" t="s">
        <v>182</v>
      </c>
      <c r="O2196" t="s">
        <v>170</v>
      </c>
      <c r="P2196">
        <v>2025</v>
      </c>
    </row>
    <row r="2197" spans="1:16" x14ac:dyDescent="0.25">
      <c r="A2197" s="96" t="s">
        <v>21</v>
      </c>
      <c r="B2197" s="96" t="s">
        <v>218</v>
      </c>
      <c r="C2197" s="96" t="s">
        <v>2174</v>
      </c>
      <c r="D2197" s="96" t="s">
        <v>237</v>
      </c>
      <c r="E2197" s="43">
        <v>46027</v>
      </c>
      <c r="F2197" s="43">
        <v>46048</v>
      </c>
      <c r="G2197" s="96" t="s">
        <v>92</v>
      </c>
      <c r="H2197" s="96" t="s">
        <v>5802</v>
      </c>
      <c r="I2197" s="96" t="s">
        <v>209</v>
      </c>
      <c r="J2197" s="96" t="s">
        <v>283</v>
      </c>
      <c r="K2197" s="96" t="s">
        <v>205</v>
      </c>
      <c r="L2197">
        <v>21</v>
      </c>
      <c r="M2197" t="s">
        <v>19</v>
      </c>
      <c r="N2197" t="s">
        <v>29</v>
      </c>
      <c r="O2197" t="s">
        <v>152</v>
      </c>
      <c r="P2197">
        <v>2026</v>
      </c>
    </row>
    <row r="2198" spans="1:16" hidden="1" x14ac:dyDescent="0.25">
      <c r="A2198" s="96" t="s">
        <v>2</v>
      </c>
      <c r="B2198" s="96" t="s">
        <v>272</v>
      </c>
      <c r="C2198" s="96" t="s">
        <v>2176</v>
      </c>
      <c r="D2198" s="96" t="s">
        <v>215</v>
      </c>
      <c r="E2198" s="43">
        <v>45928</v>
      </c>
      <c r="F2198" s="43">
        <v>45968</v>
      </c>
      <c r="G2198" s="96" t="s">
        <v>92</v>
      </c>
      <c r="H2198" s="96" t="s">
        <v>5803</v>
      </c>
      <c r="I2198" s="96" t="s">
        <v>228</v>
      </c>
      <c r="J2198" s="96" t="s">
        <v>98</v>
      </c>
      <c r="K2198" s="96" t="s">
        <v>205</v>
      </c>
      <c r="L2198">
        <v>40</v>
      </c>
      <c r="M2198" t="s">
        <v>24</v>
      </c>
      <c r="N2198" t="s">
        <v>12</v>
      </c>
      <c r="O2198" t="s">
        <v>151</v>
      </c>
      <c r="P2198">
        <v>2025</v>
      </c>
    </row>
    <row r="2199" spans="1:16" hidden="1" x14ac:dyDescent="0.25">
      <c r="A2199" s="96" t="s">
        <v>2</v>
      </c>
      <c r="B2199" s="96" t="s">
        <v>206</v>
      </c>
      <c r="C2199" s="96" t="s">
        <v>2177</v>
      </c>
      <c r="D2199" s="96" t="s">
        <v>208</v>
      </c>
      <c r="E2199" s="43">
        <v>45859</v>
      </c>
      <c r="F2199" s="43">
        <v>45961</v>
      </c>
      <c r="G2199" s="96" t="s">
        <v>92</v>
      </c>
      <c r="H2199" s="96" t="s">
        <v>5804</v>
      </c>
      <c r="I2199" s="96" t="s">
        <v>194</v>
      </c>
      <c r="J2199" s="96" t="s">
        <v>229</v>
      </c>
      <c r="K2199" s="96" t="s">
        <v>210</v>
      </c>
      <c r="L2199">
        <v>102</v>
      </c>
      <c r="M2199" t="s">
        <v>28</v>
      </c>
      <c r="N2199" t="s">
        <v>187</v>
      </c>
      <c r="O2199" t="s">
        <v>152</v>
      </c>
      <c r="P2199">
        <v>2025</v>
      </c>
    </row>
    <row r="2200" spans="1:16" hidden="1" x14ac:dyDescent="0.25">
      <c r="A2200" s="96" t="s">
        <v>175</v>
      </c>
      <c r="B2200" s="96" t="s">
        <v>190</v>
      </c>
      <c r="C2200" s="96" t="s">
        <v>5805</v>
      </c>
      <c r="D2200" s="96" t="s">
        <v>10</v>
      </c>
      <c r="E2200" s="43">
        <v>45828</v>
      </c>
      <c r="F2200" s="43">
        <v>45939</v>
      </c>
      <c r="G2200" s="96" t="s">
        <v>90</v>
      </c>
      <c r="H2200" s="96" t="s">
        <v>5806</v>
      </c>
      <c r="I2200" s="96" t="s">
        <v>157</v>
      </c>
      <c r="J2200" s="96" t="s">
        <v>199</v>
      </c>
      <c r="K2200" s="96" t="s">
        <v>217</v>
      </c>
      <c r="L2200">
        <v>111</v>
      </c>
      <c r="M2200" t="s">
        <v>28</v>
      </c>
      <c r="N2200" t="s">
        <v>184</v>
      </c>
      <c r="O2200" t="s">
        <v>150</v>
      </c>
      <c r="P2200">
        <v>2025</v>
      </c>
    </row>
    <row r="2201" spans="1:16" hidden="1" x14ac:dyDescent="0.25">
      <c r="A2201" s="96" t="s">
        <v>2</v>
      </c>
      <c r="B2201" s="96" t="s">
        <v>240</v>
      </c>
      <c r="C2201" s="96" t="s">
        <v>2178</v>
      </c>
      <c r="D2201" s="96" t="s">
        <v>237</v>
      </c>
      <c r="E2201" s="43">
        <v>45783</v>
      </c>
      <c r="F2201" s="43">
        <v>45818</v>
      </c>
      <c r="G2201" s="96" t="s">
        <v>90</v>
      </c>
      <c r="H2201" s="96" t="s">
        <v>2104</v>
      </c>
      <c r="I2201" s="96" t="s">
        <v>209</v>
      </c>
      <c r="J2201" s="96" t="s">
        <v>91</v>
      </c>
      <c r="K2201" s="96" t="s">
        <v>230</v>
      </c>
      <c r="L2201">
        <v>35</v>
      </c>
      <c r="M2201" t="s">
        <v>24</v>
      </c>
      <c r="N2201" t="s">
        <v>182</v>
      </c>
      <c r="O2201" t="s">
        <v>149</v>
      </c>
      <c r="P2201">
        <v>2025</v>
      </c>
    </row>
    <row r="2202" spans="1:16" x14ac:dyDescent="0.25">
      <c r="A2202" s="96" t="s">
        <v>2</v>
      </c>
      <c r="B2202" s="96" t="s">
        <v>226</v>
      </c>
      <c r="C2202" s="96" t="s">
        <v>5807</v>
      </c>
      <c r="D2202" s="96" t="s">
        <v>34</v>
      </c>
      <c r="E2202" s="43">
        <v>46110</v>
      </c>
      <c r="F2202" s="43">
        <v>46133</v>
      </c>
      <c r="G2202" s="96" t="s">
        <v>90</v>
      </c>
      <c r="H2202" s="96" t="s">
        <v>2106</v>
      </c>
      <c r="I2202" s="96" t="s">
        <v>225</v>
      </c>
      <c r="J2202" s="96" t="s">
        <v>91</v>
      </c>
      <c r="K2202" s="96" t="s">
        <v>200</v>
      </c>
      <c r="L2202">
        <v>23</v>
      </c>
      <c r="M2202" t="s">
        <v>19</v>
      </c>
      <c r="N2202" t="s">
        <v>35</v>
      </c>
      <c r="O2202" t="s">
        <v>151</v>
      </c>
      <c r="P2202">
        <v>2026</v>
      </c>
    </row>
    <row r="2203" spans="1:16" hidden="1" x14ac:dyDescent="0.25">
      <c r="A2203" s="96" t="s">
        <v>2</v>
      </c>
      <c r="B2203" s="96" t="s">
        <v>264</v>
      </c>
      <c r="C2203" s="96" t="s">
        <v>5808</v>
      </c>
      <c r="D2203" s="96" t="s">
        <v>215</v>
      </c>
      <c r="E2203" s="43">
        <v>45803</v>
      </c>
      <c r="F2203" s="43">
        <v>45839</v>
      </c>
      <c r="G2203" s="96" t="s">
        <v>90</v>
      </c>
      <c r="H2203" s="96" t="s">
        <v>2108</v>
      </c>
      <c r="I2203" s="96" t="s">
        <v>204</v>
      </c>
      <c r="J2203" s="96" t="s">
        <v>96</v>
      </c>
      <c r="K2203" s="96" t="s">
        <v>210</v>
      </c>
      <c r="L2203">
        <v>36</v>
      </c>
      <c r="M2203" t="s">
        <v>24</v>
      </c>
      <c r="N2203" t="s">
        <v>182</v>
      </c>
      <c r="O2203" t="s">
        <v>152</v>
      </c>
      <c r="P2203">
        <v>2025</v>
      </c>
    </row>
    <row r="2204" spans="1:16" x14ac:dyDescent="0.25">
      <c r="A2204" s="96" t="s">
        <v>2</v>
      </c>
      <c r="B2204" s="96" t="s">
        <v>249</v>
      </c>
      <c r="C2204" s="96" t="s">
        <v>2179</v>
      </c>
      <c r="D2204" s="96" t="s">
        <v>215</v>
      </c>
      <c r="E2204" s="43">
        <v>46043</v>
      </c>
      <c r="F2204" s="43">
        <v>46124</v>
      </c>
      <c r="G2204" s="96" t="s">
        <v>90</v>
      </c>
      <c r="H2204" s="96" t="s">
        <v>5809</v>
      </c>
      <c r="I2204" s="96" t="s">
        <v>228</v>
      </c>
      <c r="J2204" s="96" t="s">
        <v>199</v>
      </c>
      <c r="K2204" s="96" t="s">
        <v>200</v>
      </c>
      <c r="L2204">
        <v>81</v>
      </c>
      <c r="M2204" t="s">
        <v>28</v>
      </c>
      <c r="N2204" t="s">
        <v>29</v>
      </c>
      <c r="O2204" t="s">
        <v>170</v>
      </c>
      <c r="P2204">
        <v>2026</v>
      </c>
    </row>
    <row r="2205" spans="1:16" hidden="1" x14ac:dyDescent="0.25">
      <c r="A2205" s="96" t="s">
        <v>2</v>
      </c>
      <c r="B2205" s="96" t="s">
        <v>213</v>
      </c>
      <c r="C2205" s="96" t="s">
        <v>2181</v>
      </c>
      <c r="D2205" s="96" t="s">
        <v>14</v>
      </c>
      <c r="E2205" s="43">
        <v>45988</v>
      </c>
      <c r="F2205" s="43">
        <v>46061</v>
      </c>
      <c r="G2205" s="96" t="s">
        <v>92</v>
      </c>
      <c r="H2205" s="96" t="s">
        <v>5810</v>
      </c>
      <c r="I2205" s="96" t="s">
        <v>204</v>
      </c>
      <c r="J2205" s="96" t="s">
        <v>97</v>
      </c>
      <c r="K2205" s="96" t="s">
        <v>233</v>
      </c>
      <c r="L2205">
        <v>73</v>
      </c>
      <c r="M2205" t="s">
        <v>28</v>
      </c>
      <c r="N2205" t="s">
        <v>20</v>
      </c>
      <c r="O2205" t="s">
        <v>149</v>
      </c>
      <c r="P2205">
        <v>2025</v>
      </c>
    </row>
    <row r="2206" spans="1:16" x14ac:dyDescent="0.25">
      <c r="A2206" s="96" t="s">
        <v>21</v>
      </c>
      <c r="B2206" s="96" t="s">
        <v>226</v>
      </c>
      <c r="C2206" s="96" t="s">
        <v>2183</v>
      </c>
      <c r="D2206" s="96" t="s">
        <v>208</v>
      </c>
      <c r="E2206" s="43">
        <v>46079</v>
      </c>
      <c r="F2206" s="43">
        <v>46149</v>
      </c>
      <c r="G2206" s="96" t="s">
        <v>90</v>
      </c>
      <c r="H2206" s="96" t="s">
        <v>5811</v>
      </c>
      <c r="I2206" s="96" t="s">
        <v>157</v>
      </c>
      <c r="J2206" s="96" t="s">
        <v>98</v>
      </c>
      <c r="K2206" s="96" t="s">
        <v>210</v>
      </c>
      <c r="L2206">
        <v>70</v>
      </c>
      <c r="M2206" t="s">
        <v>28</v>
      </c>
      <c r="N2206" t="s">
        <v>32</v>
      </c>
      <c r="O2206" t="s">
        <v>151</v>
      </c>
      <c r="P2206">
        <v>2026</v>
      </c>
    </row>
    <row r="2207" spans="1:16" hidden="1" x14ac:dyDescent="0.25">
      <c r="A2207" s="96" t="s">
        <v>2</v>
      </c>
      <c r="B2207" s="96" t="s">
        <v>213</v>
      </c>
      <c r="C2207" s="96" t="s">
        <v>2186</v>
      </c>
      <c r="D2207" s="96" t="s">
        <v>14</v>
      </c>
      <c r="E2207" s="43">
        <v>45682</v>
      </c>
      <c r="F2207" s="43">
        <v>45787</v>
      </c>
      <c r="G2207" s="96" t="s">
        <v>92</v>
      </c>
      <c r="H2207" s="96" t="s">
        <v>5812</v>
      </c>
      <c r="I2207" s="96" t="s">
        <v>209</v>
      </c>
      <c r="J2207" s="96" t="s">
        <v>172</v>
      </c>
      <c r="K2207" s="96" t="s">
        <v>217</v>
      </c>
      <c r="L2207">
        <v>105</v>
      </c>
      <c r="M2207" t="s">
        <v>28</v>
      </c>
      <c r="N2207" t="s">
        <v>181</v>
      </c>
      <c r="O2207" t="s">
        <v>149</v>
      </c>
      <c r="P2207">
        <v>2025</v>
      </c>
    </row>
    <row r="2208" spans="1:16" x14ac:dyDescent="0.25">
      <c r="A2208" s="96" t="s">
        <v>2</v>
      </c>
      <c r="B2208" s="96" t="s">
        <v>261</v>
      </c>
      <c r="C2208" s="96" t="s">
        <v>2188</v>
      </c>
      <c r="D2208" s="96" t="s">
        <v>203</v>
      </c>
      <c r="E2208" s="43">
        <v>46128</v>
      </c>
      <c r="F2208" s="43">
        <v>46146</v>
      </c>
      <c r="G2208" s="96" t="s">
        <v>90</v>
      </c>
      <c r="H2208" s="96" t="s">
        <v>2111</v>
      </c>
      <c r="I2208" s="96" t="s">
        <v>194</v>
      </c>
      <c r="J2208" s="96" t="s">
        <v>177</v>
      </c>
      <c r="K2208" s="96" t="s">
        <v>217</v>
      </c>
      <c r="L2208">
        <v>18</v>
      </c>
      <c r="M2208" t="s">
        <v>19</v>
      </c>
      <c r="N2208" t="s">
        <v>37</v>
      </c>
      <c r="O2208" t="s">
        <v>151</v>
      </c>
      <c r="P2208">
        <v>2026</v>
      </c>
    </row>
    <row r="2209" spans="1:16" hidden="1" x14ac:dyDescent="0.25">
      <c r="A2209" s="96" t="s">
        <v>2</v>
      </c>
      <c r="B2209" s="96" t="s">
        <v>264</v>
      </c>
      <c r="C2209" s="96" t="s">
        <v>5813</v>
      </c>
      <c r="D2209" s="96" t="s">
        <v>34</v>
      </c>
      <c r="E2209" s="43">
        <v>45875</v>
      </c>
      <c r="F2209" s="43">
        <v>45885</v>
      </c>
      <c r="G2209" s="96" t="s">
        <v>92</v>
      </c>
      <c r="H2209" s="96" t="s">
        <v>2113</v>
      </c>
      <c r="I2209" s="96" t="s">
        <v>204</v>
      </c>
      <c r="J2209" s="96" t="s">
        <v>172</v>
      </c>
      <c r="K2209" s="96" t="s">
        <v>210</v>
      </c>
      <c r="L2209">
        <v>10</v>
      </c>
      <c r="M2209" t="s">
        <v>15</v>
      </c>
      <c r="N2209" t="s">
        <v>8</v>
      </c>
      <c r="O2209" t="s">
        <v>152</v>
      </c>
      <c r="P2209">
        <v>2025</v>
      </c>
    </row>
    <row r="2210" spans="1:16" hidden="1" x14ac:dyDescent="0.25">
      <c r="A2210" s="96" t="s">
        <v>2</v>
      </c>
      <c r="B2210" s="96" t="s">
        <v>257</v>
      </c>
      <c r="C2210" s="96" t="s">
        <v>2189</v>
      </c>
      <c r="D2210" s="96" t="s">
        <v>208</v>
      </c>
      <c r="E2210" s="43">
        <v>45755</v>
      </c>
      <c r="F2210" s="43">
        <v>45766</v>
      </c>
      <c r="G2210" s="96" t="s">
        <v>92</v>
      </c>
      <c r="H2210" s="96" t="s">
        <v>5814</v>
      </c>
      <c r="I2210" s="96" t="s">
        <v>225</v>
      </c>
      <c r="J2210" s="96" t="s">
        <v>98</v>
      </c>
      <c r="K2210" s="96" t="s">
        <v>157</v>
      </c>
      <c r="L2210">
        <v>11</v>
      </c>
      <c r="M2210" t="s">
        <v>15</v>
      </c>
      <c r="N2210" t="s">
        <v>185</v>
      </c>
      <c r="O2210" t="s">
        <v>151</v>
      </c>
      <c r="P2210">
        <v>2025</v>
      </c>
    </row>
    <row r="2211" spans="1:16" hidden="1" x14ac:dyDescent="0.25">
      <c r="A2211" s="96" t="s">
        <v>189</v>
      </c>
      <c r="B2211" s="96" t="s">
        <v>322</v>
      </c>
      <c r="C2211" s="96" t="s">
        <v>2190</v>
      </c>
      <c r="D2211" s="96" t="s">
        <v>40</v>
      </c>
      <c r="E2211" s="43">
        <v>45919</v>
      </c>
      <c r="F2211" s="43">
        <v>45949</v>
      </c>
      <c r="G2211" s="96" t="s">
        <v>92</v>
      </c>
      <c r="H2211" s="96" t="s">
        <v>2115</v>
      </c>
      <c r="I2211" s="96" t="s">
        <v>209</v>
      </c>
      <c r="J2211" s="96" t="s">
        <v>98</v>
      </c>
      <c r="K2211" s="96" t="s">
        <v>230</v>
      </c>
      <c r="L2211">
        <v>30</v>
      </c>
      <c r="M2211" t="s">
        <v>19</v>
      </c>
      <c r="N2211" t="s">
        <v>12</v>
      </c>
      <c r="O2211" t="s">
        <v>150</v>
      </c>
      <c r="P2211">
        <v>2025</v>
      </c>
    </row>
    <row r="2212" spans="1:16" x14ac:dyDescent="0.25">
      <c r="A2212" s="96" t="s">
        <v>175</v>
      </c>
      <c r="B2212" s="96" t="s">
        <v>290</v>
      </c>
      <c r="C2212" s="96" t="s">
        <v>2192</v>
      </c>
      <c r="D2212" s="96" t="s">
        <v>208</v>
      </c>
      <c r="E2212" s="43">
        <v>46040</v>
      </c>
      <c r="F2212" s="43">
        <v>46077</v>
      </c>
      <c r="G2212" s="96" t="s">
        <v>92</v>
      </c>
      <c r="H2212" s="96" t="s">
        <v>2116</v>
      </c>
      <c r="I2212" s="96" t="s">
        <v>225</v>
      </c>
      <c r="J2212" s="96" t="s">
        <v>216</v>
      </c>
      <c r="K2212" s="96" t="s">
        <v>210</v>
      </c>
      <c r="L2212">
        <v>37</v>
      </c>
      <c r="M2212" t="s">
        <v>24</v>
      </c>
      <c r="N2212" t="s">
        <v>29</v>
      </c>
      <c r="O2212" t="s">
        <v>149</v>
      </c>
      <c r="P2212">
        <v>2026</v>
      </c>
    </row>
    <row r="2213" spans="1:16" hidden="1" x14ac:dyDescent="0.25">
      <c r="A2213" s="96" t="s">
        <v>2</v>
      </c>
      <c r="B2213" s="96" t="s">
        <v>272</v>
      </c>
      <c r="C2213" s="96" t="s">
        <v>2195</v>
      </c>
      <c r="D2213" s="96" t="s">
        <v>34</v>
      </c>
      <c r="E2213" s="43">
        <v>45823</v>
      </c>
      <c r="F2213" s="43">
        <v>45908</v>
      </c>
      <c r="G2213" s="96" t="s">
        <v>90</v>
      </c>
      <c r="H2213" s="96" t="s">
        <v>5815</v>
      </c>
      <c r="I2213" s="96" t="s">
        <v>228</v>
      </c>
      <c r="J2213" s="96" t="s">
        <v>94</v>
      </c>
      <c r="K2213" s="96" t="s">
        <v>195</v>
      </c>
      <c r="L2213">
        <v>85</v>
      </c>
      <c r="M2213" t="s">
        <v>28</v>
      </c>
      <c r="N2213" t="s">
        <v>184</v>
      </c>
      <c r="O2213" t="s">
        <v>151</v>
      </c>
      <c r="P2213">
        <v>2025</v>
      </c>
    </row>
    <row r="2214" spans="1:16" hidden="1" x14ac:dyDescent="0.25">
      <c r="A2214" s="96" t="s">
        <v>2</v>
      </c>
      <c r="B2214" s="96" t="s">
        <v>280</v>
      </c>
      <c r="C2214" s="96" t="s">
        <v>2196</v>
      </c>
      <c r="D2214" s="96" t="s">
        <v>237</v>
      </c>
      <c r="E2214" s="43">
        <v>45913</v>
      </c>
      <c r="F2214" s="43">
        <v>45975</v>
      </c>
      <c r="G2214" s="96" t="s">
        <v>92</v>
      </c>
      <c r="H2214" s="96" t="s">
        <v>5816</v>
      </c>
      <c r="I2214" s="96" t="s">
        <v>194</v>
      </c>
      <c r="J2214" s="96" t="s">
        <v>283</v>
      </c>
      <c r="K2214" s="96" t="s">
        <v>195</v>
      </c>
      <c r="L2214">
        <v>62</v>
      </c>
      <c r="M2214" t="s">
        <v>28</v>
      </c>
      <c r="N2214" t="s">
        <v>12</v>
      </c>
      <c r="O2214" t="s">
        <v>170</v>
      </c>
      <c r="P2214">
        <v>2025</v>
      </c>
    </row>
    <row r="2215" spans="1:16" hidden="1" x14ac:dyDescent="0.25">
      <c r="A2215" s="96" t="s">
        <v>2</v>
      </c>
      <c r="B2215" s="96" t="s">
        <v>213</v>
      </c>
      <c r="C2215" s="96" t="s">
        <v>2197</v>
      </c>
      <c r="D2215" s="96" t="s">
        <v>14</v>
      </c>
      <c r="E2215" s="43">
        <v>45978</v>
      </c>
      <c r="F2215" s="43">
        <v>45991</v>
      </c>
      <c r="G2215" s="96" t="s">
        <v>92</v>
      </c>
      <c r="H2215" s="96" t="s">
        <v>5817</v>
      </c>
      <c r="I2215" s="96" t="s">
        <v>204</v>
      </c>
      <c r="J2215" s="96" t="s">
        <v>172</v>
      </c>
      <c r="K2215" s="96" t="s">
        <v>230</v>
      </c>
      <c r="L2215">
        <v>13</v>
      </c>
      <c r="M2215" t="s">
        <v>15</v>
      </c>
      <c r="N2215" t="s">
        <v>20</v>
      </c>
      <c r="O2215" t="s">
        <v>149</v>
      </c>
      <c r="P2215">
        <v>2025</v>
      </c>
    </row>
    <row r="2216" spans="1:16" x14ac:dyDescent="0.25">
      <c r="A2216" s="96" t="s">
        <v>171</v>
      </c>
      <c r="B2216" s="96" t="s">
        <v>244</v>
      </c>
      <c r="C2216" s="96" t="s">
        <v>2198</v>
      </c>
      <c r="D2216" s="96" t="s">
        <v>203</v>
      </c>
      <c r="E2216" s="43">
        <v>46081</v>
      </c>
      <c r="F2216" s="43">
        <v>46151</v>
      </c>
      <c r="G2216" s="96" t="s">
        <v>92</v>
      </c>
      <c r="H2216" s="96" t="s">
        <v>5818</v>
      </c>
      <c r="I2216" s="96" t="s">
        <v>204</v>
      </c>
      <c r="J2216" s="96" t="s">
        <v>98</v>
      </c>
      <c r="K2216" s="96" t="s">
        <v>217</v>
      </c>
      <c r="L2216">
        <v>70</v>
      </c>
      <c r="M2216" t="s">
        <v>28</v>
      </c>
      <c r="N2216" t="s">
        <v>32</v>
      </c>
      <c r="O2216" t="s">
        <v>150</v>
      </c>
      <c r="P2216">
        <v>2026</v>
      </c>
    </row>
    <row r="2217" spans="1:16" hidden="1" x14ac:dyDescent="0.25">
      <c r="A2217" s="96" t="s">
        <v>2</v>
      </c>
      <c r="B2217" s="96" t="s">
        <v>251</v>
      </c>
      <c r="C2217" s="96" t="s">
        <v>2199</v>
      </c>
      <c r="D2217" s="96" t="s">
        <v>10</v>
      </c>
      <c r="E2217" s="43">
        <v>45854</v>
      </c>
      <c r="F2217" s="43">
        <v>45909</v>
      </c>
      <c r="G2217" s="96" t="s">
        <v>92</v>
      </c>
      <c r="H2217" s="96" t="s">
        <v>5819</v>
      </c>
      <c r="I2217" s="96" t="s">
        <v>194</v>
      </c>
      <c r="J2217" s="96" t="s">
        <v>174</v>
      </c>
      <c r="K2217" s="96" t="s">
        <v>233</v>
      </c>
      <c r="L2217">
        <v>55</v>
      </c>
      <c r="M2217" t="s">
        <v>24</v>
      </c>
      <c r="N2217" t="s">
        <v>187</v>
      </c>
      <c r="O2217" t="s">
        <v>170</v>
      </c>
      <c r="P2217">
        <v>2025</v>
      </c>
    </row>
    <row r="2218" spans="1:16" x14ac:dyDescent="0.25">
      <c r="A2218" s="96" t="s">
        <v>2</v>
      </c>
      <c r="B2218" s="96" t="s">
        <v>290</v>
      </c>
      <c r="C2218" s="96" t="s">
        <v>5820</v>
      </c>
      <c r="D2218" s="96" t="s">
        <v>40</v>
      </c>
      <c r="E2218" s="43">
        <v>46045</v>
      </c>
      <c r="F2218" s="43">
        <v>46053</v>
      </c>
      <c r="G2218" s="96" t="s">
        <v>92</v>
      </c>
      <c r="H2218" s="96" t="s">
        <v>5821</v>
      </c>
      <c r="I2218" s="96" t="s">
        <v>157</v>
      </c>
      <c r="J2218" s="96" t="s">
        <v>96</v>
      </c>
      <c r="K2218" s="96" t="s">
        <v>233</v>
      </c>
      <c r="L2218">
        <v>8</v>
      </c>
      <c r="M2218" t="s">
        <v>15</v>
      </c>
      <c r="N2218" t="s">
        <v>29</v>
      </c>
      <c r="O2218" t="s">
        <v>149</v>
      </c>
      <c r="P2218">
        <v>2026</v>
      </c>
    </row>
    <row r="2219" spans="1:16" hidden="1" x14ac:dyDescent="0.25">
      <c r="A2219" s="96" t="s">
        <v>2</v>
      </c>
      <c r="B2219" s="96" t="s">
        <v>264</v>
      </c>
      <c r="C2219" s="96" t="s">
        <v>2200</v>
      </c>
      <c r="D2219" s="96" t="s">
        <v>223</v>
      </c>
      <c r="E2219" s="43">
        <v>45724</v>
      </c>
      <c r="F2219" s="43">
        <v>45834</v>
      </c>
      <c r="G2219" s="96" t="s">
        <v>92</v>
      </c>
      <c r="H2219" s="96" t="s">
        <v>5822</v>
      </c>
      <c r="I2219" s="96" t="s">
        <v>194</v>
      </c>
      <c r="J2219" s="96" t="s">
        <v>97</v>
      </c>
      <c r="K2219" s="96" t="s">
        <v>205</v>
      </c>
      <c r="L2219">
        <v>110</v>
      </c>
      <c r="M2219" t="s">
        <v>28</v>
      </c>
      <c r="N2219" t="s">
        <v>186</v>
      </c>
      <c r="O2219" t="s">
        <v>152</v>
      </c>
      <c r="P2219">
        <v>2025</v>
      </c>
    </row>
    <row r="2220" spans="1:16" hidden="1" x14ac:dyDescent="0.25">
      <c r="A2220" s="96" t="s">
        <v>2</v>
      </c>
      <c r="B2220" s="96" t="s">
        <v>247</v>
      </c>
      <c r="C2220" s="96" t="s">
        <v>2201</v>
      </c>
      <c r="D2220" s="96" t="s">
        <v>10</v>
      </c>
      <c r="E2220" s="43">
        <v>45799</v>
      </c>
      <c r="F2220" s="43">
        <v>45882</v>
      </c>
      <c r="G2220" s="96" t="s">
        <v>90</v>
      </c>
      <c r="H2220" s="96" t="s">
        <v>5823</v>
      </c>
      <c r="I2220" s="96" t="s">
        <v>157</v>
      </c>
      <c r="J2220" s="96" t="s">
        <v>93</v>
      </c>
      <c r="K2220" s="96" t="s">
        <v>217</v>
      </c>
      <c r="L2220">
        <v>83</v>
      </c>
      <c r="M2220" t="s">
        <v>28</v>
      </c>
      <c r="N2220" t="s">
        <v>182</v>
      </c>
      <c r="O2220" t="s">
        <v>150</v>
      </c>
      <c r="P2220">
        <v>2025</v>
      </c>
    </row>
    <row r="2221" spans="1:16" x14ac:dyDescent="0.25">
      <c r="A2221" s="96" t="s">
        <v>2</v>
      </c>
      <c r="B2221" s="96" t="s">
        <v>226</v>
      </c>
      <c r="C2221" s="96" t="s">
        <v>5824</v>
      </c>
      <c r="D2221" s="96" t="s">
        <v>34</v>
      </c>
      <c r="E2221" s="43">
        <v>46115</v>
      </c>
      <c r="F2221" s="43">
        <v>46149</v>
      </c>
      <c r="G2221" s="96" t="s">
        <v>90</v>
      </c>
      <c r="H2221" s="96" t="s">
        <v>5825</v>
      </c>
      <c r="I2221" s="96" t="s">
        <v>204</v>
      </c>
      <c r="J2221" s="96" t="s">
        <v>165</v>
      </c>
      <c r="K2221" s="96" t="s">
        <v>210</v>
      </c>
      <c r="L2221">
        <v>34</v>
      </c>
      <c r="M2221" t="s">
        <v>24</v>
      </c>
      <c r="N2221" t="s">
        <v>37</v>
      </c>
      <c r="O2221" t="s">
        <v>151</v>
      </c>
      <c r="P2221">
        <v>2026</v>
      </c>
    </row>
    <row r="2222" spans="1:16" x14ac:dyDescent="0.25">
      <c r="A2222" s="96" t="s">
        <v>2</v>
      </c>
      <c r="B2222" s="96" t="s">
        <v>288</v>
      </c>
      <c r="C2222" s="96" t="s">
        <v>2202</v>
      </c>
      <c r="D2222" s="96" t="s">
        <v>34</v>
      </c>
      <c r="E2222" s="43">
        <v>46063</v>
      </c>
      <c r="F2222" s="43">
        <v>46148</v>
      </c>
      <c r="G2222" s="96" t="s">
        <v>92</v>
      </c>
      <c r="H2222" s="96" t="s">
        <v>2123</v>
      </c>
      <c r="I2222" s="96" t="s">
        <v>225</v>
      </c>
      <c r="J2222" s="96" t="s">
        <v>176</v>
      </c>
      <c r="K2222" s="96" t="s">
        <v>246</v>
      </c>
      <c r="L2222">
        <v>85</v>
      </c>
      <c r="M2222" t="s">
        <v>28</v>
      </c>
      <c r="N2222" t="s">
        <v>32</v>
      </c>
      <c r="O2222" t="s">
        <v>170</v>
      </c>
      <c r="P2222">
        <v>2026</v>
      </c>
    </row>
    <row r="2223" spans="1:16" x14ac:dyDescent="0.25">
      <c r="A2223" s="96" t="s">
        <v>2</v>
      </c>
      <c r="B2223" s="96" t="s">
        <v>249</v>
      </c>
      <c r="C2223" s="96" t="s">
        <v>2203</v>
      </c>
      <c r="D2223" s="96" t="s">
        <v>237</v>
      </c>
      <c r="E2223" s="43">
        <v>46079</v>
      </c>
      <c r="F2223" s="43">
        <v>46146</v>
      </c>
      <c r="G2223" s="96" t="s">
        <v>95</v>
      </c>
      <c r="H2223" s="96" t="s">
        <v>2125</v>
      </c>
      <c r="I2223" s="96" t="s">
        <v>209</v>
      </c>
      <c r="J2223" s="96" t="s">
        <v>94</v>
      </c>
      <c r="K2223" s="96" t="s">
        <v>200</v>
      </c>
      <c r="L2223">
        <v>67</v>
      </c>
      <c r="M2223" t="s">
        <v>28</v>
      </c>
      <c r="N2223" t="s">
        <v>32</v>
      </c>
      <c r="O2223" t="s">
        <v>170</v>
      </c>
      <c r="P2223">
        <v>2026</v>
      </c>
    </row>
    <row r="2224" spans="1:16" hidden="1" x14ac:dyDescent="0.25">
      <c r="A2224" s="96" t="s">
        <v>175</v>
      </c>
      <c r="B2224" s="96" t="s">
        <v>257</v>
      </c>
      <c r="C2224" s="96" t="s">
        <v>2204</v>
      </c>
      <c r="D2224" s="96" t="s">
        <v>215</v>
      </c>
      <c r="E2224" s="43">
        <v>45971</v>
      </c>
      <c r="F2224" s="43">
        <v>45980</v>
      </c>
      <c r="G2224" s="96" t="s">
        <v>90</v>
      </c>
      <c r="H2224" s="96" t="s">
        <v>5826</v>
      </c>
      <c r="I2224" s="96" t="s">
        <v>157</v>
      </c>
      <c r="J2224" s="96" t="s">
        <v>94</v>
      </c>
      <c r="K2224" s="96" t="s">
        <v>195</v>
      </c>
      <c r="L2224">
        <v>9</v>
      </c>
      <c r="M2224" t="s">
        <v>15</v>
      </c>
      <c r="N2224" t="s">
        <v>20</v>
      </c>
      <c r="O2224" t="s">
        <v>151</v>
      </c>
      <c r="P2224">
        <v>2025</v>
      </c>
    </row>
    <row r="2225" spans="1:16" hidden="1" x14ac:dyDescent="0.25">
      <c r="A2225" s="96" t="s">
        <v>2</v>
      </c>
      <c r="B2225" s="96" t="s">
        <v>206</v>
      </c>
      <c r="C2225" s="96" t="s">
        <v>2205</v>
      </c>
      <c r="D2225" s="96" t="s">
        <v>10</v>
      </c>
      <c r="E2225" s="43">
        <v>45849</v>
      </c>
      <c r="F2225" s="43">
        <v>45887</v>
      </c>
      <c r="G2225" s="96" t="s">
        <v>92</v>
      </c>
      <c r="H2225" s="96" t="s">
        <v>5827</v>
      </c>
      <c r="I2225" s="96" t="s">
        <v>209</v>
      </c>
      <c r="J2225" s="96" t="s">
        <v>229</v>
      </c>
      <c r="K2225" s="96" t="s">
        <v>195</v>
      </c>
      <c r="L2225">
        <v>38</v>
      </c>
      <c r="M2225" t="s">
        <v>24</v>
      </c>
      <c r="N2225" t="s">
        <v>187</v>
      </c>
      <c r="O2225" t="s">
        <v>152</v>
      </c>
      <c r="P2225">
        <v>2025</v>
      </c>
    </row>
    <row r="2226" spans="1:16" hidden="1" x14ac:dyDescent="0.25">
      <c r="A2226" s="96" t="s">
        <v>21</v>
      </c>
      <c r="B2226" s="96" t="s">
        <v>247</v>
      </c>
      <c r="C2226" s="96" t="s">
        <v>2206</v>
      </c>
      <c r="D2226" s="96" t="s">
        <v>14</v>
      </c>
      <c r="E2226" s="43">
        <v>45759</v>
      </c>
      <c r="F2226" s="43">
        <v>45771</v>
      </c>
      <c r="G2226" s="96" t="s">
        <v>92</v>
      </c>
      <c r="H2226" s="96" t="s">
        <v>5828</v>
      </c>
      <c r="I2226" s="96" t="s">
        <v>9</v>
      </c>
      <c r="J2226" s="96" t="s">
        <v>94</v>
      </c>
      <c r="K2226" s="96" t="s">
        <v>217</v>
      </c>
      <c r="L2226">
        <v>12</v>
      </c>
      <c r="M2226" t="s">
        <v>15</v>
      </c>
      <c r="N2226" t="s">
        <v>185</v>
      </c>
      <c r="O2226" t="s">
        <v>150</v>
      </c>
      <c r="P2226">
        <v>2025</v>
      </c>
    </row>
    <row r="2227" spans="1:16" hidden="1" x14ac:dyDescent="0.25">
      <c r="A2227" s="96" t="s">
        <v>2</v>
      </c>
      <c r="B2227" s="96" t="s">
        <v>272</v>
      </c>
      <c r="C2227" s="96" t="s">
        <v>2207</v>
      </c>
      <c r="D2227" s="96" t="s">
        <v>237</v>
      </c>
      <c r="E2227" s="43">
        <v>45869</v>
      </c>
      <c r="F2227" s="43">
        <v>45933</v>
      </c>
      <c r="G2227" s="96" t="s">
        <v>90</v>
      </c>
      <c r="H2227" s="96" t="s">
        <v>5829</v>
      </c>
      <c r="I2227" s="96" t="s">
        <v>204</v>
      </c>
      <c r="J2227" s="96" t="s">
        <v>97</v>
      </c>
      <c r="K2227" s="96" t="s">
        <v>200</v>
      </c>
      <c r="L2227">
        <v>64</v>
      </c>
      <c r="M2227" t="s">
        <v>28</v>
      </c>
      <c r="N2227" t="s">
        <v>187</v>
      </c>
      <c r="O2227" t="s">
        <v>151</v>
      </c>
      <c r="P2227">
        <v>2025</v>
      </c>
    </row>
    <row r="2228" spans="1:16" hidden="1" x14ac:dyDescent="0.25">
      <c r="A2228" s="96" t="s">
        <v>2</v>
      </c>
      <c r="B2228" s="96" t="s">
        <v>211</v>
      </c>
      <c r="C2228" s="96" t="s">
        <v>5830</v>
      </c>
      <c r="D2228" s="96" t="s">
        <v>203</v>
      </c>
      <c r="E2228" s="43">
        <v>45754</v>
      </c>
      <c r="F2228" s="43">
        <v>45838</v>
      </c>
      <c r="G2228" s="96" t="s">
        <v>90</v>
      </c>
      <c r="H2228" s="96" t="s">
        <v>5831</v>
      </c>
      <c r="I2228" s="96" t="s">
        <v>204</v>
      </c>
      <c r="J2228" s="96" t="s">
        <v>174</v>
      </c>
      <c r="K2228" s="96" t="s">
        <v>195</v>
      </c>
      <c r="L2228">
        <v>84</v>
      </c>
      <c r="M2228" t="s">
        <v>28</v>
      </c>
      <c r="N2228" t="s">
        <v>185</v>
      </c>
      <c r="O2228" t="s">
        <v>170</v>
      </c>
      <c r="P2228">
        <v>2025</v>
      </c>
    </row>
    <row r="2229" spans="1:16" hidden="1" x14ac:dyDescent="0.25">
      <c r="A2229" s="96" t="s">
        <v>2</v>
      </c>
      <c r="B2229" s="96" t="s">
        <v>206</v>
      </c>
      <c r="C2229" s="96" t="s">
        <v>2208</v>
      </c>
      <c r="D2229" s="96" t="s">
        <v>237</v>
      </c>
      <c r="E2229" s="43">
        <v>45731</v>
      </c>
      <c r="F2229" s="43">
        <v>45780</v>
      </c>
      <c r="G2229" s="96" t="s">
        <v>90</v>
      </c>
      <c r="H2229" s="96" t="s">
        <v>5832</v>
      </c>
      <c r="I2229" s="96" t="s">
        <v>194</v>
      </c>
      <c r="J2229" s="96" t="s">
        <v>96</v>
      </c>
      <c r="K2229" s="96" t="s">
        <v>233</v>
      </c>
      <c r="L2229">
        <v>49</v>
      </c>
      <c r="M2229" t="s">
        <v>24</v>
      </c>
      <c r="N2229" t="s">
        <v>186</v>
      </c>
      <c r="O2229" t="s">
        <v>152</v>
      </c>
      <c r="P2229">
        <v>2025</v>
      </c>
    </row>
    <row r="2230" spans="1:16" hidden="1" x14ac:dyDescent="0.25">
      <c r="A2230" s="96" t="s">
        <v>175</v>
      </c>
      <c r="B2230" s="96" t="s">
        <v>264</v>
      </c>
      <c r="C2230" s="96" t="s">
        <v>2210</v>
      </c>
      <c r="D2230" s="96" t="s">
        <v>237</v>
      </c>
      <c r="E2230" s="43">
        <v>45721</v>
      </c>
      <c r="F2230" s="43">
        <v>45817</v>
      </c>
      <c r="G2230" s="96" t="s">
        <v>92</v>
      </c>
      <c r="H2230" s="96" t="s">
        <v>5833</v>
      </c>
      <c r="I2230" s="96" t="s">
        <v>204</v>
      </c>
      <c r="J2230" s="96" t="s">
        <v>98</v>
      </c>
      <c r="K2230" s="96" t="s">
        <v>205</v>
      </c>
      <c r="L2230">
        <v>96</v>
      </c>
      <c r="M2230" t="s">
        <v>28</v>
      </c>
      <c r="N2230" t="s">
        <v>186</v>
      </c>
      <c r="O2230" t="s">
        <v>152</v>
      </c>
      <c r="P2230">
        <v>2025</v>
      </c>
    </row>
    <row r="2231" spans="1:16" hidden="1" x14ac:dyDescent="0.25">
      <c r="A2231" s="96" t="s">
        <v>2</v>
      </c>
      <c r="B2231" s="96" t="s">
        <v>247</v>
      </c>
      <c r="C2231" s="96" t="s">
        <v>5834</v>
      </c>
      <c r="D2231" s="96" t="s">
        <v>215</v>
      </c>
      <c r="E2231" s="43">
        <v>45788</v>
      </c>
      <c r="F2231" s="43">
        <v>45873</v>
      </c>
      <c r="G2231" s="96" t="s">
        <v>90</v>
      </c>
      <c r="H2231" s="96" t="s">
        <v>5835</v>
      </c>
      <c r="I2231" s="96" t="s">
        <v>9</v>
      </c>
      <c r="J2231" s="96" t="s">
        <v>229</v>
      </c>
      <c r="K2231" s="96" t="s">
        <v>230</v>
      </c>
      <c r="L2231">
        <v>85</v>
      </c>
      <c r="M2231" t="s">
        <v>28</v>
      </c>
      <c r="N2231" t="s">
        <v>182</v>
      </c>
      <c r="O2231" t="s">
        <v>150</v>
      </c>
      <c r="P2231">
        <v>2025</v>
      </c>
    </row>
    <row r="2232" spans="1:16" hidden="1" x14ac:dyDescent="0.25">
      <c r="A2232" s="96" t="s">
        <v>2</v>
      </c>
      <c r="B2232" s="96" t="s">
        <v>253</v>
      </c>
      <c r="C2232" s="96" t="s">
        <v>2212</v>
      </c>
      <c r="D2232" s="96" t="s">
        <v>192</v>
      </c>
      <c r="E2232" s="43">
        <v>45715</v>
      </c>
      <c r="F2232" s="43">
        <v>45736</v>
      </c>
      <c r="G2232" s="96" t="s">
        <v>92</v>
      </c>
      <c r="H2232" s="96" t="s">
        <v>2132</v>
      </c>
      <c r="I2232" s="96" t="s">
        <v>209</v>
      </c>
      <c r="J2232" s="96" t="s">
        <v>96</v>
      </c>
      <c r="K2232" s="96" t="s">
        <v>200</v>
      </c>
      <c r="L2232">
        <v>21</v>
      </c>
      <c r="M2232" t="s">
        <v>19</v>
      </c>
      <c r="N2232" t="s">
        <v>188</v>
      </c>
      <c r="O2232" t="s">
        <v>152</v>
      </c>
      <c r="P2232">
        <v>2025</v>
      </c>
    </row>
    <row r="2233" spans="1:16" x14ac:dyDescent="0.25">
      <c r="A2233" s="96" t="s">
        <v>2</v>
      </c>
      <c r="B2233" s="96" t="s">
        <v>269</v>
      </c>
      <c r="C2233" s="96" t="s">
        <v>2213</v>
      </c>
      <c r="D2233" s="96" t="s">
        <v>223</v>
      </c>
      <c r="E2233" s="43">
        <v>46121</v>
      </c>
      <c r="F2233" s="43">
        <v>46146</v>
      </c>
      <c r="G2233" s="96" t="s">
        <v>90</v>
      </c>
      <c r="H2233" s="96" t="s">
        <v>2134</v>
      </c>
      <c r="I2233" s="96" t="s">
        <v>157</v>
      </c>
      <c r="J2233" s="96" t="s">
        <v>176</v>
      </c>
      <c r="K2233" s="96" t="s">
        <v>230</v>
      </c>
      <c r="L2233">
        <v>25</v>
      </c>
      <c r="M2233" t="s">
        <v>19</v>
      </c>
      <c r="N2233" t="s">
        <v>37</v>
      </c>
      <c r="O2233" t="s">
        <v>152</v>
      </c>
      <c r="P2233">
        <v>2026</v>
      </c>
    </row>
    <row r="2234" spans="1:16" x14ac:dyDescent="0.25">
      <c r="A2234" s="96" t="s">
        <v>175</v>
      </c>
      <c r="B2234" s="96" t="s">
        <v>234</v>
      </c>
      <c r="C2234" s="96" t="s">
        <v>2214</v>
      </c>
      <c r="D2234" s="96" t="s">
        <v>223</v>
      </c>
      <c r="E2234" s="43">
        <v>46133</v>
      </c>
      <c r="F2234" s="43">
        <v>46149</v>
      </c>
      <c r="G2234" s="96" t="s">
        <v>92</v>
      </c>
      <c r="H2234" s="96" t="s">
        <v>5836</v>
      </c>
      <c r="I2234" s="96" t="s">
        <v>225</v>
      </c>
      <c r="J2234" s="96" t="s">
        <v>96</v>
      </c>
      <c r="K2234" s="96" t="s">
        <v>210</v>
      </c>
      <c r="L2234">
        <v>16</v>
      </c>
      <c r="M2234" t="s">
        <v>19</v>
      </c>
      <c r="N2234" t="s">
        <v>37</v>
      </c>
      <c r="O2234" t="s">
        <v>150</v>
      </c>
      <c r="P2234">
        <v>2026</v>
      </c>
    </row>
    <row r="2235" spans="1:16" x14ac:dyDescent="0.25">
      <c r="A2235" s="96" t="s">
        <v>2</v>
      </c>
      <c r="B2235" s="96" t="s">
        <v>196</v>
      </c>
      <c r="C2235" s="96" t="s">
        <v>5837</v>
      </c>
      <c r="D2235" s="96" t="s">
        <v>192</v>
      </c>
      <c r="E2235" s="43">
        <v>46119</v>
      </c>
      <c r="F2235" s="43">
        <v>46147</v>
      </c>
      <c r="G2235" s="96" t="s">
        <v>90</v>
      </c>
      <c r="H2235" s="96" t="s">
        <v>5838</v>
      </c>
      <c r="I2235" s="96" t="s">
        <v>194</v>
      </c>
      <c r="J2235" s="96" t="s">
        <v>216</v>
      </c>
      <c r="K2235" s="96" t="s">
        <v>200</v>
      </c>
      <c r="L2235">
        <v>28</v>
      </c>
      <c r="M2235" t="s">
        <v>19</v>
      </c>
      <c r="N2235" t="s">
        <v>37</v>
      </c>
      <c r="O2235" t="s">
        <v>152</v>
      </c>
      <c r="P2235">
        <v>2026</v>
      </c>
    </row>
    <row r="2236" spans="1:16" x14ac:dyDescent="0.25">
      <c r="A2236" s="96" t="s">
        <v>2</v>
      </c>
      <c r="B2236" s="96" t="s">
        <v>196</v>
      </c>
      <c r="C2236" s="96" t="s">
        <v>5839</v>
      </c>
      <c r="D2236" s="96" t="s">
        <v>237</v>
      </c>
      <c r="E2236" s="43">
        <v>46054</v>
      </c>
      <c r="F2236" s="43">
        <v>46146</v>
      </c>
      <c r="G2236" s="96" t="s">
        <v>92</v>
      </c>
      <c r="H2236" s="96" t="s">
        <v>2137</v>
      </c>
      <c r="I2236" s="96" t="s">
        <v>194</v>
      </c>
      <c r="J2236" s="96" t="s">
        <v>173</v>
      </c>
      <c r="K2236" s="96" t="s">
        <v>200</v>
      </c>
      <c r="L2236">
        <v>92</v>
      </c>
      <c r="M2236" t="s">
        <v>28</v>
      </c>
      <c r="N2236" t="s">
        <v>32</v>
      </c>
      <c r="O2236" t="s">
        <v>152</v>
      </c>
      <c r="P2236">
        <v>2026</v>
      </c>
    </row>
    <row r="2237" spans="1:16" x14ac:dyDescent="0.25">
      <c r="A2237" s="96" t="s">
        <v>175</v>
      </c>
      <c r="B2237" s="96" t="s">
        <v>219</v>
      </c>
      <c r="C2237" s="96" t="s">
        <v>2216</v>
      </c>
      <c r="D2237" s="96" t="s">
        <v>208</v>
      </c>
      <c r="E2237" s="43">
        <v>46055</v>
      </c>
      <c r="F2237" s="43">
        <v>46147</v>
      </c>
      <c r="G2237" s="96" t="s">
        <v>92</v>
      </c>
      <c r="H2237" s="96" t="s">
        <v>5840</v>
      </c>
      <c r="I2237" s="96" t="s">
        <v>209</v>
      </c>
      <c r="J2237" s="96" t="s">
        <v>177</v>
      </c>
      <c r="K2237" s="96" t="s">
        <v>246</v>
      </c>
      <c r="L2237">
        <v>92</v>
      </c>
      <c r="M2237" t="s">
        <v>28</v>
      </c>
      <c r="N2237" t="s">
        <v>32</v>
      </c>
      <c r="O2237" t="s">
        <v>149</v>
      </c>
      <c r="P2237">
        <v>2026</v>
      </c>
    </row>
    <row r="2238" spans="1:16" x14ac:dyDescent="0.25">
      <c r="A2238" s="96" t="s">
        <v>2</v>
      </c>
      <c r="B2238" s="96" t="s">
        <v>196</v>
      </c>
      <c r="C2238" s="96" t="s">
        <v>2217</v>
      </c>
      <c r="D2238" s="96" t="s">
        <v>40</v>
      </c>
      <c r="E2238" s="43">
        <v>46045</v>
      </c>
      <c r="F2238" s="43">
        <v>46095</v>
      </c>
      <c r="G2238" s="96" t="s">
        <v>90</v>
      </c>
      <c r="H2238" s="96" t="s">
        <v>2140</v>
      </c>
      <c r="I2238" s="96" t="s">
        <v>209</v>
      </c>
      <c r="J2238" s="96" t="s">
        <v>229</v>
      </c>
      <c r="K2238" s="96" t="s">
        <v>157</v>
      </c>
      <c r="L2238">
        <v>50</v>
      </c>
      <c r="M2238" t="s">
        <v>24</v>
      </c>
      <c r="N2238" t="s">
        <v>29</v>
      </c>
      <c r="O2238" t="s">
        <v>152</v>
      </c>
      <c r="P2238">
        <v>2026</v>
      </c>
    </row>
    <row r="2239" spans="1:16" hidden="1" x14ac:dyDescent="0.25">
      <c r="A2239" s="96" t="s">
        <v>2</v>
      </c>
      <c r="B2239" s="96" t="s">
        <v>190</v>
      </c>
      <c r="C2239" s="96" t="s">
        <v>2218</v>
      </c>
      <c r="D2239" s="96" t="s">
        <v>223</v>
      </c>
      <c r="E2239" s="43">
        <v>45999</v>
      </c>
      <c r="F2239" s="43">
        <v>46111</v>
      </c>
      <c r="G2239" s="96" t="s">
        <v>90</v>
      </c>
      <c r="H2239" s="96" t="s">
        <v>5841</v>
      </c>
      <c r="I2239" s="96" t="s">
        <v>9</v>
      </c>
      <c r="J2239" s="96" t="s">
        <v>97</v>
      </c>
      <c r="K2239" s="96" t="s">
        <v>195</v>
      </c>
      <c r="L2239">
        <v>112</v>
      </c>
      <c r="M2239" t="s">
        <v>28</v>
      </c>
      <c r="N2239" t="s">
        <v>25</v>
      </c>
      <c r="O2239" t="s">
        <v>150</v>
      </c>
      <c r="P2239">
        <v>2025</v>
      </c>
    </row>
    <row r="2240" spans="1:16" hidden="1" x14ac:dyDescent="0.25">
      <c r="A2240" s="96" t="s">
        <v>2</v>
      </c>
      <c r="B2240" s="96" t="s">
        <v>221</v>
      </c>
      <c r="C2240" s="96" t="s">
        <v>2219</v>
      </c>
      <c r="D2240" s="96" t="s">
        <v>223</v>
      </c>
      <c r="E2240" s="43">
        <v>45858</v>
      </c>
      <c r="F2240" s="43">
        <v>45925</v>
      </c>
      <c r="G2240" s="96" t="s">
        <v>90</v>
      </c>
      <c r="H2240" s="96" t="s">
        <v>2142</v>
      </c>
      <c r="I2240" s="96" t="s">
        <v>157</v>
      </c>
      <c r="J2240" s="96" t="s">
        <v>283</v>
      </c>
      <c r="K2240" s="96" t="s">
        <v>217</v>
      </c>
      <c r="L2240">
        <v>67</v>
      </c>
      <c r="M2240" t="s">
        <v>28</v>
      </c>
      <c r="N2240" t="s">
        <v>187</v>
      </c>
      <c r="O2240" t="s">
        <v>170</v>
      </c>
      <c r="P2240">
        <v>2025</v>
      </c>
    </row>
    <row r="2241" spans="1:16" hidden="1" x14ac:dyDescent="0.25">
      <c r="A2241" s="96" t="s">
        <v>2</v>
      </c>
      <c r="B2241" s="96" t="s">
        <v>251</v>
      </c>
      <c r="C2241" s="96" t="s">
        <v>2220</v>
      </c>
      <c r="D2241" s="96" t="s">
        <v>192</v>
      </c>
      <c r="E2241" s="43">
        <v>45847</v>
      </c>
      <c r="F2241" s="43">
        <v>45888</v>
      </c>
      <c r="G2241" s="96" t="s">
        <v>90</v>
      </c>
      <c r="H2241" s="96" t="s">
        <v>5842</v>
      </c>
      <c r="I2241" s="96" t="s">
        <v>204</v>
      </c>
      <c r="J2241" s="96" t="s">
        <v>283</v>
      </c>
      <c r="K2241" s="96" t="s">
        <v>205</v>
      </c>
      <c r="L2241">
        <v>41</v>
      </c>
      <c r="M2241" t="s">
        <v>24</v>
      </c>
      <c r="N2241" t="s">
        <v>187</v>
      </c>
      <c r="O2241" t="s">
        <v>170</v>
      </c>
      <c r="P2241">
        <v>2025</v>
      </c>
    </row>
    <row r="2242" spans="1:16" x14ac:dyDescent="0.25">
      <c r="A2242" s="96" t="s">
        <v>2</v>
      </c>
      <c r="B2242" s="96" t="s">
        <v>261</v>
      </c>
      <c r="C2242" s="96" t="s">
        <v>2222</v>
      </c>
      <c r="D2242" s="96" t="s">
        <v>203</v>
      </c>
      <c r="E2242" s="43">
        <v>46132</v>
      </c>
      <c r="F2242" s="43">
        <v>46147</v>
      </c>
      <c r="G2242" s="96" t="s">
        <v>90</v>
      </c>
      <c r="H2242" s="96" t="s">
        <v>5843</v>
      </c>
      <c r="I2242" s="96" t="s">
        <v>204</v>
      </c>
      <c r="J2242" s="96" t="s">
        <v>169</v>
      </c>
      <c r="K2242" s="96" t="s">
        <v>246</v>
      </c>
      <c r="L2242">
        <v>15</v>
      </c>
      <c r="M2242" t="s">
        <v>19</v>
      </c>
      <c r="N2242" t="s">
        <v>37</v>
      </c>
      <c r="O2242" t="s">
        <v>151</v>
      </c>
      <c r="P2242">
        <v>2026</v>
      </c>
    </row>
    <row r="2243" spans="1:16" hidden="1" x14ac:dyDescent="0.25">
      <c r="A2243" s="96" t="s">
        <v>2</v>
      </c>
      <c r="B2243" s="96" t="s">
        <v>280</v>
      </c>
      <c r="C2243" s="96" t="s">
        <v>2223</v>
      </c>
      <c r="D2243" s="96" t="s">
        <v>10</v>
      </c>
      <c r="E2243" s="43">
        <v>45917</v>
      </c>
      <c r="F2243" s="43">
        <v>45998</v>
      </c>
      <c r="G2243" s="96" t="s">
        <v>92</v>
      </c>
      <c r="H2243" s="96" t="s">
        <v>5844</v>
      </c>
      <c r="I2243" s="96" t="s">
        <v>204</v>
      </c>
      <c r="J2243" s="96" t="s">
        <v>229</v>
      </c>
      <c r="K2243" s="96" t="s">
        <v>246</v>
      </c>
      <c r="L2243">
        <v>81</v>
      </c>
      <c r="M2243" t="s">
        <v>28</v>
      </c>
      <c r="N2243" t="s">
        <v>12</v>
      </c>
      <c r="O2243" t="s">
        <v>170</v>
      </c>
      <c r="P2243">
        <v>2025</v>
      </c>
    </row>
    <row r="2244" spans="1:16" hidden="1" x14ac:dyDescent="0.25">
      <c r="A2244" s="96" t="s">
        <v>2</v>
      </c>
      <c r="B2244" s="96" t="s">
        <v>247</v>
      </c>
      <c r="C2244" s="96" t="s">
        <v>5845</v>
      </c>
      <c r="D2244" s="96" t="s">
        <v>223</v>
      </c>
      <c r="E2244" s="43">
        <v>45791</v>
      </c>
      <c r="F2244" s="43">
        <v>45882</v>
      </c>
      <c r="G2244" s="96" t="s">
        <v>90</v>
      </c>
      <c r="H2244" s="96" t="s">
        <v>5846</v>
      </c>
      <c r="I2244" s="96" t="s">
        <v>157</v>
      </c>
      <c r="J2244" s="96" t="s">
        <v>165</v>
      </c>
      <c r="K2244" s="96" t="s">
        <v>217</v>
      </c>
      <c r="L2244">
        <v>91</v>
      </c>
      <c r="M2244" t="s">
        <v>28</v>
      </c>
      <c r="N2244" t="s">
        <v>182</v>
      </c>
      <c r="O2244" t="s">
        <v>150</v>
      </c>
      <c r="P2244">
        <v>2025</v>
      </c>
    </row>
    <row r="2245" spans="1:16" x14ac:dyDescent="0.25">
      <c r="A2245" s="96" t="s">
        <v>2</v>
      </c>
      <c r="B2245" s="96" t="s">
        <v>274</v>
      </c>
      <c r="C2245" s="96" t="s">
        <v>2224</v>
      </c>
      <c r="D2245" s="96" t="s">
        <v>203</v>
      </c>
      <c r="E2245" s="43">
        <v>46046</v>
      </c>
      <c r="F2245" s="43">
        <v>46120</v>
      </c>
      <c r="G2245" s="96" t="s">
        <v>95</v>
      </c>
      <c r="H2245" s="96" t="s">
        <v>5847</v>
      </c>
      <c r="I2245" s="96" t="s">
        <v>204</v>
      </c>
      <c r="J2245" s="96" t="s">
        <v>97</v>
      </c>
      <c r="K2245" s="96" t="s">
        <v>205</v>
      </c>
      <c r="L2245">
        <v>74</v>
      </c>
      <c r="M2245" t="s">
        <v>28</v>
      </c>
      <c r="N2245" t="s">
        <v>29</v>
      </c>
      <c r="O2245" t="s">
        <v>170</v>
      </c>
      <c r="P2245">
        <v>2026</v>
      </c>
    </row>
    <row r="2246" spans="1:16" x14ac:dyDescent="0.25">
      <c r="A2246" s="96" t="s">
        <v>2</v>
      </c>
      <c r="B2246" s="96" t="s">
        <v>234</v>
      </c>
      <c r="C2246" s="96" t="s">
        <v>2225</v>
      </c>
      <c r="D2246" s="96" t="s">
        <v>208</v>
      </c>
      <c r="E2246" s="43">
        <v>46024</v>
      </c>
      <c r="F2246" s="43">
        <v>46078</v>
      </c>
      <c r="G2246" s="96" t="s">
        <v>92</v>
      </c>
      <c r="H2246" s="96" t="s">
        <v>5848</v>
      </c>
      <c r="I2246" s="96" t="s">
        <v>225</v>
      </c>
      <c r="J2246" s="96" t="s">
        <v>97</v>
      </c>
      <c r="K2246" s="96" t="s">
        <v>246</v>
      </c>
      <c r="L2246">
        <v>54</v>
      </c>
      <c r="M2246" t="s">
        <v>24</v>
      </c>
      <c r="N2246" t="s">
        <v>29</v>
      </c>
      <c r="O2246" t="s">
        <v>150</v>
      </c>
      <c r="P2246">
        <v>2026</v>
      </c>
    </row>
    <row r="2247" spans="1:16" hidden="1" x14ac:dyDescent="0.25">
      <c r="A2247" s="96" t="s">
        <v>2</v>
      </c>
      <c r="B2247" s="96" t="s">
        <v>206</v>
      </c>
      <c r="C2247" s="96" t="s">
        <v>5849</v>
      </c>
      <c r="D2247" s="96" t="s">
        <v>40</v>
      </c>
      <c r="E2247" s="43">
        <v>45858</v>
      </c>
      <c r="F2247" s="43">
        <v>45938</v>
      </c>
      <c r="G2247" s="96" t="s">
        <v>92</v>
      </c>
      <c r="H2247" s="96" t="s">
        <v>5850</v>
      </c>
      <c r="I2247" s="96" t="s">
        <v>9</v>
      </c>
      <c r="J2247" s="96" t="s">
        <v>177</v>
      </c>
      <c r="K2247" s="96" t="s">
        <v>205</v>
      </c>
      <c r="L2247">
        <v>80</v>
      </c>
      <c r="M2247" t="s">
        <v>28</v>
      </c>
      <c r="N2247" t="s">
        <v>187</v>
      </c>
      <c r="O2247" t="s">
        <v>152</v>
      </c>
      <c r="P2247">
        <v>2025</v>
      </c>
    </row>
    <row r="2248" spans="1:16" x14ac:dyDescent="0.25">
      <c r="A2248" s="96" t="s">
        <v>2</v>
      </c>
      <c r="B2248" s="96" t="s">
        <v>374</v>
      </c>
      <c r="C2248" s="96" t="s">
        <v>2226</v>
      </c>
      <c r="D2248" s="96" t="s">
        <v>208</v>
      </c>
      <c r="E2248" s="43">
        <v>46063</v>
      </c>
      <c r="F2248" s="43">
        <v>46124</v>
      </c>
      <c r="G2248" s="96" t="s">
        <v>92</v>
      </c>
      <c r="H2248" s="96" t="s">
        <v>5851</v>
      </c>
      <c r="I2248" s="96" t="s">
        <v>204</v>
      </c>
      <c r="J2248" s="96" t="s">
        <v>176</v>
      </c>
      <c r="K2248" s="96" t="s">
        <v>205</v>
      </c>
      <c r="L2248">
        <v>61</v>
      </c>
      <c r="M2248" t="s">
        <v>28</v>
      </c>
      <c r="N2248" t="s">
        <v>32</v>
      </c>
      <c r="O2248" t="s">
        <v>150</v>
      </c>
      <c r="P2248">
        <v>2026</v>
      </c>
    </row>
    <row r="2249" spans="1:16" hidden="1" x14ac:dyDescent="0.25">
      <c r="A2249" s="96" t="s">
        <v>175</v>
      </c>
      <c r="B2249" s="96" t="s">
        <v>255</v>
      </c>
      <c r="C2249" s="96" t="s">
        <v>2227</v>
      </c>
      <c r="D2249" s="96" t="s">
        <v>34</v>
      </c>
      <c r="E2249" s="43">
        <v>45824</v>
      </c>
      <c r="F2249" s="43">
        <v>45841</v>
      </c>
      <c r="G2249" s="96" t="s">
        <v>92</v>
      </c>
      <c r="H2249" s="96" t="s">
        <v>5852</v>
      </c>
      <c r="I2249" s="96" t="s">
        <v>9</v>
      </c>
      <c r="J2249" s="96" t="s">
        <v>94</v>
      </c>
      <c r="K2249" s="96" t="s">
        <v>157</v>
      </c>
      <c r="L2249">
        <v>17</v>
      </c>
      <c r="M2249" t="s">
        <v>19</v>
      </c>
      <c r="N2249" t="s">
        <v>184</v>
      </c>
      <c r="O2249" t="s">
        <v>150</v>
      </c>
      <c r="P2249">
        <v>2025</v>
      </c>
    </row>
    <row r="2250" spans="1:16" hidden="1" x14ac:dyDescent="0.25">
      <c r="A2250" s="96" t="s">
        <v>2</v>
      </c>
      <c r="B2250" s="96" t="s">
        <v>322</v>
      </c>
      <c r="C2250" s="96" t="s">
        <v>2228</v>
      </c>
      <c r="D2250" s="96" t="s">
        <v>237</v>
      </c>
      <c r="E2250" s="43">
        <v>45706</v>
      </c>
      <c r="F2250" s="43">
        <v>45790</v>
      </c>
      <c r="G2250" s="96" t="s">
        <v>90</v>
      </c>
      <c r="H2250" s="96" t="s">
        <v>5853</v>
      </c>
      <c r="I2250" s="96" t="s">
        <v>194</v>
      </c>
      <c r="J2250" s="96" t="s">
        <v>176</v>
      </c>
      <c r="K2250" s="96" t="s">
        <v>217</v>
      </c>
      <c r="L2250">
        <v>84</v>
      </c>
      <c r="M2250" t="s">
        <v>28</v>
      </c>
      <c r="N2250" t="s">
        <v>188</v>
      </c>
      <c r="O2250" t="s">
        <v>150</v>
      </c>
      <c r="P2250">
        <v>2025</v>
      </c>
    </row>
    <row r="2251" spans="1:16" hidden="1" x14ac:dyDescent="0.25">
      <c r="A2251" s="96" t="s">
        <v>2</v>
      </c>
      <c r="B2251" s="96" t="s">
        <v>322</v>
      </c>
      <c r="C2251" s="96" t="s">
        <v>5854</v>
      </c>
      <c r="D2251" s="96" t="s">
        <v>34</v>
      </c>
      <c r="E2251" s="43">
        <v>45834</v>
      </c>
      <c r="F2251" s="43">
        <v>45916</v>
      </c>
      <c r="G2251" s="96" t="s">
        <v>92</v>
      </c>
      <c r="H2251" s="96" t="s">
        <v>5855</v>
      </c>
      <c r="I2251" s="96" t="s">
        <v>157</v>
      </c>
      <c r="J2251" s="96" t="s">
        <v>93</v>
      </c>
      <c r="K2251" s="96" t="s">
        <v>200</v>
      </c>
      <c r="L2251">
        <v>82</v>
      </c>
      <c r="M2251" t="s">
        <v>28</v>
      </c>
      <c r="N2251" t="s">
        <v>184</v>
      </c>
      <c r="O2251" t="s">
        <v>150</v>
      </c>
      <c r="P2251">
        <v>2025</v>
      </c>
    </row>
    <row r="2252" spans="1:16" hidden="1" x14ac:dyDescent="0.25">
      <c r="A2252" s="96" t="s">
        <v>175</v>
      </c>
      <c r="B2252" s="96" t="s">
        <v>206</v>
      </c>
      <c r="C2252" s="96" t="s">
        <v>2230</v>
      </c>
      <c r="D2252" s="96" t="s">
        <v>10</v>
      </c>
      <c r="E2252" s="43">
        <v>45708</v>
      </c>
      <c r="F2252" s="43">
        <v>45783</v>
      </c>
      <c r="G2252" s="96" t="s">
        <v>90</v>
      </c>
      <c r="H2252" s="96" t="s">
        <v>2151</v>
      </c>
      <c r="I2252" s="96" t="s">
        <v>204</v>
      </c>
      <c r="J2252" s="96" t="s">
        <v>176</v>
      </c>
      <c r="K2252" s="96" t="s">
        <v>157</v>
      </c>
      <c r="L2252">
        <v>75</v>
      </c>
      <c r="M2252" t="s">
        <v>28</v>
      </c>
      <c r="N2252" t="s">
        <v>188</v>
      </c>
      <c r="O2252" t="s">
        <v>152</v>
      </c>
      <c r="P2252">
        <v>2025</v>
      </c>
    </row>
    <row r="2253" spans="1:16" hidden="1" x14ac:dyDescent="0.25">
      <c r="A2253" s="96" t="s">
        <v>2</v>
      </c>
      <c r="B2253" s="96" t="s">
        <v>211</v>
      </c>
      <c r="C2253" s="96" t="s">
        <v>2231</v>
      </c>
      <c r="D2253" s="96" t="s">
        <v>40</v>
      </c>
      <c r="E2253" s="43">
        <v>45689</v>
      </c>
      <c r="F2253" s="43">
        <v>45748</v>
      </c>
      <c r="G2253" s="96" t="s">
        <v>90</v>
      </c>
      <c r="H2253" s="96" t="s">
        <v>2153</v>
      </c>
      <c r="I2253" s="96" t="s">
        <v>157</v>
      </c>
      <c r="J2253" s="96" t="s">
        <v>96</v>
      </c>
      <c r="K2253" s="96" t="s">
        <v>157</v>
      </c>
      <c r="L2253">
        <v>59</v>
      </c>
      <c r="M2253" t="s">
        <v>24</v>
      </c>
      <c r="N2253" t="s">
        <v>188</v>
      </c>
      <c r="O2253" t="s">
        <v>170</v>
      </c>
      <c r="P2253">
        <v>2025</v>
      </c>
    </row>
    <row r="2254" spans="1:16" hidden="1" x14ac:dyDescent="0.25">
      <c r="A2254" s="96" t="s">
        <v>2</v>
      </c>
      <c r="B2254" s="96" t="s">
        <v>190</v>
      </c>
      <c r="C2254" s="96" t="s">
        <v>5856</v>
      </c>
      <c r="D2254" s="96" t="s">
        <v>223</v>
      </c>
      <c r="E2254" s="43">
        <v>45914</v>
      </c>
      <c r="F2254" s="43">
        <v>45960</v>
      </c>
      <c r="G2254" s="96" t="s">
        <v>90</v>
      </c>
      <c r="H2254" s="96" t="s">
        <v>2155</v>
      </c>
      <c r="I2254" s="96" t="s">
        <v>9</v>
      </c>
      <c r="J2254" s="96" t="s">
        <v>168</v>
      </c>
      <c r="K2254" s="96" t="s">
        <v>246</v>
      </c>
      <c r="L2254">
        <v>46</v>
      </c>
      <c r="M2254" t="s">
        <v>24</v>
      </c>
      <c r="N2254" t="s">
        <v>12</v>
      </c>
      <c r="O2254" t="s">
        <v>150</v>
      </c>
      <c r="P2254">
        <v>2025</v>
      </c>
    </row>
    <row r="2255" spans="1:16" hidden="1" x14ac:dyDescent="0.25">
      <c r="A2255" s="96" t="s">
        <v>2</v>
      </c>
      <c r="B2255" s="96" t="s">
        <v>221</v>
      </c>
      <c r="C2255" s="96" t="s">
        <v>2233</v>
      </c>
      <c r="D2255" s="96" t="s">
        <v>208</v>
      </c>
      <c r="E2255" s="43">
        <v>45869</v>
      </c>
      <c r="F2255" s="43">
        <v>45904</v>
      </c>
      <c r="G2255" s="96" t="s">
        <v>90</v>
      </c>
      <c r="H2255" s="96" t="s">
        <v>5857</v>
      </c>
      <c r="I2255" s="96" t="s">
        <v>194</v>
      </c>
      <c r="J2255" s="96" t="s">
        <v>97</v>
      </c>
      <c r="K2255" s="96" t="s">
        <v>210</v>
      </c>
      <c r="L2255">
        <v>35</v>
      </c>
      <c r="M2255" t="s">
        <v>24</v>
      </c>
      <c r="N2255" t="s">
        <v>187</v>
      </c>
      <c r="O2255" t="s">
        <v>170</v>
      </c>
      <c r="P2255">
        <v>2025</v>
      </c>
    </row>
    <row r="2256" spans="1:16" hidden="1" x14ac:dyDescent="0.25">
      <c r="A2256" s="96" t="s">
        <v>175</v>
      </c>
      <c r="B2256" s="96" t="s">
        <v>257</v>
      </c>
      <c r="C2256" s="96" t="s">
        <v>2235</v>
      </c>
      <c r="D2256" s="96" t="s">
        <v>192</v>
      </c>
      <c r="E2256" s="43">
        <v>45743</v>
      </c>
      <c r="F2256" s="43">
        <v>45761</v>
      </c>
      <c r="G2256" s="96" t="s">
        <v>90</v>
      </c>
      <c r="H2256" s="96" t="s">
        <v>2157</v>
      </c>
      <c r="I2256" s="96" t="s">
        <v>209</v>
      </c>
      <c r="J2256" s="96" t="s">
        <v>172</v>
      </c>
      <c r="K2256" s="96" t="s">
        <v>210</v>
      </c>
      <c r="L2256">
        <v>18</v>
      </c>
      <c r="M2256" t="s">
        <v>19</v>
      </c>
      <c r="N2256" t="s">
        <v>186</v>
      </c>
      <c r="O2256" t="s">
        <v>151</v>
      </c>
      <c r="P2256">
        <v>2025</v>
      </c>
    </row>
    <row r="2257" spans="1:16" hidden="1" x14ac:dyDescent="0.25">
      <c r="A2257" s="96" t="s">
        <v>2</v>
      </c>
      <c r="B2257" s="96" t="s">
        <v>253</v>
      </c>
      <c r="C2257" s="96" t="s">
        <v>5858</v>
      </c>
      <c r="D2257" s="96" t="s">
        <v>223</v>
      </c>
      <c r="E2257" s="43">
        <v>45945</v>
      </c>
      <c r="F2257" s="43">
        <v>46055</v>
      </c>
      <c r="G2257" s="96" t="s">
        <v>92</v>
      </c>
      <c r="H2257" s="96" t="s">
        <v>5859</v>
      </c>
      <c r="I2257" s="96" t="s">
        <v>194</v>
      </c>
      <c r="J2257" s="96" t="s">
        <v>216</v>
      </c>
      <c r="K2257" s="96" t="s">
        <v>217</v>
      </c>
      <c r="L2257">
        <v>110</v>
      </c>
      <c r="M2257" t="s">
        <v>28</v>
      </c>
      <c r="N2257" t="s">
        <v>16</v>
      </c>
      <c r="O2257" t="s">
        <v>152</v>
      </c>
      <c r="P2257">
        <v>2025</v>
      </c>
    </row>
    <row r="2258" spans="1:16" x14ac:dyDescent="0.25">
      <c r="A2258" s="96" t="s">
        <v>2</v>
      </c>
      <c r="B2258" s="96" t="s">
        <v>302</v>
      </c>
      <c r="C2258" s="96" t="s">
        <v>2237</v>
      </c>
      <c r="D2258" s="96" t="s">
        <v>192</v>
      </c>
      <c r="E2258" s="43">
        <v>46042</v>
      </c>
      <c r="F2258" s="43">
        <v>46135</v>
      </c>
      <c r="G2258" s="96" t="s">
        <v>92</v>
      </c>
      <c r="H2258" s="96" t="s">
        <v>5860</v>
      </c>
      <c r="I2258" s="96" t="s">
        <v>157</v>
      </c>
      <c r="J2258" s="96" t="s">
        <v>165</v>
      </c>
      <c r="K2258" s="96" t="s">
        <v>200</v>
      </c>
      <c r="L2258">
        <v>93</v>
      </c>
      <c r="M2258" t="s">
        <v>28</v>
      </c>
      <c r="N2258" t="s">
        <v>29</v>
      </c>
      <c r="O2258" t="s">
        <v>150</v>
      </c>
      <c r="P2258">
        <v>2026</v>
      </c>
    </row>
    <row r="2259" spans="1:16" hidden="1" x14ac:dyDescent="0.25">
      <c r="A2259" s="96" t="s">
        <v>2</v>
      </c>
      <c r="B2259" s="96" t="s">
        <v>257</v>
      </c>
      <c r="C2259" s="96" t="s">
        <v>2239</v>
      </c>
      <c r="D2259" s="96" t="s">
        <v>192</v>
      </c>
      <c r="E2259" s="43">
        <v>45862</v>
      </c>
      <c r="F2259" s="43">
        <v>45958</v>
      </c>
      <c r="G2259" s="96" t="s">
        <v>92</v>
      </c>
      <c r="H2259" s="96" t="s">
        <v>2159</v>
      </c>
      <c r="I2259" s="96" t="s">
        <v>157</v>
      </c>
      <c r="J2259" s="96" t="s">
        <v>91</v>
      </c>
      <c r="K2259" s="96" t="s">
        <v>217</v>
      </c>
      <c r="L2259">
        <v>96</v>
      </c>
      <c r="M2259" t="s">
        <v>28</v>
      </c>
      <c r="N2259" t="s">
        <v>187</v>
      </c>
      <c r="O2259" t="s">
        <v>151</v>
      </c>
      <c r="P2259">
        <v>2025</v>
      </c>
    </row>
    <row r="2260" spans="1:16" x14ac:dyDescent="0.25">
      <c r="A2260" s="96" t="s">
        <v>2</v>
      </c>
      <c r="B2260" s="96" t="s">
        <v>218</v>
      </c>
      <c r="C2260" s="96" t="s">
        <v>2240</v>
      </c>
      <c r="D2260" s="96" t="s">
        <v>14</v>
      </c>
      <c r="E2260" s="43">
        <v>46052</v>
      </c>
      <c r="F2260" s="43">
        <v>46127</v>
      </c>
      <c r="G2260" s="96" t="s">
        <v>92</v>
      </c>
      <c r="H2260" s="96" t="s">
        <v>2161</v>
      </c>
      <c r="I2260" s="96" t="s">
        <v>228</v>
      </c>
      <c r="J2260" s="96" t="s">
        <v>174</v>
      </c>
      <c r="K2260" s="96" t="s">
        <v>205</v>
      </c>
      <c r="L2260">
        <v>75</v>
      </c>
      <c r="M2260" t="s">
        <v>28</v>
      </c>
      <c r="N2260" t="s">
        <v>29</v>
      </c>
      <c r="O2260" t="s">
        <v>152</v>
      </c>
      <c r="P2260">
        <v>2026</v>
      </c>
    </row>
    <row r="2261" spans="1:16" hidden="1" x14ac:dyDescent="0.25">
      <c r="A2261" s="96" t="s">
        <v>171</v>
      </c>
      <c r="B2261" s="96" t="s">
        <v>257</v>
      </c>
      <c r="C2261" s="96" t="s">
        <v>2241</v>
      </c>
      <c r="D2261" s="96" t="s">
        <v>10</v>
      </c>
      <c r="E2261" s="43">
        <v>46019</v>
      </c>
      <c r="F2261" s="43">
        <v>46087</v>
      </c>
      <c r="G2261" s="96" t="s">
        <v>92</v>
      </c>
      <c r="H2261" s="96" t="s">
        <v>2162</v>
      </c>
      <c r="I2261" s="96" t="s">
        <v>157</v>
      </c>
      <c r="J2261" s="96" t="s">
        <v>94</v>
      </c>
      <c r="K2261" s="96" t="s">
        <v>205</v>
      </c>
      <c r="L2261">
        <v>68</v>
      </c>
      <c r="M2261" t="s">
        <v>28</v>
      </c>
      <c r="N2261" t="s">
        <v>25</v>
      </c>
      <c r="O2261" t="s">
        <v>151</v>
      </c>
      <c r="P2261">
        <v>2025</v>
      </c>
    </row>
    <row r="2262" spans="1:16" hidden="1" x14ac:dyDescent="0.25">
      <c r="A2262" s="96" t="s">
        <v>2</v>
      </c>
      <c r="B2262" s="96" t="s">
        <v>211</v>
      </c>
      <c r="C2262" s="96" t="s">
        <v>2242</v>
      </c>
      <c r="D2262" s="96" t="s">
        <v>237</v>
      </c>
      <c r="E2262" s="43">
        <v>45939</v>
      </c>
      <c r="F2262" s="43">
        <v>45952</v>
      </c>
      <c r="G2262" s="96" t="s">
        <v>90</v>
      </c>
      <c r="H2262" s="96" t="s">
        <v>5861</v>
      </c>
      <c r="I2262" s="96" t="s">
        <v>157</v>
      </c>
      <c r="J2262" s="96" t="s">
        <v>216</v>
      </c>
      <c r="K2262" s="96" t="s">
        <v>217</v>
      </c>
      <c r="L2262">
        <v>13</v>
      </c>
      <c r="M2262" t="s">
        <v>15</v>
      </c>
      <c r="N2262" t="s">
        <v>16</v>
      </c>
      <c r="O2262" t="s">
        <v>170</v>
      </c>
      <c r="P2262">
        <v>2025</v>
      </c>
    </row>
    <row r="2263" spans="1:16" x14ac:dyDescent="0.25">
      <c r="A2263" s="96" t="s">
        <v>2</v>
      </c>
      <c r="B2263" s="96" t="s">
        <v>302</v>
      </c>
      <c r="C2263" s="96" t="s">
        <v>2243</v>
      </c>
      <c r="D2263" s="96" t="s">
        <v>237</v>
      </c>
      <c r="E2263" s="43">
        <v>46136</v>
      </c>
      <c r="F2263" s="43">
        <v>46151</v>
      </c>
      <c r="G2263" s="96" t="s">
        <v>90</v>
      </c>
      <c r="H2263" s="96" t="s">
        <v>5862</v>
      </c>
      <c r="I2263" s="96" t="s">
        <v>204</v>
      </c>
      <c r="J2263" s="96" t="s">
        <v>283</v>
      </c>
      <c r="K2263" s="96" t="s">
        <v>246</v>
      </c>
      <c r="L2263">
        <v>15</v>
      </c>
      <c r="M2263" t="s">
        <v>19</v>
      </c>
      <c r="N2263" t="s">
        <v>37</v>
      </c>
      <c r="O2263" t="s">
        <v>150</v>
      </c>
      <c r="P2263">
        <v>2026</v>
      </c>
    </row>
    <row r="2264" spans="1:16" hidden="1" x14ac:dyDescent="0.25">
      <c r="A2264" s="96" t="s">
        <v>175</v>
      </c>
      <c r="B2264" s="96" t="s">
        <v>264</v>
      </c>
      <c r="C2264" s="96" t="s">
        <v>2244</v>
      </c>
      <c r="D2264" s="96" t="s">
        <v>237</v>
      </c>
      <c r="E2264" s="43">
        <v>45675</v>
      </c>
      <c r="F2264" s="43">
        <v>45716</v>
      </c>
      <c r="G2264" s="96" t="s">
        <v>92</v>
      </c>
      <c r="H2264" s="96" t="s">
        <v>5863</v>
      </c>
      <c r="I2264" s="96" t="s">
        <v>204</v>
      </c>
      <c r="J2264" s="96" t="s">
        <v>172</v>
      </c>
      <c r="K2264" s="96" t="s">
        <v>200</v>
      </c>
      <c r="L2264">
        <v>41</v>
      </c>
      <c r="M2264" t="s">
        <v>24</v>
      </c>
      <c r="N2264" t="s">
        <v>181</v>
      </c>
      <c r="O2264" t="s">
        <v>152</v>
      </c>
      <c r="P2264">
        <v>2025</v>
      </c>
    </row>
    <row r="2265" spans="1:16" hidden="1" x14ac:dyDescent="0.25">
      <c r="A2265" s="96" t="s">
        <v>2</v>
      </c>
      <c r="B2265" s="96" t="s">
        <v>255</v>
      </c>
      <c r="C2265" s="96" t="s">
        <v>5864</v>
      </c>
      <c r="D2265" s="96" t="s">
        <v>237</v>
      </c>
      <c r="E2265" s="43">
        <v>45687</v>
      </c>
      <c r="F2265" s="43">
        <v>45796</v>
      </c>
      <c r="G2265" s="96" t="s">
        <v>92</v>
      </c>
      <c r="H2265" s="96" t="s">
        <v>5865</v>
      </c>
      <c r="I2265" s="96" t="s">
        <v>157</v>
      </c>
      <c r="J2265" s="96" t="s">
        <v>283</v>
      </c>
      <c r="K2265" s="96" t="s">
        <v>210</v>
      </c>
      <c r="L2265">
        <v>109</v>
      </c>
      <c r="M2265" t="s">
        <v>28</v>
      </c>
      <c r="N2265" t="s">
        <v>181</v>
      </c>
      <c r="O2265" t="s">
        <v>150</v>
      </c>
      <c r="P2265">
        <v>2025</v>
      </c>
    </row>
    <row r="2266" spans="1:16" hidden="1" x14ac:dyDescent="0.25">
      <c r="A2266" s="96" t="s">
        <v>2</v>
      </c>
      <c r="B2266" s="96" t="s">
        <v>221</v>
      </c>
      <c r="C2266" s="96" t="s">
        <v>2245</v>
      </c>
      <c r="D2266" s="96" t="s">
        <v>40</v>
      </c>
      <c r="E2266" s="43">
        <v>45911</v>
      </c>
      <c r="F2266" s="43">
        <v>46011</v>
      </c>
      <c r="G2266" s="96" t="s">
        <v>92</v>
      </c>
      <c r="H2266" s="96" t="s">
        <v>5866</v>
      </c>
      <c r="I2266" s="96" t="s">
        <v>9</v>
      </c>
      <c r="J2266" s="96" t="s">
        <v>165</v>
      </c>
      <c r="K2266" s="96" t="s">
        <v>230</v>
      </c>
      <c r="L2266">
        <v>100</v>
      </c>
      <c r="M2266" t="s">
        <v>28</v>
      </c>
      <c r="N2266" t="s">
        <v>12</v>
      </c>
      <c r="O2266" t="s">
        <v>170</v>
      </c>
      <c r="P2266">
        <v>2025</v>
      </c>
    </row>
    <row r="2267" spans="1:16" hidden="1" x14ac:dyDescent="0.25">
      <c r="A2267" s="96" t="s">
        <v>2</v>
      </c>
      <c r="B2267" s="96" t="s">
        <v>257</v>
      </c>
      <c r="C2267" s="96" t="s">
        <v>2246</v>
      </c>
      <c r="D2267" s="96" t="s">
        <v>10</v>
      </c>
      <c r="E2267" s="43">
        <v>45819</v>
      </c>
      <c r="F2267" s="43">
        <v>45897</v>
      </c>
      <c r="G2267" s="96" t="s">
        <v>92</v>
      </c>
      <c r="H2267" s="96" t="s">
        <v>5867</v>
      </c>
      <c r="I2267" s="96" t="s">
        <v>194</v>
      </c>
      <c r="J2267" s="96" t="s">
        <v>91</v>
      </c>
      <c r="K2267" s="96" t="s">
        <v>157</v>
      </c>
      <c r="L2267">
        <v>78</v>
      </c>
      <c r="M2267" t="s">
        <v>28</v>
      </c>
      <c r="N2267" t="s">
        <v>184</v>
      </c>
      <c r="O2267" t="s">
        <v>151</v>
      </c>
      <c r="P2267">
        <v>2025</v>
      </c>
    </row>
    <row r="2268" spans="1:16" hidden="1" x14ac:dyDescent="0.25">
      <c r="A2268" s="96" t="s">
        <v>21</v>
      </c>
      <c r="B2268" s="96" t="s">
        <v>272</v>
      </c>
      <c r="C2268" s="96" t="s">
        <v>5868</v>
      </c>
      <c r="D2268" s="96" t="s">
        <v>208</v>
      </c>
      <c r="E2268" s="43">
        <v>45821</v>
      </c>
      <c r="F2268" s="43">
        <v>45854</v>
      </c>
      <c r="G2268" s="96" t="s">
        <v>90</v>
      </c>
      <c r="H2268" s="96" t="s">
        <v>5869</v>
      </c>
      <c r="I2268" s="96" t="s">
        <v>204</v>
      </c>
      <c r="J2268" s="96" t="s">
        <v>94</v>
      </c>
      <c r="K2268" s="96" t="s">
        <v>217</v>
      </c>
      <c r="L2268">
        <v>33</v>
      </c>
      <c r="M2268" t="s">
        <v>24</v>
      </c>
      <c r="N2268" t="s">
        <v>184</v>
      </c>
      <c r="O2268" t="s">
        <v>151</v>
      </c>
      <c r="P2268">
        <v>2025</v>
      </c>
    </row>
    <row r="2269" spans="1:16" x14ac:dyDescent="0.25">
      <c r="A2269" s="96" t="s">
        <v>2</v>
      </c>
      <c r="B2269" s="96" t="s">
        <v>290</v>
      </c>
      <c r="C2269" s="96" t="s">
        <v>2247</v>
      </c>
      <c r="D2269" s="96" t="s">
        <v>192</v>
      </c>
      <c r="E2269" s="43">
        <v>46082</v>
      </c>
      <c r="F2269" s="43">
        <v>46147</v>
      </c>
      <c r="G2269" s="96" t="s">
        <v>92</v>
      </c>
      <c r="H2269" s="96" t="s">
        <v>5870</v>
      </c>
      <c r="I2269" s="96" t="s">
        <v>194</v>
      </c>
      <c r="J2269" s="96" t="s">
        <v>216</v>
      </c>
      <c r="K2269" s="96" t="s">
        <v>233</v>
      </c>
      <c r="L2269">
        <v>65</v>
      </c>
      <c r="M2269" t="s">
        <v>28</v>
      </c>
      <c r="N2269" t="s">
        <v>35</v>
      </c>
      <c r="O2269" t="s">
        <v>149</v>
      </c>
      <c r="P2269">
        <v>2026</v>
      </c>
    </row>
    <row r="2270" spans="1:16" hidden="1" x14ac:dyDescent="0.25">
      <c r="A2270" s="96" t="s">
        <v>2</v>
      </c>
      <c r="B2270" s="96" t="s">
        <v>322</v>
      </c>
      <c r="C2270" s="96" t="s">
        <v>2248</v>
      </c>
      <c r="D2270" s="96" t="s">
        <v>34</v>
      </c>
      <c r="E2270" s="43">
        <v>45731</v>
      </c>
      <c r="F2270" s="43">
        <v>45745</v>
      </c>
      <c r="G2270" s="96" t="s">
        <v>92</v>
      </c>
      <c r="H2270" s="96" t="s">
        <v>5871</v>
      </c>
      <c r="I2270" s="96" t="s">
        <v>204</v>
      </c>
      <c r="J2270" s="96" t="s">
        <v>165</v>
      </c>
      <c r="K2270" s="96" t="s">
        <v>233</v>
      </c>
      <c r="L2270">
        <v>14</v>
      </c>
      <c r="M2270" t="s">
        <v>15</v>
      </c>
      <c r="N2270" t="s">
        <v>186</v>
      </c>
      <c r="O2270" t="s">
        <v>150</v>
      </c>
      <c r="P2270">
        <v>2025</v>
      </c>
    </row>
    <row r="2271" spans="1:16" hidden="1" x14ac:dyDescent="0.25">
      <c r="A2271" s="96" t="s">
        <v>2</v>
      </c>
      <c r="B2271" s="96" t="s">
        <v>272</v>
      </c>
      <c r="C2271" s="96" t="s">
        <v>5872</v>
      </c>
      <c r="D2271" s="96" t="s">
        <v>34</v>
      </c>
      <c r="E2271" s="43">
        <v>46021</v>
      </c>
      <c r="F2271" s="43">
        <v>46079</v>
      </c>
      <c r="G2271" s="96" t="s">
        <v>92</v>
      </c>
      <c r="H2271" s="96" t="s">
        <v>5873</v>
      </c>
      <c r="I2271" s="96" t="s">
        <v>157</v>
      </c>
      <c r="J2271" s="96" t="s">
        <v>169</v>
      </c>
      <c r="K2271" s="96" t="s">
        <v>200</v>
      </c>
      <c r="L2271">
        <v>58</v>
      </c>
      <c r="M2271" t="s">
        <v>24</v>
      </c>
      <c r="N2271" t="s">
        <v>25</v>
      </c>
      <c r="O2271" t="s">
        <v>151</v>
      </c>
      <c r="P2271">
        <v>2025</v>
      </c>
    </row>
    <row r="2272" spans="1:16" x14ac:dyDescent="0.25">
      <c r="A2272" s="96" t="s">
        <v>2</v>
      </c>
      <c r="B2272" s="96" t="s">
        <v>218</v>
      </c>
      <c r="C2272" s="96" t="s">
        <v>2249</v>
      </c>
      <c r="D2272" s="96" t="s">
        <v>203</v>
      </c>
      <c r="E2272" s="43">
        <v>46041</v>
      </c>
      <c r="F2272" s="43">
        <v>46150</v>
      </c>
      <c r="G2272" s="96" t="s">
        <v>92</v>
      </c>
      <c r="H2272" s="96" t="s">
        <v>5874</v>
      </c>
      <c r="I2272" s="96" t="s">
        <v>194</v>
      </c>
      <c r="J2272" s="96" t="s">
        <v>96</v>
      </c>
      <c r="K2272" s="96" t="s">
        <v>230</v>
      </c>
      <c r="L2272">
        <v>109</v>
      </c>
      <c r="M2272" t="s">
        <v>28</v>
      </c>
      <c r="N2272" t="s">
        <v>29</v>
      </c>
      <c r="O2272" t="s">
        <v>152</v>
      </c>
      <c r="P2272">
        <v>2026</v>
      </c>
    </row>
    <row r="2273" spans="1:16" hidden="1" x14ac:dyDescent="0.25">
      <c r="A2273" s="96" t="s">
        <v>2</v>
      </c>
      <c r="B2273" s="96" t="s">
        <v>240</v>
      </c>
      <c r="C2273" s="96" t="s">
        <v>5875</v>
      </c>
      <c r="D2273" s="96" t="s">
        <v>192</v>
      </c>
      <c r="E2273" s="43">
        <v>45992</v>
      </c>
      <c r="F2273" s="43">
        <v>46017</v>
      </c>
      <c r="G2273" s="96" t="s">
        <v>92</v>
      </c>
      <c r="H2273" s="96" t="s">
        <v>5876</v>
      </c>
      <c r="I2273" s="96" t="s">
        <v>157</v>
      </c>
      <c r="J2273" s="96" t="s">
        <v>93</v>
      </c>
      <c r="K2273" s="96" t="s">
        <v>195</v>
      </c>
      <c r="L2273">
        <v>25</v>
      </c>
      <c r="M2273" t="s">
        <v>19</v>
      </c>
      <c r="N2273" t="s">
        <v>25</v>
      </c>
      <c r="O2273" t="s">
        <v>149</v>
      </c>
      <c r="P2273">
        <v>2025</v>
      </c>
    </row>
    <row r="2274" spans="1:16" x14ac:dyDescent="0.25">
      <c r="A2274" s="96" t="s">
        <v>2</v>
      </c>
      <c r="B2274" s="96" t="s">
        <v>234</v>
      </c>
      <c r="C2274" s="96" t="s">
        <v>2251</v>
      </c>
      <c r="D2274" s="96" t="s">
        <v>203</v>
      </c>
      <c r="E2274" s="43">
        <v>46149</v>
      </c>
      <c r="F2274" s="43">
        <v>46147</v>
      </c>
      <c r="G2274" s="96" t="s">
        <v>90</v>
      </c>
      <c r="H2274" s="96" t="s">
        <v>5877</v>
      </c>
      <c r="I2274" s="96" t="s">
        <v>194</v>
      </c>
      <c r="J2274" s="96" t="s">
        <v>174</v>
      </c>
      <c r="K2274" s="96" t="s">
        <v>246</v>
      </c>
      <c r="L2274">
        <v>-2</v>
      </c>
      <c r="M2274" t="s">
        <v>11</v>
      </c>
      <c r="N2274" t="s">
        <v>183</v>
      </c>
      <c r="O2274" t="s">
        <v>150</v>
      </c>
      <c r="P2274">
        <v>2026</v>
      </c>
    </row>
    <row r="2275" spans="1:16" hidden="1" x14ac:dyDescent="0.25">
      <c r="A2275" s="96" t="s">
        <v>2</v>
      </c>
      <c r="B2275" s="96" t="s">
        <v>255</v>
      </c>
      <c r="C2275" s="96" t="s">
        <v>5878</v>
      </c>
      <c r="D2275" s="96" t="s">
        <v>223</v>
      </c>
      <c r="E2275" s="43">
        <v>45714</v>
      </c>
      <c r="F2275" s="43">
        <v>45791</v>
      </c>
      <c r="G2275" s="96" t="s">
        <v>92</v>
      </c>
      <c r="H2275" s="96" t="s">
        <v>5879</v>
      </c>
      <c r="I2275" s="96" t="s">
        <v>204</v>
      </c>
      <c r="J2275" s="96" t="s">
        <v>93</v>
      </c>
      <c r="K2275" s="96" t="s">
        <v>233</v>
      </c>
      <c r="L2275">
        <v>77</v>
      </c>
      <c r="M2275" t="s">
        <v>28</v>
      </c>
      <c r="N2275" t="s">
        <v>188</v>
      </c>
      <c r="O2275" t="s">
        <v>150</v>
      </c>
      <c r="P2275">
        <v>2025</v>
      </c>
    </row>
    <row r="2276" spans="1:16" hidden="1" x14ac:dyDescent="0.25">
      <c r="A2276" s="96" t="s">
        <v>171</v>
      </c>
      <c r="B2276" s="96" t="s">
        <v>272</v>
      </c>
      <c r="C2276" s="96" t="s">
        <v>2253</v>
      </c>
      <c r="D2276" s="96" t="s">
        <v>34</v>
      </c>
      <c r="E2276" s="43">
        <v>45748</v>
      </c>
      <c r="F2276" s="43">
        <v>45794</v>
      </c>
      <c r="G2276" s="96" t="s">
        <v>92</v>
      </c>
      <c r="H2276" s="96" t="s">
        <v>2173</v>
      </c>
      <c r="I2276" s="96" t="s">
        <v>157</v>
      </c>
      <c r="J2276" s="96" t="s">
        <v>174</v>
      </c>
      <c r="K2276" s="96" t="s">
        <v>210</v>
      </c>
      <c r="L2276">
        <v>46</v>
      </c>
      <c r="M2276" t="s">
        <v>24</v>
      </c>
      <c r="N2276" t="s">
        <v>185</v>
      </c>
      <c r="O2276" t="s">
        <v>151</v>
      </c>
      <c r="P2276">
        <v>2025</v>
      </c>
    </row>
    <row r="2277" spans="1:16" hidden="1" x14ac:dyDescent="0.25">
      <c r="A2277" s="96" t="s">
        <v>2</v>
      </c>
      <c r="B2277" s="96" t="s">
        <v>221</v>
      </c>
      <c r="C2277" s="96" t="s">
        <v>5880</v>
      </c>
      <c r="D2277" s="96" t="s">
        <v>14</v>
      </c>
      <c r="E2277" s="43">
        <v>45993</v>
      </c>
      <c r="F2277" s="43">
        <v>46101</v>
      </c>
      <c r="G2277" s="96" t="s">
        <v>90</v>
      </c>
      <c r="H2277" s="96" t="s">
        <v>2175</v>
      </c>
      <c r="I2277" s="96" t="s">
        <v>157</v>
      </c>
      <c r="J2277" s="96" t="s">
        <v>199</v>
      </c>
      <c r="K2277" s="96" t="s">
        <v>200</v>
      </c>
      <c r="L2277">
        <v>108</v>
      </c>
      <c r="M2277" t="s">
        <v>28</v>
      </c>
      <c r="N2277" t="s">
        <v>25</v>
      </c>
      <c r="O2277" t="s">
        <v>170</v>
      </c>
      <c r="P2277">
        <v>2025</v>
      </c>
    </row>
    <row r="2278" spans="1:16" hidden="1" x14ac:dyDescent="0.25">
      <c r="A2278" s="96" t="s">
        <v>2</v>
      </c>
      <c r="B2278" s="96" t="s">
        <v>190</v>
      </c>
      <c r="C2278" s="96" t="s">
        <v>5881</v>
      </c>
      <c r="D2278" s="96" t="s">
        <v>237</v>
      </c>
      <c r="E2278" s="43">
        <v>45901</v>
      </c>
      <c r="F2278" s="43">
        <v>46016</v>
      </c>
      <c r="G2278" s="96" t="s">
        <v>92</v>
      </c>
      <c r="H2278" s="96" t="s">
        <v>5882</v>
      </c>
      <c r="I2278" s="96" t="s">
        <v>204</v>
      </c>
      <c r="J2278" s="96" t="s">
        <v>283</v>
      </c>
      <c r="K2278" s="96" t="s">
        <v>246</v>
      </c>
      <c r="L2278">
        <v>115</v>
      </c>
      <c r="M2278" t="s">
        <v>28</v>
      </c>
      <c r="N2278" t="s">
        <v>12</v>
      </c>
      <c r="O2278" t="s">
        <v>150</v>
      </c>
      <c r="P2278">
        <v>2025</v>
      </c>
    </row>
    <row r="2279" spans="1:16" x14ac:dyDescent="0.25">
      <c r="A2279" s="96" t="s">
        <v>171</v>
      </c>
      <c r="B2279" s="96" t="s">
        <v>226</v>
      </c>
      <c r="C2279" s="96" t="s">
        <v>2254</v>
      </c>
      <c r="D2279" s="96" t="s">
        <v>14</v>
      </c>
      <c r="E2279" s="43">
        <v>46117</v>
      </c>
      <c r="F2279" s="43">
        <v>46125</v>
      </c>
      <c r="G2279" s="96" t="s">
        <v>92</v>
      </c>
      <c r="H2279" s="96" t="s">
        <v>5883</v>
      </c>
      <c r="I2279" s="96" t="s">
        <v>157</v>
      </c>
      <c r="J2279" s="96" t="s">
        <v>94</v>
      </c>
      <c r="K2279" s="96" t="s">
        <v>230</v>
      </c>
      <c r="L2279">
        <v>8</v>
      </c>
      <c r="M2279" t="s">
        <v>15</v>
      </c>
      <c r="N2279" t="s">
        <v>37</v>
      </c>
      <c r="O2279" t="s">
        <v>151</v>
      </c>
      <c r="P2279">
        <v>2026</v>
      </c>
    </row>
    <row r="2280" spans="1:16" hidden="1" x14ac:dyDescent="0.25">
      <c r="A2280" s="96" t="s">
        <v>2</v>
      </c>
      <c r="B2280" s="96" t="s">
        <v>247</v>
      </c>
      <c r="C2280" s="96" t="s">
        <v>5884</v>
      </c>
      <c r="D2280" s="96" t="s">
        <v>40</v>
      </c>
      <c r="E2280" s="43">
        <v>46017</v>
      </c>
      <c r="F2280" s="43">
        <v>46025</v>
      </c>
      <c r="G2280" s="96" t="s">
        <v>95</v>
      </c>
      <c r="H2280" s="96" t="s">
        <v>5885</v>
      </c>
      <c r="I2280" s="96" t="s">
        <v>209</v>
      </c>
      <c r="J2280" s="96" t="s">
        <v>97</v>
      </c>
      <c r="K2280" s="96" t="s">
        <v>217</v>
      </c>
      <c r="L2280">
        <v>8</v>
      </c>
      <c r="M2280" t="s">
        <v>15</v>
      </c>
      <c r="N2280" t="s">
        <v>25</v>
      </c>
      <c r="O2280" t="s">
        <v>150</v>
      </c>
      <c r="P2280">
        <v>2025</v>
      </c>
    </row>
    <row r="2281" spans="1:16" hidden="1" x14ac:dyDescent="0.25">
      <c r="A2281" s="96" t="s">
        <v>2</v>
      </c>
      <c r="B2281" s="96" t="s">
        <v>247</v>
      </c>
      <c r="C2281" s="96" t="s">
        <v>2256</v>
      </c>
      <c r="D2281" s="96" t="s">
        <v>208</v>
      </c>
      <c r="E2281" s="43">
        <v>45857</v>
      </c>
      <c r="F2281" s="43">
        <v>45956</v>
      </c>
      <c r="G2281" s="96" t="s">
        <v>92</v>
      </c>
      <c r="H2281" s="96" t="s">
        <v>5886</v>
      </c>
      <c r="I2281" s="96" t="s">
        <v>194</v>
      </c>
      <c r="J2281" s="96" t="s">
        <v>229</v>
      </c>
      <c r="K2281" s="96" t="s">
        <v>205</v>
      </c>
      <c r="L2281">
        <v>99</v>
      </c>
      <c r="M2281" t="s">
        <v>28</v>
      </c>
      <c r="N2281" t="s">
        <v>187</v>
      </c>
      <c r="O2281" t="s">
        <v>150</v>
      </c>
      <c r="P2281">
        <v>2025</v>
      </c>
    </row>
    <row r="2282" spans="1:16" hidden="1" x14ac:dyDescent="0.25">
      <c r="A2282" s="96" t="s">
        <v>2</v>
      </c>
      <c r="B2282" s="96" t="s">
        <v>238</v>
      </c>
      <c r="C2282" s="96" t="s">
        <v>2257</v>
      </c>
      <c r="D2282" s="96" t="s">
        <v>34</v>
      </c>
      <c r="E2282" s="43">
        <v>45670</v>
      </c>
      <c r="F2282" s="43">
        <v>45697</v>
      </c>
      <c r="G2282" s="96" t="s">
        <v>92</v>
      </c>
      <c r="H2282" s="96" t="s">
        <v>5887</v>
      </c>
      <c r="I2282" s="96" t="s">
        <v>194</v>
      </c>
      <c r="J2282" s="96" t="s">
        <v>169</v>
      </c>
      <c r="K2282" s="96" t="s">
        <v>233</v>
      </c>
      <c r="L2282">
        <v>27</v>
      </c>
      <c r="M2282" t="s">
        <v>19</v>
      </c>
      <c r="N2282" t="s">
        <v>181</v>
      </c>
      <c r="O2282" t="s">
        <v>170</v>
      </c>
      <c r="P2282">
        <v>2025</v>
      </c>
    </row>
    <row r="2283" spans="1:16" hidden="1" x14ac:dyDescent="0.25">
      <c r="A2283" s="96" t="s">
        <v>2</v>
      </c>
      <c r="B2283" s="96" t="s">
        <v>211</v>
      </c>
      <c r="C2283" s="96" t="s">
        <v>5888</v>
      </c>
      <c r="D2283" s="96" t="s">
        <v>34</v>
      </c>
      <c r="E2283" s="43">
        <v>45754</v>
      </c>
      <c r="F2283" s="43">
        <v>45872</v>
      </c>
      <c r="G2283" s="96" t="s">
        <v>92</v>
      </c>
      <c r="H2283" s="96" t="s">
        <v>5889</v>
      </c>
      <c r="I2283" s="96" t="s">
        <v>209</v>
      </c>
      <c r="J2283" s="96" t="s">
        <v>94</v>
      </c>
      <c r="K2283" s="96" t="s">
        <v>210</v>
      </c>
      <c r="L2283">
        <v>118</v>
      </c>
      <c r="M2283" t="s">
        <v>28</v>
      </c>
      <c r="N2283" t="s">
        <v>185</v>
      </c>
      <c r="O2283" t="s">
        <v>170</v>
      </c>
      <c r="P2283">
        <v>2025</v>
      </c>
    </row>
    <row r="2284" spans="1:16" hidden="1" x14ac:dyDescent="0.25">
      <c r="A2284" s="96" t="s">
        <v>2</v>
      </c>
      <c r="B2284" s="96" t="s">
        <v>257</v>
      </c>
      <c r="C2284" s="96" t="s">
        <v>2258</v>
      </c>
      <c r="D2284" s="96" t="s">
        <v>203</v>
      </c>
      <c r="E2284" s="43">
        <v>46014</v>
      </c>
      <c r="F2284" s="43">
        <v>46015</v>
      </c>
      <c r="G2284" s="96" t="s">
        <v>90</v>
      </c>
      <c r="H2284" s="96" t="s">
        <v>5890</v>
      </c>
      <c r="I2284" s="96" t="s">
        <v>204</v>
      </c>
      <c r="J2284" s="96" t="s">
        <v>168</v>
      </c>
      <c r="K2284" s="96" t="s">
        <v>200</v>
      </c>
      <c r="L2284">
        <v>1</v>
      </c>
      <c r="M2284" t="s">
        <v>11</v>
      </c>
      <c r="N2284" t="s">
        <v>25</v>
      </c>
      <c r="O2284" t="s">
        <v>151</v>
      </c>
      <c r="P2284">
        <v>2025</v>
      </c>
    </row>
    <row r="2285" spans="1:16" hidden="1" x14ac:dyDescent="0.25">
      <c r="A2285" s="96" t="s">
        <v>2</v>
      </c>
      <c r="B2285" s="96" t="s">
        <v>231</v>
      </c>
      <c r="C2285" s="96" t="s">
        <v>5891</v>
      </c>
      <c r="D2285" s="96" t="s">
        <v>40</v>
      </c>
      <c r="E2285" s="43">
        <v>45690</v>
      </c>
      <c r="F2285" s="43">
        <v>45798</v>
      </c>
      <c r="G2285" s="96" t="s">
        <v>90</v>
      </c>
      <c r="H2285" s="96" t="s">
        <v>2180</v>
      </c>
      <c r="I2285" s="96" t="s">
        <v>157</v>
      </c>
      <c r="J2285" s="96" t="s">
        <v>172</v>
      </c>
      <c r="K2285" s="96" t="s">
        <v>195</v>
      </c>
      <c r="L2285">
        <v>108</v>
      </c>
      <c r="M2285" t="s">
        <v>28</v>
      </c>
      <c r="N2285" t="s">
        <v>188</v>
      </c>
      <c r="O2285" t="s">
        <v>170</v>
      </c>
      <c r="P2285">
        <v>2025</v>
      </c>
    </row>
    <row r="2286" spans="1:16" x14ac:dyDescent="0.25">
      <c r="A2286" s="96" t="s">
        <v>21</v>
      </c>
      <c r="B2286" s="96" t="s">
        <v>305</v>
      </c>
      <c r="C2286" s="96" t="s">
        <v>5892</v>
      </c>
      <c r="D2286" s="96" t="s">
        <v>208</v>
      </c>
      <c r="E2286" s="43">
        <v>46111</v>
      </c>
      <c r="F2286" s="43">
        <v>46150</v>
      </c>
      <c r="G2286" s="96" t="s">
        <v>92</v>
      </c>
      <c r="H2286" s="96" t="s">
        <v>2182</v>
      </c>
      <c r="I2286" s="96" t="s">
        <v>225</v>
      </c>
      <c r="J2286" s="96" t="s">
        <v>174</v>
      </c>
      <c r="K2286" s="96" t="s">
        <v>230</v>
      </c>
      <c r="L2286">
        <v>39</v>
      </c>
      <c r="M2286" t="s">
        <v>24</v>
      </c>
      <c r="N2286" t="s">
        <v>35</v>
      </c>
      <c r="O2286" t="s">
        <v>170</v>
      </c>
      <c r="P2286">
        <v>2026</v>
      </c>
    </row>
    <row r="2287" spans="1:16" x14ac:dyDescent="0.25">
      <c r="A2287" s="96" t="s">
        <v>2</v>
      </c>
      <c r="B2287" s="96" t="s">
        <v>261</v>
      </c>
      <c r="C2287" s="96" t="s">
        <v>2259</v>
      </c>
      <c r="D2287" s="96" t="s">
        <v>34</v>
      </c>
      <c r="E2287" s="43">
        <v>46025</v>
      </c>
      <c r="F2287" s="43">
        <v>46065</v>
      </c>
      <c r="G2287" s="96" t="s">
        <v>92</v>
      </c>
      <c r="H2287" s="96" t="s">
        <v>2184</v>
      </c>
      <c r="I2287" s="96" t="s">
        <v>9</v>
      </c>
      <c r="J2287" s="96" t="s">
        <v>91</v>
      </c>
      <c r="K2287" s="96" t="s">
        <v>210</v>
      </c>
      <c r="L2287">
        <v>40</v>
      </c>
      <c r="M2287" t="s">
        <v>24</v>
      </c>
      <c r="N2287" t="s">
        <v>29</v>
      </c>
      <c r="O2287" t="s">
        <v>151</v>
      </c>
      <c r="P2287">
        <v>2026</v>
      </c>
    </row>
    <row r="2288" spans="1:16" x14ac:dyDescent="0.25">
      <c r="A2288" s="96" t="s">
        <v>2</v>
      </c>
      <c r="B2288" s="96" t="s">
        <v>274</v>
      </c>
      <c r="C2288" s="96" t="s">
        <v>2261</v>
      </c>
      <c r="D2288" s="96" t="s">
        <v>237</v>
      </c>
      <c r="E2288" s="43">
        <v>46116</v>
      </c>
      <c r="F2288" s="43">
        <v>46124</v>
      </c>
      <c r="G2288" s="96" t="s">
        <v>92</v>
      </c>
      <c r="H2288" s="96" t="s">
        <v>2185</v>
      </c>
      <c r="I2288" s="96" t="s">
        <v>204</v>
      </c>
      <c r="J2288" s="96" t="s">
        <v>91</v>
      </c>
      <c r="K2288" s="96" t="s">
        <v>230</v>
      </c>
      <c r="L2288">
        <v>8</v>
      </c>
      <c r="M2288" t="s">
        <v>15</v>
      </c>
      <c r="N2288" t="s">
        <v>37</v>
      </c>
      <c r="O2288" t="s">
        <v>170</v>
      </c>
      <c r="P2288">
        <v>2026</v>
      </c>
    </row>
    <row r="2289" spans="1:16" hidden="1" x14ac:dyDescent="0.25">
      <c r="A2289" s="96" t="s">
        <v>2</v>
      </c>
      <c r="B2289" s="96" t="s">
        <v>231</v>
      </c>
      <c r="C2289" s="96" t="s">
        <v>2263</v>
      </c>
      <c r="D2289" s="96" t="s">
        <v>34</v>
      </c>
      <c r="E2289" s="43">
        <v>45683</v>
      </c>
      <c r="F2289" s="43">
        <v>45771</v>
      </c>
      <c r="G2289" s="96" t="s">
        <v>92</v>
      </c>
      <c r="H2289" s="96" t="s">
        <v>2187</v>
      </c>
      <c r="I2289" s="96" t="s">
        <v>228</v>
      </c>
      <c r="J2289" s="96" t="s">
        <v>96</v>
      </c>
      <c r="K2289" s="96" t="s">
        <v>217</v>
      </c>
      <c r="L2289">
        <v>88</v>
      </c>
      <c r="M2289" t="s">
        <v>28</v>
      </c>
      <c r="N2289" t="s">
        <v>181</v>
      </c>
      <c r="O2289" t="s">
        <v>170</v>
      </c>
      <c r="P2289">
        <v>2025</v>
      </c>
    </row>
    <row r="2290" spans="1:16" hidden="1" x14ac:dyDescent="0.25">
      <c r="A2290" s="96" t="s">
        <v>2</v>
      </c>
      <c r="B2290" s="96" t="s">
        <v>257</v>
      </c>
      <c r="C2290" s="96" t="s">
        <v>5893</v>
      </c>
      <c r="D2290" s="96" t="s">
        <v>237</v>
      </c>
      <c r="E2290" s="43">
        <v>45998</v>
      </c>
      <c r="F2290" s="43">
        <v>46026</v>
      </c>
      <c r="G2290" s="96" t="s">
        <v>92</v>
      </c>
      <c r="H2290" s="96" t="s">
        <v>5894</v>
      </c>
      <c r="I2290" s="96" t="s">
        <v>9</v>
      </c>
      <c r="J2290" s="96" t="s">
        <v>199</v>
      </c>
      <c r="K2290" s="96" t="s">
        <v>246</v>
      </c>
      <c r="L2290">
        <v>28</v>
      </c>
      <c r="M2290" t="s">
        <v>19</v>
      </c>
      <c r="N2290" t="s">
        <v>25</v>
      </c>
      <c r="O2290" t="s">
        <v>151</v>
      </c>
      <c r="P2290">
        <v>2025</v>
      </c>
    </row>
    <row r="2291" spans="1:16" x14ac:dyDescent="0.25">
      <c r="A2291" s="96" t="s">
        <v>2</v>
      </c>
      <c r="B2291" s="96" t="s">
        <v>219</v>
      </c>
      <c r="C2291" s="96" t="s">
        <v>2265</v>
      </c>
      <c r="D2291" s="96" t="s">
        <v>10</v>
      </c>
      <c r="E2291" s="43">
        <v>46150</v>
      </c>
      <c r="F2291" s="43">
        <v>46147</v>
      </c>
      <c r="G2291" s="96" t="s">
        <v>95</v>
      </c>
      <c r="H2291" s="96" t="s">
        <v>5895</v>
      </c>
      <c r="I2291" s="96" t="s">
        <v>225</v>
      </c>
      <c r="J2291" s="96" t="s">
        <v>199</v>
      </c>
      <c r="K2291" s="96" t="s">
        <v>195</v>
      </c>
      <c r="L2291">
        <v>-3</v>
      </c>
      <c r="M2291" t="s">
        <v>11</v>
      </c>
      <c r="N2291" t="s">
        <v>183</v>
      </c>
      <c r="O2291" t="s">
        <v>149</v>
      </c>
      <c r="P2291">
        <v>2026</v>
      </c>
    </row>
    <row r="2292" spans="1:16" hidden="1" x14ac:dyDescent="0.25">
      <c r="A2292" s="96" t="s">
        <v>2</v>
      </c>
      <c r="B2292" s="96" t="s">
        <v>272</v>
      </c>
      <c r="C2292" s="96" t="s">
        <v>2267</v>
      </c>
      <c r="D2292" s="96" t="s">
        <v>203</v>
      </c>
      <c r="E2292" s="43">
        <v>46011</v>
      </c>
      <c r="F2292" s="43">
        <v>46024</v>
      </c>
      <c r="G2292" s="96" t="s">
        <v>92</v>
      </c>
      <c r="H2292" s="96" t="s">
        <v>5896</v>
      </c>
      <c r="I2292" s="96" t="s">
        <v>204</v>
      </c>
      <c r="J2292" s="96" t="s">
        <v>97</v>
      </c>
      <c r="K2292" s="96" t="s">
        <v>200</v>
      </c>
      <c r="L2292">
        <v>13</v>
      </c>
      <c r="M2292" t="s">
        <v>15</v>
      </c>
      <c r="N2292" t="s">
        <v>25</v>
      </c>
      <c r="O2292" t="s">
        <v>151</v>
      </c>
      <c r="P2292">
        <v>2025</v>
      </c>
    </row>
    <row r="2293" spans="1:16" hidden="1" x14ac:dyDescent="0.25">
      <c r="A2293" s="96" t="s">
        <v>2</v>
      </c>
      <c r="B2293" s="96" t="s">
        <v>213</v>
      </c>
      <c r="C2293" s="96" t="s">
        <v>5897</v>
      </c>
      <c r="D2293" s="96" t="s">
        <v>34</v>
      </c>
      <c r="E2293" s="43">
        <v>45806</v>
      </c>
      <c r="F2293" s="43">
        <v>45903</v>
      </c>
      <c r="G2293" s="96" t="s">
        <v>90</v>
      </c>
      <c r="H2293" s="96" t="s">
        <v>2191</v>
      </c>
      <c r="I2293" s="96" t="s">
        <v>228</v>
      </c>
      <c r="J2293" s="96" t="s">
        <v>97</v>
      </c>
      <c r="K2293" s="96" t="s">
        <v>233</v>
      </c>
      <c r="L2293">
        <v>97</v>
      </c>
      <c r="M2293" t="s">
        <v>28</v>
      </c>
      <c r="N2293" t="s">
        <v>182</v>
      </c>
      <c r="O2293" t="s">
        <v>149</v>
      </c>
      <c r="P2293">
        <v>2025</v>
      </c>
    </row>
    <row r="2294" spans="1:16" x14ac:dyDescent="0.25">
      <c r="A2294" s="96" t="s">
        <v>2</v>
      </c>
      <c r="B2294" s="96" t="s">
        <v>290</v>
      </c>
      <c r="C2294" s="96" t="s">
        <v>5898</v>
      </c>
      <c r="D2294" s="96" t="s">
        <v>10</v>
      </c>
      <c r="E2294" s="43">
        <v>46049</v>
      </c>
      <c r="F2294" s="43">
        <v>46131</v>
      </c>
      <c r="G2294" s="96" t="s">
        <v>92</v>
      </c>
      <c r="H2294" s="96" t="s">
        <v>2193</v>
      </c>
      <c r="I2294" s="96" t="s">
        <v>209</v>
      </c>
      <c r="J2294" s="96" t="s">
        <v>177</v>
      </c>
      <c r="K2294" s="96" t="s">
        <v>210</v>
      </c>
      <c r="L2294">
        <v>82</v>
      </c>
      <c r="M2294" t="s">
        <v>28</v>
      </c>
      <c r="N2294" t="s">
        <v>29</v>
      </c>
      <c r="O2294" t="s">
        <v>149</v>
      </c>
      <c r="P2294">
        <v>2026</v>
      </c>
    </row>
    <row r="2295" spans="1:16" x14ac:dyDescent="0.25">
      <c r="A2295" s="96" t="s">
        <v>2</v>
      </c>
      <c r="B2295" s="96" t="s">
        <v>226</v>
      </c>
      <c r="C2295" s="96" t="s">
        <v>5899</v>
      </c>
      <c r="D2295" s="96" t="s">
        <v>215</v>
      </c>
      <c r="E2295" s="43">
        <v>46024</v>
      </c>
      <c r="F2295" s="43">
        <v>46062</v>
      </c>
      <c r="G2295" s="96" t="s">
        <v>92</v>
      </c>
      <c r="H2295" s="96" t="s">
        <v>2194</v>
      </c>
      <c r="I2295" s="96" t="s">
        <v>228</v>
      </c>
      <c r="J2295" s="96" t="s">
        <v>199</v>
      </c>
      <c r="K2295" s="96" t="s">
        <v>217</v>
      </c>
      <c r="L2295">
        <v>38</v>
      </c>
      <c r="M2295" t="s">
        <v>24</v>
      </c>
      <c r="N2295" t="s">
        <v>29</v>
      </c>
      <c r="O2295" t="s">
        <v>151</v>
      </c>
      <c r="P2295">
        <v>2026</v>
      </c>
    </row>
    <row r="2296" spans="1:16" x14ac:dyDescent="0.25">
      <c r="A2296" s="96" t="s">
        <v>171</v>
      </c>
      <c r="B2296" s="96" t="s">
        <v>218</v>
      </c>
      <c r="C2296" s="96" t="s">
        <v>5900</v>
      </c>
      <c r="D2296" s="96" t="s">
        <v>203</v>
      </c>
      <c r="E2296" s="43">
        <v>46057</v>
      </c>
      <c r="F2296" s="43">
        <v>46149</v>
      </c>
      <c r="G2296" s="96" t="s">
        <v>92</v>
      </c>
      <c r="H2296" s="96" t="s">
        <v>5901</v>
      </c>
      <c r="I2296" s="96" t="s">
        <v>228</v>
      </c>
      <c r="J2296" s="96" t="s">
        <v>96</v>
      </c>
      <c r="K2296" s="96" t="s">
        <v>200</v>
      </c>
      <c r="L2296">
        <v>92</v>
      </c>
      <c r="M2296" t="s">
        <v>28</v>
      </c>
      <c r="N2296" t="s">
        <v>32</v>
      </c>
      <c r="O2296" t="s">
        <v>152</v>
      </c>
      <c r="P2296">
        <v>2026</v>
      </c>
    </row>
    <row r="2297" spans="1:16" x14ac:dyDescent="0.25">
      <c r="A2297" s="96" t="s">
        <v>2</v>
      </c>
      <c r="B2297" s="96" t="s">
        <v>201</v>
      </c>
      <c r="C2297" s="96" t="s">
        <v>2269</v>
      </c>
      <c r="D2297" s="96" t="s">
        <v>34</v>
      </c>
      <c r="E2297" s="43">
        <v>46079</v>
      </c>
      <c r="F2297" s="43">
        <v>46150</v>
      </c>
      <c r="G2297" s="96" t="s">
        <v>90</v>
      </c>
      <c r="H2297" s="96" t="s">
        <v>5902</v>
      </c>
      <c r="I2297" s="96" t="s">
        <v>225</v>
      </c>
      <c r="J2297" s="96" t="s">
        <v>169</v>
      </c>
      <c r="K2297" s="96" t="s">
        <v>205</v>
      </c>
      <c r="L2297">
        <v>71</v>
      </c>
      <c r="M2297" t="s">
        <v>28</v>
      </c>
      <c r="N2297" t="s">
        <v>32</v>
      </c>
      <c r="O2297" t="s">
        <v>170</v>
      </c>
      <c r="P2297">
        <v>2026</v>
      </c>
    </row>
    <row r="2298" spans="1:16" hidden="1" x14ac:dyDescent="0.25">
      <c r="A2298" s="96" t="s">
        <v>2</v>
      </c>
      <c r="B2298" s="96" t="s">
        <v>251</v>
      </c>
      <c r="C2298" s="96" t="s">
        <v>2270</v>
      </c>
      <c r="D2298" s="96" t="s">
        <v>34</v>
      </c>
      <c r="E2298" s="43">
        <v>45788</v>
      </c>
      <c r="F2298" s="43">
        <v>45897</v>
      </c>
      <c r="G2298" s="96" t="s">
        <v>92</v>
      </c>
      <c r="H2298" s="96" t="s">
        <v>5903</v>
      </c>
      <c r="I2298" s="96" t="s">
        <v>228</v>
      </c>
      <c r="J2298" s="96" t="s">
        <v>169</v>
      </c>
      <c r="K2298" s="96" t="s">
        <v>200</v>
      </c>
      <c r="L2298">
        <v>109</v>
      </c>
      <c r="M2298" t="s">
        <v>28</v>
      </c>
      <c r="N2298" t="s">
        <v>182</v>
      </c>
      <c r="O2298" t="s">
        <v>170</v>
      </c>
      <c r="P2298">
        <v>2025</v>
      </c>
    </row>
    <row r="2299" spans="1:16" hidden="1" x14ac:dyDescent="0.25">
      <c r="A2299" s="96" t="s">
        <v>2</v>
      </c>
      <c r="B2299" s="96" t="s">
        <v>322</v>
      </c>
      <c r="C2299" s="96" t="s">
        <v>2271</v>
      </c>
      <c r="D2299" s="96" t="s">
        <v>223</v>
      </c>
      <c r="E2299" s="43">
        <v>45771</v>
      </c>
      <c r="F2299" s="43">
        <v>45856</v>
      </c>
      <c r="G2299" s="96" t="s">
        <v>92</v>
      </c>
      <c r="H2299" s="96" t="s">
        <v>5904</v>
      </c>
      <c r="I2299" s="96" t="s">
        <v>204</v>
      </c>
      <c r="J2299" s="96" t="s">
        <v>165</v>
      </c>
      <c r="K2299" s="96" t="s">
        <v>210</v>
      </c>
      <c r="L2299">
        <v>85</v>
      </c>
      <c r="M2299" t="s">
        <v>28</v>
      </c>
      <c r="N2299" t="s">
        <v>185</v>
      </c>
      <c r="O2299" t="s">
        <v>150</v>
      </c>
      <c r="P2299">
        <v>2025</v>
      </c>
    </row>
    <row r="2300" spans="1:16" hidden="1" x14ac:dyDescent="0.25">
      <c r="A2300" s="96" t="s">
        <v>2</v>
      </c>
      <c r="B2300" s="96" t="s">
        <v>255</v>
      </c>
      <c r="C2300" s="96" t="s">
        <v>2272</v>
      </c>
      <c r="D2300" s="96" t="s">
        <v>34</v>
      </c>
      <c r="E2300" s="43">
        <v>45940</v>
      </c>
      <c r="F2300" s="43">
        <v>46029</v>
      </c>
      <c r="G2300" s="96" t="s">
        <v>92</v>
      </c>
      <c r="H2300" s="96" t="s">
        <v>5905</v>
      </c>
      <c r="I2300" s="96" t="s">
        <v>228</v>
      </c>
      <c r="J2300" s="96" t="s">
        <v>98</v>
      </c>
      <c r="K2300" s="96" t="s">
        <v>233</v>
      </c>
      <c r="L2300">
        <v>89</v>
      </c>
      <c r="M2300" t="s">
        <v>28</v>
      </c>
      <c r="N2300" t="s">
        <v>16</v>
      </c>
      <c r="O2300" t="s">
        <v>150</v>
      </c>
      <c r="P2300">
        <v>2025</v>
      </c>
    </row>
    <row r="2301" spans="1:16" hidden="1" x14ac:dyDescent="0.25">
      <c r="A2301" s="96" t="s">
        <v>2</v>
      </c>
      <c r="B2301" s="96" t="s">
        <v>213</v>
      </c>
      <c r="C2301" s="96" t="s">
        <v>2273</v>
      </c>
      <c r="D2301" s="96" t="s">
        <v>14</v>
      </c>
      <c r="E2301" s="43">
        <v>45992</v>
      </c>
      <c r="F2301" s="43">
        <v>46016</v>
      </c>
      <c r="G2301" s="96" t="s">
        <v>90</v>
      </c>
      <c r="H2301" s="96" t="s">
        <v>5906</v>
      </c>
      <c r="I2301" s="96" t="s">
        <v>157</v>
      </c>
      <c r="J2301" s="96" t="s">
        <v>229</v>
      </c>
      <c r="K2301" s="96" t="s">
        <v>217</v>
      </c>
      <c r="L2301">
        <v>24</v>
      </c>
      <c r="M2301" t="s">
        <v>19</v>
      </c>
      <c r="N2301" t="s">
        <v>25</v>
      </c>
      <c r="O2301" t="s">
        <v>149</v>
      </c>
      <c r="P2301">
        <v>2025</v>
      </c>
    </row>
    <row r="2302" spans="1:16" hidden="1" x14ac:dyDescent="0.25">
      <c r="A2302" s="96" t="s">
        <v>2</v>
      </c>
      <c r="B2302" s="96" t="s">
        <v>213</v>
      </c>
      <c r="C2302" s="96" t="s">
        <v>5907</v>
      </c>
      <c r="D2302" s="96" t="s">
        <v>40</v>
      </c>
      <c r="E2302" s="43">
        <v>45743</v>
      </c>
      <c r="F2302" s="43">
        <v>45786</v>
      </c>
      <c r="G2302" s="96" t="s">
        <v>92</v>
      </c>
      <c r="H2302" s="96" t="s">
        <v>5908</v>
      </c>
      <c r="I2302" s="96" t="s">
        <v>209</v>
      </c>
      <c r="J2302" s="96" t="s">
        <v>165</v>
      </c>
      <c r="K2302" s="96" t="s">
        <v>205</v>
      </c>
      <c r="L2302">
        <v>43</v>
      </c>
      <c r="M2302" t="s">
        <v>24</v>
      </c>
      <c r="N2302" t="s">
        <v>186</v>
      </c>
      <c r="O2302" t="s">
        <v>149</v>
      </c>
      <c r="P2302">
        <v>2025</v>
      </c>
    </row>
    <row r="2303" spans="1:16" x14ac:dyDescent="0.25">
      <c r="A2303" s="96" t="s">
        <v>175</v>
      </c>
      <c r="B2303" s="96" t="s">
        <v>305</v>
      </c>
      <c r="C2303" s="96" t="s">
        <v>2274</v>
      </c>
      <c r="D2303" s="96" t="s">
        <v>10</v>
      </c>
      <c r="E2303" s="43">
        <v>46098</v>
      </c>
      <c r="F2303" s="43">
        <v>46129</v>
      </c>
      <c r="G2303" s="96" t="s">
        <v>90</v>
      </c>
      <c r="H2303" s="96" t="s">
        <v>5909</v>
      </c>
      <c r="I2303" s="96" t="s">
        <v>209</v>
      </c>
      <c r="J2303" s="96" t="s">
        <v>229</v>
      </c>
      <c r="K2303" s="96" t="s">
        <v>246</v>
      </c>
      <c r="L2303">
        <v>31</v>
      </c>
      <c r="M2303" t="s">
        <v>24</v>
      </c>
      <c r="N2303" t="s">
        <v>35</v>
      </c>
      <c r="O2303" t="s">
        <v>170</v>
      </c>
      <c r="P2303">
        <v>2026</v>
      </c>
    </row>
    <row r="2304" spans="1:16" hidden="1" x14ac:dyDescent="0.25">
      <c r="A2304" s="96" t="s">
        <v>2</v>
      </c>
      <c r="B2304" s="96" t="s">
        <v>255</v>
      </c>
      <c r="C2304" s="96" t="s">
        <v>2275</v>
      </c>
      <c r="D2304" s="96" t="s">
        <v>10</v>
      </c>
      <c r="E2304" s="43">
        <v>45839</v>
      </c>
      <c r="F2304" s="43">
        <v>45872</v>
      </c>
      <c r="G2304" s="96" t="s">
        <v>90</v>
      </c>
      <c r="H2304" s="96" t="s">
        <v>5910</v>
      </c>
      <c r="I2304" s="96" t="s">
        <v>225</v>
      </c>
      <c r="J2304" s="96" t="s">
        <v>94</v>
      </c>
      <c r="K2304" s="96" t="s">
        <v>195</v>
      </c>
      <c r="L2304">
        <v>33</v>
      </c>
      <c r="M2304" t="s">
        <v>24</v>
      </c>
      <c r="N2304" t="s">
        <v>187</v>
      </c>
      <c r="O2304" t="s">
        <v>150</v>
      </c>
      <c r="P2304">
        <v>2025</v>
      </c>
    </row>
    <row r="2305" spans="1:16" hidden="1" x14ac:dyDescent="0.25">
      <c r="A2305" s="96" t="s">
        <v>2</v>
      </c>
      <c r="B2305" s="96" t="s">
        <v>213</v>
      </c>
      <c r="C2305" s="96" t="s">
        <v>2276</v>
      </c>
      <c r="D2305" s="96" t="s">
        <v>203</v>
      </c>
      <c r="E2305" s="43">
        <v>45985</v>
      </c>
      <c r="F2305" s="43">
        <v>46018</v>
      </c>
      <c r="G2305" s="96" t="s">
        <v>90</v>
      </c>
      <c r="H2305" s="96" t="s">
        <v>5911</v>
      </c>
      <c r="I2305" s="96" t="s">
        <v>204</v>
      </c>
      <c r="J2305" s="96" t="s">
        <v>172</v>
      </c>
      <c r="K2305" s="96" t="s">
        <v>200</v>
      </c>
      <c r="L2305">
        <v>33</v>
      </c>
      <c r="M2305" t="s">
        <v>24</v>
      </c>
      <c r="N2305" t="s">
        <v>20</v>
      </c>
      <c r="O2305" t="s">
        <v>149</v>
      </c>
      <c r="P2305">
        <v>2025</v>
      </c>
    </row>
    <row r="2306" spans="1:16" x14ac:dyDescent="0.25">
      <c r="A2306" s="96" t="s">
        <v>2</v>
      </c>
      <c r="B2306" s="96" t="s">
        <v>274</v>
      </c>
      <c r="C2306" s="96" t="s">
        <v>2277</v>
      </c>
      <c r="D2306" s="96" t="s">
        <v>14</v>
      </c>
      <c r="E2306" s="43">
        <v>46092</v>
      </c>
      <c r="F2306" s="43">
        <v>46146</v>
      </c>
      <c r="G2306" s="96" t="s">
        <v>92</v>
      </c>
      <c r="H2306" s="96" t="s">
        <v>5912</v>
      </c>
      <c r="I2306" s="96" t="s">
        <v>228</v>
      </c>
      <c r="J2306" s="96" t="s">
        <v>173</v>
      </c>
      <c r="K2306" s="96" t="s">
        <v>205</v>
      </c>
      <c r="L2306">
        <v>54</v>
      </c>
      <c r="M2306" t="s">
        <v>24</v>
      </c>
      <c r="N2306" t="s">
        <v>35</v>
      </c>
      <c r="O2306" t="s">
        <v>170</v>
      </c>
      <c r="P2306">
        <v>2026</v>
      </c>
    </row>
    <row r="2307" spans="1:16" hidden="1" x14ac:dyDescent="0.25">
      <c r="A2307" s="96" t="s">
        <v>2</v>
      </c>
      <c r="B2307" s="96" t="s">
        <v>240</v>
      </c>
      <c r="C2307" s="96" t="s">
        <v>5913</v>
      </c>
      <c r="D2307" s="96" t="s">
        <v>192</v>
      </c>
      <c r="E2307" s="43">
        <v>45745</v>
      </c>
      <c r="F2307" s="43">
        <v>45759</v>
      </c>
      <c r="G2307" s="96" t="s">
        <v>92</v>
      </c>
      <c r="H2307" s="96" t="s">
        <v>5914</v>
      </c>
      <c r="I2307" s="96" t="s">
        <v>9</v>
      </c>
      <c r="J2307" s="96" t="s">
        <v>165</v>
      </c>
      <c r="K2307" s="96" t="s">
        <v>246</v>
      </c>
      <c r="L2307">
        <v>14</v>
      </c>
      <c r="M2307" t="s">
        <v>15</v>
      </c>
      <c r="N2307" t="s">
        <v>186</v>
      </c>
      <c r="O2307" t="s">
        <v>149</v>
      </c>
      <c r="P2307">
        <v>2025</v>
      </c>
    </row>
    <row r="2308" spans="1:16" hidden="1" x14ac:dyDescent="0.25">
      <c r="A2308" s="96" t="s">
        <v>2</v>
      </c>
      <c r="B2308" s="96" t="s">
        <v>257</v>
      </c>
      <c r="C2308" s="96" t="s">
        <v>2278</v>
      </c>
      <c r="D2308" s="96" t="s">
        <v>237</v>
      </c>
      <c r="E2308" s="43">
        <v>46003</v>
      </c>
      <c r="F2308" s="43">
        <v>46123</v>
      </c>
      <c r="G2308" s="96" t="s">
        <v>90</v>
      </c>
      <c r="H2308" s="96" t="s">
        <v>5915</v>
      </c>
      <c r="I2308" s="96" t="s">
        <v>194</v>
      </c>
      <c r="J2308" s="96" t="s">
        <v>172</v>
      </c>
      <c r="K2308" s="96" t="s">
        <v>246</v>
      </c>
      <c r="L2308">
        <v>120</v>
      </c>
      <c r="M2308" t="s">
        <v>28</v>
      </c>
      <c r="N2308" t="s">
        <v>25</v>
      </c>
      <c r="O2308" t="s">
        <v>151</v>
      </c>
      <c r="P2308">
        <v>2025</v>
      </c>
    </row>
    <row r="2309" spans="1:16" hidden="1" x14ac:dyDescent="0.25">
      <c r="A2309" s="96" t="s">
        <v>2</v>
      </c>
      <c r="B2309" s="96" t="s">
        <v>231</v>
      </c>
      <c r="C2309" s="96" t="s">
        <v>2279</v>
      </c>
      <c r="D2309" s="96" t="s">
        <v>192</v>
      </c>
      <c r="E2309" s="43">
        <v>45756</v>
      </c>
      <c r="F2309" s="43">
        <v>45812</v>
      </c>
      <c r="G2309" s="96" t="s">
        <v>92</v>
      </c>
      <c r="H2309" s="96" t="s">
        <v>5916</v>
      </c>
      <c r="I2309" s="96" t="s">
        <v>209</v>
      </c>
      <c r="J2309" s="96" t="s">
        <v>96</v>
      </c>
      <c r="K2309" s="96" t="s">
        <v>195</v>
      </c>
      <c r="L2309">
        <v>56</v>
      </c>
      <c r="M2309" t="s">
        <v>24</v>
      </c>
      <c r="N2309" t="s">
        <v>185</v>
      </c>
      <c r="O2309" t="s">
        <v>170</v>
      </c>
      <c r="P2309">
        <v>2025</v>
      </c>
    </row>
    <row r="2310" spans="1:16" hidden="1" x14ac:dyDescent="0.25">
      <c r="A2310" s="96" t="s">
        <v>2</v>
      </c>
      <c r="B2310" s="96" t="s">
        <v>206</v>
      </c>
      <c r="C2310" s="96" t="s">
        <v>2280</v>
      </c>
      <c r="D2310" s="96" t="s">
        <v>208</v>
      </c>
      <c r="E2310" s="43">
        <v>45955</v>
      </c>
      <c r="F2310" s="43">
        <v>45987</v>
      </c>
      <c r="G2310" s="96" t="s">
        <v>92</v>
      </c>
      <c r="H2310" s="96" t="s">
        <v>5917</v>
      </c>
      <c r="I2310" s="96" t="s">
        <v>194</v>
      </c>
      <c r="J2310" s="96" t="s">
        <v>97</v>
      </c>
      <c r="K2310" s="96" t="s">
        <v>210</v>
      </c>
      <c r="L2310">
        <v>32</v>
      </c>
      <c r="M2310" t="s">
        <v>24</v>
      </c>
      <c r="N2310" t="s">
        <v>16</v>
      </c>
      <c r="O2310" t="s">
        <v>152</v>
      </c>
      <c r="P2310">
        <v>2025</v>
      </c>
    </row>
    <row r="2311" spans="1:16" hidden="1" x14ac:dyDescent="0.25">
      <c r="A2311" s="96" t="s">
        <v>189</v>
      </c>
      <c r="B2311" s="96" t="s">
        <v>238</v>
      </c>
      <c r="C2311" s="96" t="s">
        <v>5918</v>
      </c>
      <c r="D2311" s="96" t="s">
        <v>237</v>
      </c>
      <c r="E2311" s="43">
        <v>45878</v>
      </c>
      <c r="F2311" s="43">
        <v>45932</v>
      </c>
      <c r="G2311" s="96" t="s">
        <v>95</v>
      </c>
      <c r="H2311" s="96" t="s">
        <v>5919</v>
      </c>
      <c r="I2311" s="96" t="s">
        <v>225</v>
      </c>
      <c r="J2311" s="96" t="s">
        <v>176</v>
      </c>
      <c r="K2311" s="96" t="s">
        <v>246</v>
      </c>
      <c r="L2311">
        <v>54</v>
      </c>
      <c r="M2311" t="s">
        <v>24</v>
      </c>
      <c r="N2311" t="s">
        <v>8</v>
      </c>
      <c r="O2311" t="s">
        <v>170</v>
      </c>
      <c r="P2311">
        <v>2025</v>
      </c>
    </row>
    <row r="2312" spans="1:16" hidden="1" x14ac:dyDescent="0.25">
      <c r="A2312" s="96" t="s">
        <v>175</v>
      </c>
      <c r="B2312" s="96" t="s">
        <v>255</v>
      </c>
      <c r="C2312" s="96" t="s">
        <v>5920</v>
      </c>
      <c r="D2312" s="96" t="s">
        <v>215</v>
      </c>
      <c r="E2312" s="43">
        <v>45893</v>
      </c>
      <c r="F2312" s="43">
        <v>45934</v>
      </c>
      <c r="G2312" s="96" t="s">
        <v>92</v>
      </c>
      <c r="H2312" s="96" t="s">
        <v>5921</v>
      </c>
      <c r="I2312" s="96" t="s">
        <v>194</v>
      </c>
      <c r="J2312" s="96" t="s">
        <v>176</v>
      </c>
      <c r="K2312" s="96" t="s">
        <v>230</v>
      </c>
      <c r="L2312">
        <v>41</v>
      </c>
      <c r="M2312" t="s">
        <v>24</v>
      </c>
      <c r="N2312" t="s">
        <v>8</v>
      </c>
      <c r="O2312" t="s">
        <v>150</v>
      </c>
      <c r="P2312">
        <v>2025</v>
      </c>
    </row>
    <row r="2313" spans="1:16" x14ac:dyDescent="0.25">
      <c r="A2313" s="96" t="s">
        <v>2</v>
      </c>
      <c r="B2313" s="96" t="s">
        <v>219</v>
      </c>
      <c r="C2313" s="96" t="s">
        <v>2281</v>
      </c>
      <c r="D2313" s="96" t="s">
        <v>223</v>
      </c>
      <c r="E2313" s="43">
        <v>46082</v>
      </c>
      <c r="F2313" s="43">
        <v>46148</v>
      </c>
      <c r="G2313" s="96" t="s">
        <v>90</v>
      </c>
      <c r="H2313" s="96" t="s">
        <v>2209</v>
      </c>
      <c r="I2313" s="96" t="s">
        <v>194</v>
      </c>
      <c r="J2313" s="96" t="s">
        <v>91</v>
      </c>
      <c r="K2313" s="96" t="s">
        <v>217</v>
      </c>
      <c r="L2313">
        <v>66</v>
      </c>
      <c r="M2313" t="s">
        <v>28</v>
      </c>
      <c r="N2313" t="s">
        <v>35</v>
      </c>
      <c r="O2313" t="s">
        <v>149</v>
      </c>
      <c r="P2313">
        <v>2026</v>
      </c>
    </row>
    <row r="2314" spans="1:16" hidden="1" x14ac:dyDescent="0.25">
      <c r="A2314" s="96" t="s">
        <v>2</v>
      </c>
      <c r="B2314" s="96" t="s">
        <v>240</v>
      </c>
      <c r="C2314" s="96" t="s">
        <v>5922</v>
      </c>
      <c r="D2314" s="96" t="s">
        <v>223</v>
      </c>
      <c r="E2314" s="43">
        <v>45955</v>
      </c>
      <c r="F2314" s="43">
        <v>45968</v>
      </c>
      <c r="G2314" s="96" t="s">
        <v>92</v>
      </c>
      <c r="H2314" s="96" t="s">
        <v>2211</v>
      </c>
      <c r="I2314" s="96" t="s">
        <v>194</v>
      </c>
      <c r="J2314" s="96" t="s">
        <v>168</v>
      </c>
      <c r="K2314" s="96" t="s">
        <v>205</v>
      </c>
      <c r="L2314">
        <v>13</v>
      </c>
      <c r="M2314" t="s">
        <v>15</v>
      </c>
      <c r="N2314" t="s">
        <v>16</v>
      </c>
      <c r="O2314" t="s">
        <v>149</v>
      </c>
      <c r="P2314">
        <v>2025</v>
      </c>
    </row>
    <row r="2315" spans="1:16" x14ac:dyDescent="0.25">
      <c r="A2315" s="96" t="s">
        <v>2</v>
      </c>
      <c r="B2315" s="96" t="s">
        <v>269</v>
      </c>
      <c r="C2315" s="96" t="s">
        <v>2282</v>
      </c>
      <c r="D2315" s="96" t="s">
        <v>14</v>
      </c>
      <c r="E2315" s="43">
        <v>46048</v>
      </c>
      <c r="F2315" s="43">
        <v>46098</v>
      </c>
      <c r="G2315" s="96" t="s">
        <v>92</v>
      </c>
      <c r="H2315" s="96" t="s">
        <v>5923</v>
      </c>
      <c r="I2315" s="96" t="s">
        <v>9</v>
      </c>
      <c r="J2315" s="96" t="s">
        <v>177</v>
      </c>
      <c r="K2315" s="96" t="s">
        <v>230</v>
      </c>
      <c r="L2315">
        <v>50</v>
      </c>
      <c r="M2315" t="s">
        <v>24</v>
      </c>
      <c r="N2315" t="s">
        <v>29</v>
      </c>
      <c r="O2315" t="s">
        <v>152</v>
      </c>
      <c r="P2315">
        <v>2026</v>
      </c>
    </row>
    <row r="2316" spans="1:16" hidden="1" x14ac:dyDescent="0.25">
      <c r="A2316" s="96" t="s">
        <v>2</v>
      </c>
      <c r="B2316" s="96" t="s">
        <v>280</v>
      </c>
      <c r="C2316" s="96" t="s">
        <v>5924</v>
      </c>
      <c r="D2316" s="96" t="s">
        <v>223</v>
      </c>
      <c r="E2316" s="43">
        <v>45827</v>
      </c>
      <c r="F2316" s="43">
        <v>45884</v>
      </c>
      <c r="G2316" s="96" t="s">
        <v>90</v>
      </c>
      <c r="H2316" s="96" t="s">
        <v>5925</v>
      </c>
      <c r="I2316" s="96" t="s">
        <v>157</v>
      </c>
      <c r="J2316" s="96" t="s">
        <v>216</v>
      </c>
      <c r="K2316" s="96" t="s">
        <v>210</v>
      </c>
      <c r="L2316">
        <v>57</v>
      </c>
      <c r="M2316" t="s">
        <v>24</v>
      </c>
      <c r="N2316" t="s">
        <v>184</v>
      </c>
      <c r="O2316" t="s">
        <v>170</v>
      </c>
      <c r="P2316">
        <v>2025</v>
      </c>
    </row>
    <row r="2317" spans="1:16" hidden="1" x14ac:dyDescent="0.25">
      <c r="A2317" s="96" t="s">
        <v>2</v>
      </c>
      <c r="B2317" s="96" t="s">
        <v>322</v>
      </c>
      <c r="C2317" s="96" t="s">
        <v>5926</v>
      </c>
      <c r="D2317" s="96" t="s">
        <v>203</v>
      </c>
      <c r="E2317" s="43">
        <v>45692</v>
      </c>
      <c r="F2317" s="43">
        <v>45763</v>
      </c>
      <c r="G2317" s="96" t="s">
        <v>92</v>
      </c>
      <c r="H2317" s="96" t="s">
        <v>5927</v>
      </c>
      <c r="I2317" s="96" t="s">
        <v>204</v>
      </c>
      <c r="J2317" s="96" t="s">
        <v>229</v>
      </c>
      <c r="K2317" s="96" t="s">
        <v>230</v>
      </c>
      <c r="L2317">
        <v>71</v>
      </c>
      <c r="M2317" t="s">
        <v>28</v>
      </c>
      <c r="N2317" t="s">
        <v>188</v>
      </c>
      <c r="O2317" t="s">
        <v>150</v>
      </c>
      <c r="P2317">
        <v>2025</v>
      </c>
    </row>
    <row r="2318" spans="1:16" hidden="1" x14ac:dyDescent="0.25">
      <c r="A2318" s="96" t="s">
        <v>2</v>
      </c>
      <c r="B2318" s="96" t="s">
        <v>251</v>
      </c>
      <c r="C2318" s="96" t="s">
        <v>5928</v>
      </c>
      <c r="D2318" s="96" t="s">
        <v>203</v>
      </c>
      <c r="E2318" s="43">
        <v>46002</v>
      </c>
      <c r="F2318" s="43">
        <v>46077</v>
      </c>
      <c r="G2318" s="96" t="s">
        <v>92</v>
      </c>
      <c r="H2318" s="96" t="s">
        <v>2215</v>
      </c>
      <c r="I2318" s="96" t="s">
        <v>157</v>
      </c>
      <c r="J2318" s="96" t="s">
        <v>174</v>
      </c>
      <c r="K2318" s="96" t="s">
        <v>200</v>
      </c>
      <c r="L2318">
        <v>75</v>
      </c>
      <c r="M2318" t="s">
        <v>28</v>
      </c>
      <c r="N2318" t="s">
        <v>25</v>
      </c>
      <c r="O2318" t="s">
        <v>170</v>
      </c>
      <c r="P2318">
        <v>2025</v>
      </c>
    </row>
    <row r="2319" spans="1:16" x14ac:dyDescent="0.25">
      <c r="A2319" s="96" t="s">
        <v>2</v>
      </c>
      <c r="B2319" s="96" t="s">
        <v>201</v>
      </c>
      <c r="C2319" s="96" t="s">
        <v>2283</v>
      </c>
      <c r="D2319" s="96" t="s">
        <v>40</v>
      </c>
      <c r="E2319" s="43">
        <v>46028</v>
      </c>
      <c r="F2319" s="43">
        <v>46092</v>
      </c>
      <c r="G2319" s="96" t="s">
        <v>90</v>
      </c>
      <c r="H2319" s="96" t="s">
        <v>5929</v>
      </c>
      <c r="I2319" s="96" t="s">
        <v>209</v>
      </c>
      <c r="J2319" s="96" t="s">
        <v>96</v>
      </c>
      <c r="K2319" s="96" t="s">
        <v>195</v>
      </c>
      <c r="L2319">
        <v>64</v>
      </c>
      <c r="M2319" t="s">
        <v>28</v>
      </c>
      <c r="N2319" t="s">
        <v>29</v>
      </c>
      <c r="O2319" t="s">
        <v>170</v>
      </c>
      <c r="P2319">
        <v>2026</v>
      </c>
    </row>
    <row r="2320" spans="1:16" x14ac:dyDescent="0.25">
      <c r="A2320" s="96" t="s">
        <v>2</v>
      </c>
      <c r="B2320" s="96" t="s">
        <v>226</v>
      </c>
      <c r="C2320" s="96" t="s">
        <v>2284</v>
      </c>
      <c r="D2320" s="96" t="s">
        <v>40</v>
      </c>
      <c r="E2320" s="43">
        <v>46147</v>
      </c>
      <c r="F2320" s="43">
        <v>46147</v>
      </c>
      <c r="G2320" s="96" t="s">
        <v>92</v>
      </c>
      <c r="H2320" s="96" t="s">
        <v>5930</v>
      </c>
      <c r="I2320" s="96" t="s">
        <v>225</v>
      </c>
      <c r="J2320" s="96" t="s">
        <v>93</v>
      </c>
      <c r="K2320" s="96" t="s">
        <v>205</v>
      </c>
      <c r="L2320">
        <v>0</v>
      </c>
      <c r="M2320" t="s">
        <v>11</v>
      </c>
      <c r="N2320" t="s">
        <v>183</v>
      </c>
      <c r="O2320" t="s">
        <v>151</v>
      </c>
      <c r="P2320">
        <v>2026</v>
      </c>
    </row>
    <row r="2321" spans="1:16" hidden="1" x14ac:dyDescent="0.25">
      <c r="A2321" s="96" t="s">
        <v>21</v>
      </c>
      <c r="B2321" s="96" t="s">
        <v>257</v>
      </c>
      <c r="C2321" s="96" t="s">
        <v>2285</v>
      </c>
      <c r="D2321" s="96" t="s">
        <v>215</v>
      </c>
      <c r="E2321" s="43">
        <v>45790</v>
      </c>
      <c r="F2321" s="43">
        <v>45866</v>
      </c>
      <c r="G2321" s="96" t="s">
        <v>92</v>
      </c>
      <c r="H2321" s="96" t="s">
        <v>5931</v>
      </c>
      <c r="I2321" s="96" t="s">
        <v>157</v>
      </c>
      <c r="J2321" s="96" t="s">
        <v>283</v>
      </c>
      <c r="K2321" s="96" t="s">
        <v>217</v>
      </c>
      <c r="L2321">
        <v>76</v>
      </c>
      <c r="M2321" t="s">
        <v>28</v>
      </c>
      <c r="N2321" t="s">
        <v>182</v>
      </c>
      <c r="O2321" t="s">
        <v>151</v>
      </c>
      <c r="P2321">
        <v>2025</v>
      </c>
    </row>
    <row r="2322" spans="1:16" hidden="1" x14ac:dyDescent="0.25">
      <c r="A2322" s="96" t="s">
        <v>2</v>
      </c>
      <c r="B2322" s="96" t="s">
        <v>272</v>
      </c>
      <c r="C2322" s="96" t="s">
        <v>2286</v>
      </c>
      <c r="D2322" s="96" t="s">
        <v>208</v>
      </c>
      <c r="E2322" s="43">
        <v>45822</v>
      </c>
      <c r="F2322" s="43">
        <v>45858</v>
      </c>
      <c r="G2322" s="96" t="s">
        <v>90</v>
      </c>
      <c r="H2322" s="96" t="s">
        <v>5932</v>
      </c>
      <c r="I2322" s="96" t="s">
        <v>9</v>
      </c>
      <c r="J2322" s="96" t="s">
        <v>177</v>
      </c>
      <c r="K2322" s="96" t="s">
        <v>200</v>
      </c>
      <c r="L2322">
        <v>36</v>
      </c>
      <c r="M2322" t="s">
        <v>24</v>
      </c>
      <c r="N2322" t="s">
        <v>184</v>
      </c>
      <c r="O2322" t="s">
        <v>151</v>
      </c>
      <c r="P2322">
        <v>2025</v>
      </c>
    </row>
    <row r="2323" spans="1:16" x14ac:dyDescent="0.25">
      <c r="A2323" s="96" t="s">
        <v>2</v>
      </c>
      <c r="B2323" s="96" t="s">
        <v>218</v>
      </c>
      <c r="C2323" s="96" t="s">
        <v>2287</v>
      </c>
      <c r="D2323" s="96" t="s">
        <v>208</v>
      </c>
      <c r="E2323" s="43">
        <v>46038</v>
      </c>
      <c r="F2323" s="43">
        <v>46044</v>
      </c>
      <c r="G2323" s="96" t="s">
        <v>92</v>
      </c>
      <c r="H2323" s="96" t="s">
        <v>5933</v>
      </c>
      <c r="I2323" s="96" t="s">
        <v>194</v>
      </c>
      <c r="J2323" s="96" t="s">
        <v>97</v>
      </c>
      <c r="K2323" s="96" t="s">
        <v>210</v>
      </c>
      <c r="L2323">
        <v>6</v>
      </c>
      <c r="M2323" t="s">
        <v>11</v>
      </c>
      <c r="N2323" t="s">
        <v>29</v>
      </c>
      <c r="O2323" t="s">
        <v>152</v>
      </c>
      <c r="P2323">
        <v>2026</v>
      </c>
    </row>
    <row r="2324" spans="1:16" hidden="1" x14ac:dyDescent="0.25">
      <c r="A2324" s="96" t="s">
        <v>21</v>
      </c>
      <c r="B2324" s="96" t="s">
        <v>211</v>
      </c>
      <c r="C2324" s="96" t="s">
        <v>5934</v>
      </c>
      <c r="D2324" s="96" t="s">
        <v>14</v>
      </c>
      <c r="E2324" s="43">
        <v>45658</v>
      </c>
      <c r="F2324" s="43">
        <v>45715</v>
      </c>
      <c r="G2324" s="96" t="s">
        <v>92</v>
      </c>
      <c r="H2324" s="96" t="s">
        <v>2221</v>
      </c>
      <c r="I2324" s="96" t="s">
        <v>194</v>
      </c>
      <c r="J2324" s="96" t="s">
        <v>283</v>
      </c>
      <c r="K2324" s="96" t="s">
        <v>205</v>
      </c>
      <c r="L2324">
        <v>57</v>
      </c>
      <c r="M2324" t="s">
        <v>24</v>
      </c>
      <c r="N2324" t="s">
        <v>181</v>
      </c>
      <c r="O2324" t="s">
        <v>170</v>
      </c>
      <c r="P2324">
        <v>2025</v>
      </c>
    </row>
    <row r="2325" spans="1:16" hidden="1" x14ac:dyDescent="0.25">
      <c r="A2325" s="96" t="s">
        <v>2</v>
      </c>
      <c r="B2325" s="96" t="s">
        <v>272</v>
      </c>
      <c r="C2325" s="96" t="s">
        <v>2288</v>
      </c>
      <c r="D2325" s="96" t="s">
        <v>40</v>
      </c>
      <c r="E2325" s="43">
        <v>45824</v>
      </c>
      <c r="F2325" s="43">
        <v>45826</v>
      </c>
      <c r="G2325" s="96" t="s">
        <v>90</v>
      </c>
      <c r="H2325" s="96" t="s">
        <v>5935</v>
      </c>
      <c r="I2325" s="96" t="s">
        <v>225</v>
      </c>
      <c r="J2325" s="96" t="s">
        <v>169</v>
      </c>
      <c r="K2325" s="96" t="s">
        <v>157</v>
      </c>
      <c r="L2325">
        <v>2</v>
      </c>
      <c r="M2325" t="s">
        <v>11</v>
      </c>
      <c r="N2325" t="s">
        <v>184</v>
      </c>
      <c r="O2325" t="s">
        <v>151</v>
      </c>
      <c r="P2325">
        <v>2025</v>
      </c>
    </row>
    <row r="2326" spans="1:16" hidden="1" x14ac:dyDescent="0.25">
      <c r="A2326" s="96" t="s">
        <v>2</v>
      </c>
      <c r="B2326" s="96" t="s">
        <v>272</v>
      </c>
      <c r="C2326" s="96" t="s">
        <v>2289</v>
      </c>
      <c r="D2326" s="96" t="s">
        <v>10</v>
      </c>
      <c r="E2326" s="43">
        <v>45907</v>
      </c>
      <c r="F2326" s="43">
        <v>46024</v>
      </c>
      <c r="G2326" s="96" t="s">
        <v>95</v>
      </c>
      <c r="H2326" s="96" t="s">
        <v>5936</v>
      </c>
      <c r="I2326" s="96" t="s">
        <v>225</v>
      </c>
      <c r="J2326" s="96" t="s">
        <v>97</v>
      </c>
      <c r="K2326" s="96" t="s">
        <v>230</v>
      </c>
      <c r="L2326">
        <v>117</v>
      </c>
      <c r="M2326" t="s">
        <v>28</v>
      </c>
      <c r="N2326" t="s">
        <v>12</v>
      </c>
      <c r="O2326" t="s">
        <v>151</v>
      </c>
      <c r="P2326">
        <v>2025</v>
      </c>
    </row>
    <row r="2327" spans="1:16" hidden="1" x14ac:dyDescent="0.25">
      <c r="A2327" s="96" t="s">
        <v>2</v>
      </c>
      <c r="B2327" s="96" t="s">
        <v>211</v>
      </c>
      <c r="C2327" s="96" t="s">
        <v>5937</v>
      </c>
      <c r="D2327" s="96" t="s">
        <v>192</v>
      </c>
      <c r="E2327" s="43">
        <v>46017</v>
      </c>
      <c r="F2327" s="43">
        <v>46062</v>
      </c>
      <c r="G2327" s="96" t="s">
        <v>92</v>
      </c>
      <c r="H2327" s="96" t="s">
        <v>5938</v>
      </c>
      <c r="I2327" s="96" t="s">
        <v>157</v>
      </c>
      <c r="J2327" s="96" t="s">
        <v>216</v>
      </c>
      <c r="K2327" s="96" t="s">
        <v>205</v>
      </c>
      <c r="L2327">
        <v>45</v>
      </c>
      <c r="M2327" t="s">
        <v>24</v>
      </c>
      <c r="N2327" t="s">
        <v>25</v>
      </c>
      <c r="O2327" t="s">
        <v>170</v>
      </c>
      <c r="P2327">
        <v>2025</v>
      </c>
    </row>
    <row r="2328" spans="1:16" hidden="1" x14ac:dyDescent="0.25">
      <c r="A2328" s="96" t="s">
        <v>21</v>
      </c>
      <c r="B2328" s="96" t="s">
        <v>253</v>
      </c>
      <c r="C2328" s="96" t="s">
        <v>5939</v>
      </c>
      <c r="D2328" s="96" t="s">
        <v>223</v>
      </c>
      <c r="E2328" s="43">
        <v>45998</v>
      </c>
      <c r="F2328" s="43">
        <v>46000</v>
      </c>
      <c r="G2328" s="96" t="s">
        <v>92</v>
      </c>
      <c r="H2328" s="96" t="s">
        <v>5940</v>
      </c>
      <c r="I2328" s="96" t="s">
        <v>194</v>
      </c>
      <c r="J2328" s="96" t="s">
        <v>94</v>
      </c>
      <c r="K2328" s="96" t="s">
        <v>210</v>
      </c>
      <c r="L2328">
        <v>2</v>
      </c>
      <c r="M2328" t="s">
        <v>11</v>
      </c>
      <c r="N2328" t="s">
        <v>25</v>
      </c>
      <c r="O2328" t="s">
        <v>152</v>
      </c>
      <c r="P2328">
        <v>2025</v>
      </c>
    </row>
    <row r="2329" spans="1:16" hidden="1" x14ac:dyDescent="0.25">
      <c r="A2329" s="96" t="s">
        <v>2</v>
      </c>
      <c r="B2329" s="96" t="s">
        <v>264</v>
      </c>
      <c r="C2329" s="96" t="s">
        <v>2292</v>
      </c>
      <c r="D2329" s="96" t="s">
        <v>34</v>
      </c>
      <c r="E2329" s="43">
        <v>45910</v>
      </c>
      <c r="F2329" s="43">
        <v>46024</v>
      </c>
      <c r="G2329" s="96" t="s">
        <v>90</v>
      </c>
      <c r="H2329" s="96" t="s">
        <v>5941</v>
      </c>
      <c r="I2329" s="96" t="s">
        <v>204</v>
      </c>
      <c r="J2329" s="96" t="s">
        <v>98</v>
      </c>
      <c r="K2329" s="96" t="s">
        <v>217</v>
      </c>
      <c r="L2329">
        <v>114</v>
      </c>
      <c r="M2329" t="s">
        <v>28</v>
      </c>
      <c r="N2329" t="s">
        <v>12</v>
      </c>
      <c r="O2329" t="s">
        <v>152</v>
      </c>
      <c r="P2329">
        <v>2025</v>
      </c>
    </row>
    <row r="2330" spans="1:16" hidden="1" x14ac:dyDescent="0.25">
      <c r="A2330" s="96" t="s">
        <v>2</v>
      </c>
      <c r="B2330" s="96" t="s">
        <v>264</v>
      </c>
      <c r="C2330" s="96" t="s">
        <v>2293</v>
      </c>
      <c r="D2330" s="96" t="s">
        <v>223</v>
      </c>
      <c r="E2330" s="43">
        <v>45862</v>
      </c>
      <c r="F2330" s="43">
        <v>45894</v>
      </c>
      <c r="G2330" s="96" t="s">
        <v>92</v>
      </c>
      <c r="H2330" s="96" t="s">
        <v>5942</v>
      </c>
      <c r="I2330" s="96" t="s">
        <v>9</v>
      </c>
      <c r="J2330" s="96" t="s">
        <v>97</v>
      </c>
      <c r="K2330" s="96" t="s">
        <v>233</v>
      </c>
      <c r="L2330">
        <v>32</v>
      </c>
      <c r="M2330" t="s">
        <v>24</v>
      </c>
      <c r="N2330" t="s">
        <v>187</v>
      </c>
      <c r="O2330" t="s">
        <v>152</v>
      </c>
      <c r="P2330">
        <v>2025</v>
      </c>
    </row>
    <row r="2331" spans="1:16" hidden="1" x14ac:dyDescent="0.25">
      <c r="A2331" s="96" t="s">
        <v>2</v>
      </c>
      <c r="B2331" s="96" t="s">
        <v>272</v>
      </c>
      <c r="C2331" s="96" t="s">
        <v>5943</v>
      </c>
      <c r="D2331" s="96" t="s">
        <v>40</v>
      </c>
      <c r="E2331" s="43">
        <v>45958</v>
      </c>
      <c r="F2331" s="43">
        <v>46070</v>
      </c>
      <c r="G2331" s="96" t="s">
        <v>92</v>
      </c>
      <c r="H2331" s="96" t="s">
        <v>2229</v>
      </c>
      <c r="I2331" s="96" t="s">
        <v>228</v>
      </c>
      <c r="J2331" s="96" t="s">
        <v>174</v>
      </c>
      <c r="K2331" s="96" t="s">
        <v>205</v>
      </c>
      <c r="L2331">
        <v>112</v>
      </c>
      <c r="M2331" t="s">
        <v>28</v>
      </c>
      <c r="N2331" t="s">
        <v>16</v>
      </c>
      <c r="O2331" t="s">
        <v>151</v>
      </c>
      <c r="P2331">
        <v>2025</v>
      </c>
    </row>
    <row r="2332" spans="1:16" hidden="1" x14ac:dyDescent="0.25">
      <c r="A2332" s="96" t="s">
        <v>2</v>
      </c>
      <c r="B2332" s="96" t="s">
        <v>255</v>
      </c>
      <c r="C2332" s="96" t="s">
        <v>2294</v>
      </c>
      <c r="D2332" s="96" t="s">
        <v>14</v>
      </c>
      <c r="E2332" s="43">
        <v>45739</v>
      </c>
      <c r="F2332" s="43">
        <v>45754</v>
      </c>
      <c r="G2332" s="96" t="s">
        <v>92</v>
      </c>
      <c r="H2332" s="96" t="s">
        <v>5944</v>
      </c>
      <c r="I2332" s="96" t="s">
        <v>204</v>
      </c>
      <c r="J2332" s="96" t="s">
        <v>173</v>
      </c>
      <c r="K2332" s="96" t="s">
        <v>217</v>
      </c>
      <c r="L2332">
        <v>15</v>
      </c>
      <c r="M2332" t="s">
        <v>19</v>
      </c>
      <c r="N2332" t="s">
        <v>186</v>
      </c>
      <c r="O2332" t="s">
        <v>150</v>
      </c>
      <c r="P2332">
        <v>2025</v>
      </c>
    </row>
    <row r="2333" spans="1:16" x14ac:dyDescent="0.25">
      <c r="A2333" s="96" t="s">
        <v>175</v>
      </c>
      <c r="B2333" s="96" t="s">
        <v>234</v>
      </c>
      <c r="C2333" s="96" t="s">
        <v>2295</v>
      </c>
      <c r="D2333" s="96" t="s">
        <v>203</v>
      </c>
      <c r="E2333" s="43">
        <v>46086</v>
      </c>
      <c r="F2333" s="43">
        <v>46106</v>
      </c>
      <c r="G2333" s="96" t="s">
        <v>90</v>
      </c>
      <c r="H2333" s="96" t="s">
        <v>2232</v>
      </c>
      <c r="I2333" s="96" t="s">
        <v>9</v>
      </c>
      <c r="J2333" s="96" t="s">
        <v>172</v>
      </c>
      <c r="K2333" s="96" t="s">
        <v>233</v>
      </c>
      <c r="L2333">
        <v>20</v>
      </c>
      <c r="M2333" t="s">
        <v>19</v>
      </c>
      <c r="N2333" t="s">
        <v>35</v>
      </c>
      <c r="O2333" t="s">
        <v>150</v>
      </c>
      <c r="P2333">
        <v>2026</v>
      </c>
    </row>
    <row r="2334" spans="1:16" hidden="1" x14ac:dyDescent="0.25">
      <c r="A2334" s="96" t="s">
        <v>21</v>
      </c>
      <c r="B2334" s="96" t="s">
        <v>211</v>
      </c>
      <c r="C2334" s="96" t="s">
        <v>5945</v>
      </c>
      <c r="D2334" s="96" t="s">
        <v>10</v>
      </c>
      <c r="E2334" s="43">
        <v>45812</v>
      </c>
      <c r="F2334" s="43">
        <v>45883</v>
      </c>
      <c r="G2334" s="96" t="s">
        <v>92</v>
      </c>
      <c r="H2334" s="96" t="s">
        <v>2234</v>
      </c>
      <c r="I2334" s="96" t="s">
        <v>209</v>
      </c>
      <c r="J2334" s="96" t="s">
        <v>172</v>
      </c>
      <c r="K2334" s="96" t="s">
        <v>157</v>
      </c>
      <c r="L2334">
        <v>71</v>
      </c>
      <c r="M2334" t="s">
        <v>28</v>
      </c>
      <c r="N2334" t="s">
        <v>184</v>
      </c>
      <c r="O2334" t="s">
        <v>170</v>
      </c>
      <c r="P2334">
        <v>2025</v>
      </c>
    </row>
    <row r="2335" spans="1:16" x14ac:dyDescent="0.25">
      <c r="A2335" s="96" t="s">
        <v>2</v>
      </c>
      <c r="B2335" s="96" t="s">
        <v>317</v>
      </c>
      <c r="C2335" s="96" t="s">
        <v>2296</v>
      </c>
      <c r="D2335" s="96" t="s">
        <v>203</v>
      </c>
      <c r="E2335" s="43">
        <v>46105</v>
      </c>
      <c r="F2335" s="43">
        <v>46147</v>
      </c>
      <c r="G2335" s="96" t="s">
        <v>90</v>
      </c>
      <c r="H2335" s="96" t="s">
        <v>2236</v>
      </c>
      <c r="I2335" s="96" t="s">
        <v>9</v>
      </c>
      <c r="J2335" s="96" t="s">
        <v>168</v>
      </c>
      <c r="K2335" s="96" t="s">
        <v>195</v>
      </c>
      <c r="L2335">
        <v>42</v>
      </c>
      <c r="M2335" t="s">
        <v>24</v>
      </c>
      <c r="N2335" t="s">
        <v>35</v>
      </c>
      <c r="O2335" t="s">
        <v>170</v>
      </c>
      <c r="P2335">
        <v>2026</v>
      </c>
    </row>
    <row r="2336" spans="1:16" hidden="1" x14ac:dyDescent="0.25">
      <c r="A2336" s="96" t="s">
        <v>2</v>
      </c>
      <c r="B2336" s="96" t="s">
        <v>257</v>
      </c>
      <c r="C2336" s="96" t="s">
        <v>2297</v>
      </c>
      <c r="D2336" s="96" t="s">
        <v>14</v>
      </c>
      <c r="E2336" s="43">
        <v>45986</v>
      </c>
      <c r="F2336" s="43">
        <v>46053</v>
      </c>
      <c r="G2336" s="96" t="s">
        <v>95</v>
      </c>
      <c r="H2336" s="96" t="s">
        <v>2238</v>
      </c>
      <c r="I2336" s="96" t="s">
        <v>194</v>
      </c>
      <c r="J2336" s="96" t="s">
        <v>283</v>
      </c>
      <c r="K2336" s="96" t="s">
        <v>230</v>
      </c>
      <c r="L2336">
        <v>67</v>
      </c>
      <c r="M2336" t="s">
        <v>28</v>
      </c>
      <c r="N2336" t="s">
        <v>20</v>
      </c>
      <c r="O2336" t="s">
        <v>151</v>
      </c>
      <c r="P2336">
        <v>2025</v>
      </c>
    </row>
    <row r="2337" spans="1:16" hidden="1" x14ac:dyDescent="0.25">
      <c r="A2337" s="96" t="s">
        <v>21</v>
      </c>
      <c r="B2337" s="96" t="s">
        <v>211</v>
      </c>
      <c r="C2337" s="96" t="s">
        <v>5946</v>
      </c>
      <c r="D2337" s="96" t="s">
        <v>237</v>
      </c>
      <c r="E2337" s="43">
        <v>45728</v>
      </c>
      <c r="F2337" s="43">
        <v>45810</v>
      </c>
      <c r="G2337" s="96" t="s">
        <v>90</v>
      </c>
      <c r="H2337" s="96" t="s">
        <v>5947</v>
      </c>
      <c r="I2337" s="96" t="s">
        <v>157</v>
      </c>
      <c r="J2337" s="96" t="s">
        <v>168</v>
      </c>
      <c r="K2337" s="96" t="s">
        <v>210</v>
      </c>
      <c r="L2337">
        <v>82</v>
      </c>
      <c r="M2337" t="s">
        <v>28</v>
      </c>
      <c r="N2337" t="s">
        <v>186</v>
      </c>
      <c r="O2337" t="s">
        <v>170</v>
      </c>
      <c r="P2337">
        <v>2025</v>
      </c>
    </row>
    <row r="2338" spans="1:16" hidden="1" x14ac:dyDescent="0.25">
      <c r="A2338" s="96" t="s">
        <v>2</v>
      </c>
      <c r="B2338" s="96" t="s">
        <v>253</v>
      </c>
      <c r="C2338" s="96" t="s">
        <v>2298</v>
      </c>
      <c r="D2338" s="96" t="s">
        <v>208</v>
      </c>
      <c r="E2338" s="43">
        <v>45734</v>
      </c>
      <c r="F2338" s="43">
        <v>45825</v>
      </c>
      <c r="G2338" s="96" t="s">
        <v>92</v>
      </c>
      <c r="H2338" s="96" t="s">
        <v>5948</v>
      </c>
      <c r="I2338" s="96" t="s">
        <v>157</v>
      </c>
      <c r="J2338" s="96" t="s">
        <v>168</v>
      </c>
      <c r="K2338" s="96" t="s">
        <v>157</v>
      </c>
      <c r="L2338">
        <v>91</v>
      </c>
      <c r="M2338" t="s">
        <v>28</v>
      </c>
      <c r="N2338" t="s">
        <v>186</v>
      </c>
      <c r="O2338" t="s">
        <v>152</v>
      </c>
      <c r="P2338">
        <v>2025</v>
      </c>
    </row>
    <row r="2339" spans="1:16" x14ac:dyDescent="0.25">
      <c r="A2339" s="96" t="s">
        <v>2</v>
      </c>
      <c r="B2339" s="96" t="s">
        <v>269</v>
      </c>
      <c r="C2339" s="96" t="s">
        <v>2299</v>
      </c>
      <c r="D2339" s="96" t="s">
        <v>10</v>
      </c>
      <c r="E2339" s="43">
        <v>46090</v>
      </c>
      <c r="F2339" s="43">
        <v>46146</v>
      </c>
      <c r="G2339" s="96" t="s">
        <v>92</v>
      </c>
      <c r="H2339" s="96" t="s">
        <v>5949</v>
      </c>
      <c r="I2339" s="96" t="s">
        <v>225</v>
      </c>
      <c r="J2339" s="96" t="s">
        <v>94</v>
      </c>
      <c r="K2339" s="96" t="s">
        <v>233</v>
      </c>
      <c r="L2339">
        <v>56</v>
      </c>
      <c r="M2339" t="s">
        <v>24</v>
      </c>
      <c r="N2339" t="s">
        <v>35</v>
      </c>
      <c r="O2339" t="s">
        <v>152</v>
      </c>
      <c r="P2339">
        <v>2026</v>
      </c>
    </row>
    <row r="2340" spans="1:16" hidden="1" x14ac:dyDescent="0.25">
      <c r="A2340" s="96" t="s">
        <v>2</v>
      </c>
      <c r="B2340" s="96" t="s">
        <v>272</v>
      </c>
      <c r="C2340" s="96" t="s">
        <v>5950</v>
      </c>
      <c r="D2340" s="96" t="s">
        <v>237</v>
      </c>
      <c r="E2340" s="43">
        <v>45790</v>
      </c>
      <c r="F2340" s="43">
        <v>45886</v>
      </c>
      <c r="G2340" s="96" t="s">
        <v>90</v>
      </c>
      <c r="H2340" s="96" t="s">
        <v>5951</v>
      </c>
      <c r="I2340" s="96" t="s">
        <v>194</v>
      </c>
      <c r="J2340" s="96" t="s">
        <v>97</v>
      </c>
      <c r="K2340" s="96" t="s">
        <v>246</v>
      </c>
      <c r="L2340">
        <v>96</v>
      </c>
      <c r="M2340" t="s">
        <v>28</v>
      </c>
      <c r="N2340" t="s">
        <v>182</v>
      </c>
      <c r="O2340" t="s">
        <v>151</v>
      </c>
      <c r="P2340">
        <v>2025</v>
      </c>
    </row>
    <row r="2341" spans="1:16" x14ac:dyDescent="0.25">
      <c r="A2341" s="96" t="s">
        <v>171</v>
      </c>
      <c r="B2341" s="96" t="s">
        <v>290</v>
      </c>
      <c r="C2341" s="96" t="s">
        <v>2300</v>
      </c>
      <c r="D2341" s="96" t="s">
        <v>215</v>
      </c>
      <c r="E2341" s="43">
        <v>46047</v>
      </c>
      <c r="F2341" s="43">
        <v>46075</v>
      </c>
      <c r="G2341" s="96" t="s">
        <v>90</v>
      </c>
      <c r="H2341" s="96" t="s">
        <v>5952</v>
      </c>
      <c r="I2341" s="96" t="s">
        <v>228</v>
      </c>
      <c r="J2341" s="96" t="s">
        <v>176</v>
      </c>
      <c r="K2341" s="96" t="s">
        <v>230</v>
      </c>
      <c r="L2341">
        <v>28</v>
      </c>
      <c r="M2341" t="s">
        <v>19</v>
      </c>
      <c r="N2341" t="s">
        <v>29</v>
      </c>
      <c r="O2341" t="s">
        <v>149</v>
      </c>
      <c r="P2341">
        <v>2026</v>
      </c>
    </row>
    <row r="2342" spans="1:16" hidden="1" x14ac:dyDescent="0.25">
      <c r="A2342" s="96" t="s">
        <v>2</v>
      </c>
      <c r="B2342" s="96" t="s">
        <v>206</v>
      </c>
      <c r="C2342" s="96" t="s">
        <v>2302</v>
      </c>
      <c r="D2342" s="96" t="s">
        <v>215</v>
      </c>
      <c r="E2342" s="43">
        <v>45861</v>
      </c>
      <c r="F2342" s="43">
        <v>45896</v>
      </c>
      <c r="G2342" s="96" t="s">
        <v>92</v>
      </c>
      <c r="H2342" s="96" t="s">
        <v>5953</v>
      </c>
      <c r="I2342" s="96" t="s">
        <v>157</v>
      </c>
      <c r="J2342" s="96" t="s">
        <v>173</v>
      </c>
      <c r="K2342" s="96" t="s">
        <v>210</v>
      </c>
      <c r="L2342">
        <v>35</v>
      </c>
      <c r="M2342" t="s">
        <v>24</v>
      </c>
      <c r="N2342" t="s">
        <v>187</v>
      </c>
      <c r="O2342" t="s">
        <v>152</v>
      </c>
      <c r="P2342">
        <v>2025</v>
      </c>
    </row>
    <row r="2343" spans="1:16" x14ac:dyDescent="0.25">
      <c r="A2343" s="96" t="s">
        <v>21</v>
      </c>
      <c r="B2343" s="96" t="s">
        <v>244</v>
      </c>
      <c r="C2343" s="96" t="s">
        <v>2304</v>
      </c>
      <c r="D2343" s="96" t="s">
        <v>237</v>
      </c>
      <c r="E2343" s="43">
        <v>46028</v>
      </c>
      <c r="F2343" s="43">
        <v>46089</v>
      </c>
      <c r="G2343" s="96" t="s">
        <v>95</v>
      </c>
      <c r="H2343" s="96" t="s">
        <v>5954</v>
      </c>
      <c r="I2343" s="96" t="s">
        <v>204</v>
      </c>
      <c r="J2343" s="96" t="s">
        <v>199</v>
      </c>
      <c r="K2343" s="96" t="s">
        <v>210</v>
      </c>
      <c r="L2343">
        <v>61</v>
      </c>
      <c r="M2343" t="s">
        <v>28</v>
      </c>
      <c r="N2343" t="s">
        <v>29</v>
      </c>
      <c r="O2343" t="s">
        <v>150</v>
      </c>
      <c r="P2343">
        <v>2026</v>
      </c>
    </row>
    <row r="2344" spans="1:16" hidden="1" x14ac:dyDescent="0.25">
      <c r="A2344" s="96" t="s">
        <v>175</v>
      </c>
      <c r="B2344" s="96" t="s">
        <v>238</v>
      </c>
      <c r="C2344" s="96" t="s">
        <v>2305</v>
      </c>
      <c r="D2344" s="96" t="s">
        <v>40</v>
      </c>
      <c r="E2344" s="43">
        <v>45769</v>
      </c>
      <c r="F2344" s="43">
        <v>45855</v>
      </c>
      <c r="G2344" s="96" t="s">
        <v>95</v>
      </c>
      <c r="H2344" s="96" t="s">
        <v>5955</v>
      </c>
      <c r="I2344" s="96" t="s">
        <v>204</v>
      </c>
      <c r="J2344" s="96" t="s">
        <v>98</v>
      </c>
      <c r="K2344" s="96" t="s">
        <v>217</v>
      </c>
      <c r="L2344">
        <v>86</v>
      </c>
      <c r="M2344" t="s">
        <v>28</v>
      </c>
      <c r="N2344" t="s">
        <v>185</v>
      </c>
      <c r="O2344" t="s">
        <v>170</v>
      </c>
      <c r="P2344">
        <v>2025</v>
      </c>
    </row>
    <row r="2345" spans="1:16" x14ac:dyDescent="0.25">
      <c r="A2345" s="96" t="s">
        <v>2</v>
      </c>
      <c r="B2345" s="96" t="s">
        <v>269</v>
      </c>
      <c r="C2345" s="96" t="s">
        <v>5956</v>
      </c>
      <c r="D2345" s="96" t="s">
        <v>10</v>
      </c>
      <c r="E2345" s="43">
        <v>46144</v>
      </c>
      <c r="F2345" s="43">
        <v>46147</v>
      </c>
      <c r="G2345" s="96" t="s">
        <v>92</v>
      </c>
      <c r="H2345" s="96" t="s">
        <v>5957</v>
      </c>
      <c r="I2345" s="96" t="s">
        <v>194</v>
      </c>
      <c r="J2345" s="96" t="s">
        <v>176</v>
      </c>
      <c r="K2345" s="96" t="s">
        <v>200</v>
      </c>
      <c r="L2345">
        <v>3</v>
      </c>
      <c r="M2345" t="s">
        <v>11</v>
      </c>
      <c r="N2345" t="s">
        <v>183</v>
      </c>
      <c r="O2345" t="s">
        <v>152</v>
      </c>
      <c r="P2345">
        <v>2026</v>
      </c>
    </row>
    <row r="2346" spans="1:16" hidden="1" x14ac:dyDescent="0.25">
      <c r="A2346" s="96" t="s">
        <v>21</v>
      </c>
      <c r="B2346" s="96" t="s">
        <v>253</v>
      </c>
      <c r="C2346" s="96" t="s">
        <v>2306</v>
      </c>
      <c r="D2346" s="96" t="s">
        <v>237</v>
      </c>
      <c r="E2346" s="43">
        <v>45758</v>
      </c>
      <c r="F2346" s="43">
        <v>45781</v>
      </c>
      <c r="G2346" s="96" t="s">
        <v>92</v>
      </c>
      <c r="H2346" s="96" t="s">
        <v>5958</v>
      </c>
      <c r="I2346" s="96" t="s">
        <v>209</v>
      </c>
      <c r="J2346" s="96" t="s">
        <v>229</v>
      </c>
      <c r="K2346" s="96" t="s">
        <v>210</v>
      </c>
      <c r="L2346">
        <v>23</v>
      </c>
      <c r="M2346" t="s">
        <v>19</v>
      </c>
      <c r="N2346" t="s">
        <v>185</v>
      </c>
      <c r="O2346" t="s">
        <v>152</v>
      </c>
      <c r="P2346">
        <v>2025</v>
      </c>
    </row>
    <row r="2347" spans="1:16" hidden="1" x14ac:dyDescent="0.25">
      <c r="A2347" s="96" t="s">
        <v>2</v>
      </c>
      <c r="B2347" s="96" t="s">
        <v>221</v>
      </c>
      <c r="C2347" s="96" t="s">
        <v>2307</v>
      </c>
      <c r="D2347" s="96" t="s">
        <v>10</v>
      </c>
      <c r="E2347" s="43">
        <v>45898</v>
      </c>
      <c r="F2347" s="43">
        <v>46005</v>
      </c>
      <c r="G2347" s="96" t="s">
        <v>95</v>
      </c>
      <c r="H2347" s="96" t="s">
        <v>5959</v>
      </c>
      <c r="I2347" s="96" t="s">
        <v>9</v>
      </c>
      <c r="J2347" s="96" t="s">
        <v>93</v>
      </c>
      <c r="K2347" s="96" t="s">
        <v>246</v>
      </c>
      <c r="L2347">
        <v>107</v>
      </c>
      <c r="M2347" t="s">
        <v>28</v>
      </c>
      <c r="N2347" t="s">
        <v>8</v>
      </c>
      <c r="O2347" t="s">
        <v>170</v>
      </c>
      <c r="P2347">
        <v>2025</v>
      </c>
    </row>
    <row r="2348" spans="1:16" hidden="1" x14ac:dyDescent="0.25">
      <c r="A2348" s="96" t="s">
        <v>175</v>
      </c>
      <c r="B2348" s="96" t="s">
        <v>251</v>
      </c>
      <c r="C2348" s="96" t="s">
        <v>2308</v>
      </c>
      <c r="D2348" s="96" t="s">
        <v>237</v>
      </c>
      <c r="E2348" s="43">
        <v>45753</v>
      </c>
      <c r="F2348" s="43">
        <v>45784</v>
      </c>
      <c r="G2348" s="96" t="s">
        <v>90</v>
      </c>
      <c r="H2348" s="96" t="s">
        <v>5960</v>
      </c>
      <c r="I2348" s="96" t="s">
        <v>194</v>
      </c>
      <c r="J2348" s="96" t="s">
        <v>216</v>
      </c>
      <c r="K2348" s="96" t="s">
        <v>230</v>
      </c>
      <c r="L2348">
        <v>31</v>
      </c>
      <c r="M2348" t="s">
        <v>24</v>
      </c>
      <c r="N2348" t="s">
        <v>185</v>
      </c>
      <c r="O2348" t="s">
        <v>170</v>
      </c>
      <c r="P2348">
        <v>2025</v>
      </c>
    </row>
    <row r="2349" spans="1:16" hidden="1" x14ac:dyDescent="0.25">
      <c r="A2349" s="96" t="s">
        <v>2</v>
      </c>
      <c r="B2349" s="96" t="s">
        <v>322</v>
      </c>
      <c r="C2349" s="96" t="s">
        <v>2309</v>
      </c>
      <c r="D2349" s="96" t="s">
        <v>40</v>
      </c>
      <c r="E2349" s="43">
        <v>45988</v>
      </c>
      <c r="F2349" s="43">
        <v>46070</v>
      </c>
      <c r="G2349" s="96" t="s">
        <v>92</v>
      </c>
      <c r="H2349" s="96" t="s">
        <v>5961</v>
      </c>
      <c r="I2349" s="96" t="s">
        <v>9</v>
      </c>
      <c r="J2349" s="96" t="s">
        <v>98</v>
      </c>
      <c r="K2349" s="96" t="s">
        <v>205</v>
      </c>
      <c r="L2349">
        <v>82</v>
      </c>
      <c r="M2349" t="s">
        <v>28</v>
      </c>
      <c r="N2349" t="s">
        <v>20</v>
      </c>
      <c r="O2349" t="s">
        <v>150</v>
      </c>
      <c r="P2349">
        <v>2025</v>
      </c>
    </row>
    <row r="2350" spans="1:16" hidden="1" x14ac:dyDescent="0.25">
      <c r="A2350" s="96" t="s">
        <v>2</v>
      </c>
      <c r="B2350" s="96" t="s">
        <v>257</v>
      </c>
      <c r="C2350" s="96" t="s">
        <v>2310</v>
      </c>
      <c r="D2350" s="96" t="s">
        <v>208</v>
      </c>
      <c r="E2350" s="43">
        <v>45784</v>
      </c>
      <c r="F2350" s="43">
        <v>45879</v>
      </c>
      <c r="G2350" s="96" t="s">
        <v>90</v>
      </c>
      <c r="H2350" s="96" t="s">
        <v>5962</v>
      </c>
      <c r="I2350" s="96" t="s">
        <v>209</v>
      </c>
      <c r="J2350" s="96" t="s">
        <v>216</v>
      </c>
      <c r="K2350" s="96" t="s">
        <v>200</v>
      </c>
      <c r="L2350">
        <v>95</v>
      </c>
      <c r="M2350" t="s">
        <v>28</v>
      </c>
      <c r="N2350" t="s">
        <v>182</v>
      </c>
      <c r="O2350" t="s">
        <v>151</v>
      </c>
      <c r="P2350">
        <v>2025</v>
      </c>
    </row>
    <row r="2351" spans="1:16" hidden="1" x14ac:dyDescent="0.25">
      <c r="A2351" s="96" t="s">
        <v>2</v>
      </c>
      <c r="B2351" s="96" t="s">
        <v>206</v>
      </c>
      <c r="C2351" s="96" t="s">
        <v>5963</v>
      </c>
      <c r="D2351" s="96" t="s">
        <v>34</v>
      </c>
      <c r="E2351" s="43">
        <v>45754</v>
      </c>
      <c r="F2351" s="43">
        <v>45865</v>
      </c>
      <c r="G2351" s="96" t="s">
        <v>92</v>
      </c>
      <c r="H2351" s="96" t="s">
        <v>5964</v>
      </c>
      <c r="I2351" s="96" t="s">
        <v>204</v>
      </c>
      <c r="J2351" s="96" t="s">
        <v>173</v>
      </c>
      <c r="K2351" s="96" t="s">
        <v>200</v>
      </c>
      <c r="L2351">
        <v>111</v>
      </c>
      <c r="M2351" t="s">
        <v>28</v>
      </c>
      <c r="N2351" t="s">
        <v>185</v>
      </c>
      <c r="O2351" t="s">
        <v>152</v>
      </c>
      <c r="P2351">
        <v>2025</v>
      </c>
    </row>
    <row r="2352" spans="1:16" x14ac:dyDescent="0.25">
      <c r="A2352" s="96" t="s">
        <v>2</v>
      </c>
      <c r="B2352" s="96" t="s">
        <v>302</v>
      </c>
      <c r="C2352" s="96" t="s">
        <v>2311</v>
      </c>
      <c r="D2352" s="96" t="s">
        <v>10</v>
      </c>
      <c r="E2352" s="43">
        <v>46149</v>
      </c>
      <c r="F2352" s="43">
        <v>46148</v>
      </c>
      <c r="G2352" s="96" t="s">
        <v>92</v>
      </c>
      <c r="H2352" s="96" t="s">
        <v>5965</v>
      </c>
      <c r="I2352" s="96" t="s">
        <v>225</v>
      </c>
      <c r="J2352" s="96" t="s">
        <v>199</v>
      </c>
      <c r="K2352" s="96" t="s">
        <v>157</v>
      </c>
      <c r="L2352">
        <v>-1</v>
      </c>
      <c r="M2352" t="s">
        <v>11</v>
      </c>
      <c r="N2352" t="s">
        <v>183</v>
      </c>
      <c r="O2352" t="s">
        <v>150</v>
      </c>
      <c r="P2352">
        <v>2026</v>
      </c>
    </row>
    <row r="2353" spans="1:16" hidden="1" x14ac:dyDescent="0.25">
      <c r="A2353" s="96" t="s">
        <v>189</v>
      </c>
      <c r="B2353" s="96" t="s">
        <v>240</v>
      </c>
      <c r="C2353" s="96" t="s">
        <v>2312</v>
      </c>
      <c r="D2353" s="96" t="s">
        <v>10</v>
      </c>
      <c r="E2353" s="43">
        <v>45834</v>
      </c>
      <c r="F2353" s="43">
        <v>45858</v>
      </c>
      <c r="G2353" s="96" t="s">
        <v>92</v>
      </c>
      <c r="H2353" s="96" t="s">
        <v>5966</v>
      </c>
      <c r="I2353" s="96" t="s">
        <v>225</v>
      </c>
      <c r="J2353" s="96" t="s">
        <v>176</v>
      </c>
      <c r="K2353" s="96" t="s">
        <v>205</v>
      </c>
      <c r="L2353">
        <v>24</v>
      </c>
      <c r="M2353" t="s">
        <v>19</v>
      </c>
      <c r="N2353" t="s">
        <v>184</v>
      </c>
      <c r="O2353" t="s">
        <v>149</v>
      </c>
      <c r="P2353">
        <v>2025</v>
      </c>
    </row>
    <row r="2354" spans="1:16" hidden="1" x14ac:dyDescent="0.25">
      <c r="A2354" s="96" t="s">
        <v>2</v>
      </c>
      <c r="B2354" s="96" t="s">
        <v>272</v>
      </c>
      <c r="C2354" s="96" t="s">
        <v>5967</v>
      </c>
      <c r="D2354" s="96" t="s">
        <v>10</v>
      </c>
      <c r="E2354" s="43">
        <v>45956</v>
      </c>
      <c r="F2354" s="43">
        <v>46062</v>
      </c>
      <c r="G2354" s="96" t="s">
        <v>92</v>
      </c>
      <c r="H2354" s="96" t="s">
        <v>2250</v>
      </c>
      <c r="I2354" s="96" t="s">
        <v>157</v>
      </c>
      <c r="J2354" s="96" t="s">
        <v>96</v>
      </c>
      <c r="K2354" s="96" t="s">
        <v>246</v>
      </c>
      <c r="L2354">
        <v>106</v>
      </c>
      <c r="M2354" t="s">
        <v>28</v>
      </c>
      <c r="N2354" t="s">
        <v>16</v>
      </c>
      <c r="O2354" t="s">
        <v>151</v>
      </c>
      <c r="P2354">
        <v>2025</v>
      </c>
    </row>
    <row r="2355" spans="1:16" hidden="1" x14ac:dyDescent="0.25">
      <c r="A2355" s="96" t="s">
        <v>2</v>
      </c>
      <c r="B2355" s="96" t="s">
        <v>231</v>
      </c>
      <c r="C2355" s="96" t="s">
        <v>2313</v>
      </c>
      <c r="D2355" s="96" t="s">
        <v>208</v>
      </c>
      <c r="E2355" s="43">
        <v>46010</v>
      </c>
      <c r="F2355" s="43">
        <v>46091</v>
      </c>
      <c r="G2355" s="96" t="s">
        <v>92</v>
      </c>
      <c r="H2355" s="96" t="s">
        <v>2252</v>
      </c>
      <c r="I2355" s="96" t="s">
        <v>157</v>
      </c>
      <c r="J2355" s="96" t="s">
        <v>216</v>
      </c>
      <c r="K2355" s="96" t="s">
        <v>195</v>
      </c>
      <c r="L2355">
        <v>81</v>
      </c>
      <c r="M2355" t="s">
        <v>28</v>
      </c>
      <c r="N2355" t="s">
        <v>25</v>
      </c>
      <c r="O2355" t="s">
        <v>170</v>
      </c>
      <c r="P2355">
        <v>2025</v>
      </c>
    </row>
    <row r="2356" spans="1:16" x14ac:dyDescent="0.25">
      <c r="A2356" s="96" t="s">
        <v>2</v>
      </c>
      <c r="B2356" s="96" t="s">
        <v>244</v>
      </c>
      <c r="C2356" s="96" t="s">
        <v>2314</v>
      </c>
      <c r="D2356" s="96" t="s">
        <v>223</v>
      </c>
      <c r="E2356" s="43">
        <v>46085</v>
      </c>
      <c r="F2356" s="43">
        <v>46147</v>
      </c>
      <c r="G2356" s="96" t="s">
        <v>90</v>
      </c>
      <c r="H2356" s="96" t="s">
        <v>5968</v>
      </c>
      <c r="I2356" s="96" t="s">
        <v>204</v>
      </c>
      <c r="J2356" s="96" t="s">
        <v>283</v>
      </c>
      <c r="K2356" s="96" t="s">
        <v>233</v>
      </c>
      <c r="L2356">
        <v>62</v>
      </c>
      <c r="M2356" t="s">
        <v>28</v>
      </c>
      <c r="N2356" t="s">
        <v>35</v>
      </c>
      <c r="O2356" t="s">
        <v>150</v>
      </c>
      <c r="P2356">
        <v>2026</v>
      </c>
    </row>
    <row r="2357" spans="1:16" x14ac:dyDescent="0.25">
      <c r="A2357" s="96" t="s">
        <v>2</v>
      </c>
      <c r="B2357" s="96" t="s">
        <v>261</v>
      </c>
      <c r="C2357" s="96" t="s">
        <v>2315</v>
      </c>
      <c r="D2357" s="96" t="s">
        <v>192</v>
      </c>
      <c r="E2357" s="43">
        <v>46144</v>
      </c>
      <c r="F2357" s="43">
        <v>46149</v>
      </c>
      <c r="G2357" s="96" t="s">
        <v>92</v>
      </c>
      <c r="H2357" s="96" t="s">
        <v>5969</v>
      </c>
      <c r="I2357" s="96" t="s">
        <v>228</v>
      </c>
      <c r="J2357" s="96" t="s">
        <v>283</v>
      </c>
      <c r="K2357" s="96" t="s">
        <v>205</v>
      </c>
      <c r="L2357">
        <v>5</v>
      </c>
      <c r="M2357" t="s">
        <v>11</v>
      </c>
      <c r="N2357" t="s">
        <v>183</v>
      </c>
      <c r="O2357" t="s">
        <v>151</v>
      </c>
      <c r="P2357">
        <v>2026</v>
      </c>
    </row>
    <row r="2358" spans="1:16" hidden="1" x14ac:dyDescent="0.25">
      <c r="A2358" s="96" t="s">
        <v>2</v>
      </c>
      <c r="B2358" s="96" t="s">
        <v>255</v>
      </c>
      <c r="C2358" s="96" t="s">
        <v>2316</v>
      </c>
      <c r="D2358" s="96" t="s">
        <v>192</v>
      </c>
      <c r="E2358" s="43">
        <v>45698</v>
      </c>
      <c r="F2358" s="43">
        <v>45810</v>
      </c>
      <c r="G2358" s="96" t="s">
        <v>92</v>
      </c>
      <c r="H2358" s="96" t="s">
        <v>5970</v>
      </c>
      <c r="I2358" s="96" t="s">
        <v>225</v>
      </c>
      <c r="J2358" s="96" t="s">
        <v>165</v>
      </c>
      <c r="K2358" s="96" t="s">
        <v>233</v>
      </c>
      <c r="L2358">
        <v>112</v>
      </c>
      <c r="M2358" t="s">
        <v>28</v>
      </c>
      <c r="N2358" t="s">
        <v>188</v>
      </c>
      <c r="O2358" t="s">
        <v>150</v>
      </c>
      <c r="P2358">
        <v>2025</v>
      </c>
    </row>
    <row r="2359" spans="1:16" hidden="1" x14ac:dyDescent="0.25">
      <c r="A2359" s="96" t="s">
        <v>2</v>
      </c>
      <c r="B2359" s="96" t="s">
        <v>257</v>
      </c>
      <c r="C2359" s="96" t="s">
        <v>2317</v>
      </c>
      <c r="D2359" s="96" t="s">
        <v>14</v>
      </c>
      <c r="E2359" s="43">
        <v>45829</v>
      </c>
      <c r="F2359" s="43">
        <v>45925</v>
      </c>
      <c r="G2359" s="96" t="s">
        <v>90</v>
      </c>
      <c r="H2359" s="96" t="s">
        <v>5971</v>
      </c>
      <c r="I2359" s="96" t="s">
        <v>228</v>
      </c>
      <c r="J2359" s="96" t="s">
        <v>168</v>
      </c>
      <c r="K2359" s="96" t="s">
        <v>246</v>
      </c>
      <c r="L2359">
        <v>96</v>
      </c>
      <c r="M2359" t="s">
        <v>28</v>
      </c>
      <c r="N2359" t="s">
        <v>184</v>
      </c>
      <c r="O2359" t="s">
        <v>151</v>
      </c>
      <c r="P2359">
        <v>2025</v>
      </c>
    </row>
    <row r="2360" spans="1:16" hidden="1" x14ac:dyDescent="0.25">
      <c r="A2360" s="96" t="s">
        <v>175</v>
      </c>
      <c r="B2360" s="96" t="s">
        <v>231</v>
      </c>
      <c r="C2360" s="96" t="s">
        <v>2318</v>
      </c>
      <c r="D2360" s="96" t="s">
        <v>203</v>
      </c>
      <c r="E2360" s="43">
        <v>46020</v>
      </c>
      <c r="F2360" s="43">
        <v>46082</v>
      </c>
      <c r="G2360" s="96" t="s">
        <v>90</v>
      </c>
      <c r="H2360" s="96" t="s">
        <v>5972</v>
      </c>
      <c r="I2360" s="96" t="s">
        <v>209</v>
      </c>
      <c r="J2360" s="96" t="s">
        <v>199</v>
      </c>
      <c r="K2360" s="96" t="s">
        <v>195</v>
      </c>
      <c r="L2360">
        <v>62</v>
      </c>
      <c r="M2360" t="s">
        <v>28</v>
      </c>
      <c r="N2360" t="s">
        <v>25</v>
      </c>
      <c r="O2360" t="s">
        <v>170</v>
      </c>
      <c r="P2360">
        <v>2025</v>
      </c>
    </row>
    <row r="2361" spans="1:16" x14ac:dyDescent="0.25">
      <c r="A2361" s="96" t="s">
        <v>2</v>
      </c>
      <c r="B2361" s="96" t="s">
        <v>218</v>
      </c>
      <c r="C2361" s="96" t="s">
        <v>5973</v>
      </c>
      <c r="D2361" s="96" t="s">
        <v>237</v>
      </c>
      <c r="E2361" s="43">
        <v>46047</v>
      </c>
      <c r="F2361" s="43">
        <v>46143</v>
      </c>
      <c r="G2361" s="96" t="s">
        <v>92</v>
      </c>
      <c r="H2361" s="96" t="s">
        <v>5974</v>
      </c>
      <c r="I2361" s="96" t="s">
        <v>225</v>
      </c>
      <c r="J2361" s="96" t="s">
        <v>174</v>
      </c>
      <c r="K2361" s="96" t="s">
        <v>233</v>
      </c>
      <c r="L2361">
        <v>96</v>
      </c>
      <c r="M2361" t="s">
        <v>28</v>
      </c>
      <c r="N2361" t="s">
        <v>29</v>
      </c>
      <c r="O2361" t="s">
        <v>152</v>
      </c>
      <c r="P2361">
        <v>2026</v>
      </c>
    </row>
    <row r="2362" spans="1:16" hidden="1" x14ac:dyDescent="0.25">
      <c r="A2362" s="96" t="s">
        <v>2</v>
      </c>
      <c r="B2362" s="96" t="s">
        <v>206</v>
      </c>
      <c r="C2362" s="96" t="s">
        <v>5975</v>
      </c>
      <c r="D2362" s="96" t="s">
        <v>208</v>
      </c>
      <c r="E2362" s="43">
        <v>45823</v>
      </c>
      <c r="F2362" s="43">
        <v>45899</v>
      </c>
      <c r="G2362" s="96" t="s">
        <v>92</v>
      </c>
      <c r="H2362" s="96" t="s">
        <v>5976</v>
      </c>
      <c r="I2362" s="96" t="s">
        <v>9</v>
      </c>
      <c r="J2362" s="96" t="s">
        <v>172</v>
      </c>
      <c r="K2362" s="96" t="s">
        <v>157</v>
      </c>
      <c r="L2362">
        <v>76</v>
      </c>
      <c r="M2362" t="s">
        <v>28</v>
      </c>
      <c r="N2362" t="s">
        <v>184</v>
      </c>
      <c r="O2362" t="s">
        <v>152</v>
      </c>
      <c r="P2362">
        <v>2025</v>
      </c>
    </row>
    <row r="2363" spans="1:16" hidden="1" x14ac:dyDescent="0.25">
      <c r="A2363" s="96" t="s">
        <v>175</v>
      </c>
      <c r="B2363" s="96" t="s">
        <v>255</v>
      </c>
      <c r="C2363" s="96" t="s">
        <v>2320</v>
      </c>
      <c r="D2363" s="96" t="s">
        <v>14</v>
      </c>
      <c r="E2363" s="43">
        <v>46018</v>
      </c>
      <c r="F2363" s="43">
        <v>46103</v>
      </c>
      <c r="G2363" s="96" t="s">
        <v>92</v>
      </c>
      <c r="H2363" s="96" t="s">
        <v>2255</v>
      </c>
      <c r="I2363" s="96" t="s">
        <v>194</v>
      </c>
      <c r="J2363" s="96" t="s">
        <v>199</v>
      </c>
      <c r="K2363" s="96" t="s">
        <v>246</v>
      </c>
      <c r="L2363">
        <v>85</v>
      </c>
      <c r="M2363" t="s">
        <v>28</v>
      </c>
      <c r="N2363" t="s">
        <v>25</v>
      </c>
      <c r="O2363" t="s">
        <v>150</v>
      </c>
      <c r="P2363">
        <v>2025</v>
      </c>
    </row>
    <row r="2364" spans="1:16" hidden="1" x14ac:dyDescent="0.25">
      <c r="A2364" s="96" t="s">
        <v>2</v>
      </c>
      <c r="B2364" s="96" t="s">
        <v>272</v>
      </c>
      <c r="C2364" s="96" t="s">
        <v>5977</v>
      </c>
      <c r="D2364" s="96" t="s">
        <v>223</v>
      </c>
      <c r="E2364" s="43">
        <v>46006</v>
      </c>
      <c r="F2364" s="43">
        <v>46068</v>
      </c>
      <c r="G2364" s="96" t="s">
        <v>90</v>
      </c>
      <c r="H2364" s="96" t="s">
        <v>5978</v>
      </c>
      <c r="I2364" s="96" t="s">
        <v>228</v>
      </c>
      <c r="J2364" s="96" t="s">
        <v>216</v>
      </c>
      <c r="K2364" s="96" t="s">
        <v>200</v>
      </c>
      <c r="L2364">
        <v>62</v>
      </c>
      <c r="M2364" t="s">
        <v>28</v>
      </c>
      <c r="N2364" t="s">
        <v>25</v>
      </c>
      <c r="O2364" t="s">
        <v>151</v>
      </c>
      <c r="P2364">
        <v>2025</v>
      </c>
    </row>
    <row r="2365" spans="1:16" hidden="1" x14ac:dyDescent="0.25">
      <c r="A2365" s="96" t="s">
        <v>175</v>
      </c>
      <c r="B2365" s="96" t="s">
        <v>280</v>
      </c>
      <c r="C2365" s="96" t="s">
        <v>5979</v>
      </c>
      <c r="D2365" s="96" t="s">
        <v>208</v>
      </c>
      <c r="E2365" s="43">
        <v>46020</v>
      </c>
      <c r="F2365" s="43">
        <v>46073</v>
      </c>
      <c r="G2365" s="96" t="s">
        <v>92</v>
      </c>
      <c r="H2365" s="96" t="s">
        <v>5980</v>
      </c>
      <c r="I2365" s="96" t="s">
        <v>9</v>
      </c>
      <c r="J2365" s="96" t="s">
        <v>229</v>
      </c>
      <c r="K2365" s="96" t="s">
        <v>230</v>
      </c>
      <c r="L2365">
        <v>53</v>
      </c>
      <c r="M2365" t="s">
        <v>24</v>
      </c>
      <c r="N2365" t="s">
        <v>25</v>
      </c>
      <c r="O2365" t="s">
        <v>170</v>
      </c>
      <c r="P2365">
        <v>2025</v>
      </c>
    </row>
    <row r="2366" spans="1:16" x14ac:dyDescent="0.25">
      <c r="A2366" s="96" t="s">
        <v>175</v>
      </c>
      <c r="B2366" s="96" t="s">
        <v>288</v>
      </c>
      <c r="C2366" s="96" t="s">
        <v>5981</v>
      </c>
      <c r="D2366" s="96" t="s">
        <v>223</v>
      </c>
      <c r="E2366" s="43">
        <v>46117</v>
      </c>
      <c r="F2366" s="43">
        <v>46148</v>
      </c>
      <c r="G2366" s="96" t="s">
        <v>90</v>
      </c>
      <c r="H2366" s="96" t="s">
        <v>5982</v>
      </c>
      <c r="I2366" s="96" t="s">
        <v>157</v>
      </c>
      <c r="J2366" s="96" t="s">
        <v>91</v>
      </c>
      <c r="K2366" s="96" t="s">
        <v>217</v>
      </c>
      <c r="L2366">
        <v>31</v>
      </c>
      <c r="M2366" t="s">
        <v>24</v>
      </c>
      <c r="N2366" t="s">
        <v>37</v>
      </c>
      <c r="O2366" t="s">
        <v>170</v>
      </c>
      <c r="P2366">
        <v>2026</v>
      </c>
    </row>
    <row r="2367" spans="1:16" x14ac:dyDescent="0.25">
      <c r="A2367" s="96" t="s">
        <v>2</v>
      </c>
      <c r="B2367" s="96" t="s">
        <v>196</v>
      </c>
      <c r="C2367" s="96" t="s">
        <v>5983</v>
      </c>
      <c r="D2367" s="96" t="s">
        <v>215</v>
      </c>
      <c r="E2367" s="43">
        <v>46118</v>
      </c>
      <c r="F2367" s="43">
        <v>46150</v>
      </c>
      <c r="G2367" s="96" t="s">
        <v>90</v>
      </c>
      <c r="H2367" s="96" t="s">
        <v>5984</v>
      </c>
      <c r="I2367" s="96" t="s">
        <v>204</v>
      </c>
      <c r="J2367" s="96" t="s">
        <v>172</v>
      </c>
      <c r="K2367" s="96" t="s">
        <v>246</v>
      </c>
      <c r="L2367">
        <v>32</v>
      </c>
      <c r="M2367" t="s">
        <v>24</v>
      </c>
      <c r="N2367" t="s">
        <v>37</v>
      </c>
      <c r="O2367" t="s">
        <v>152</v>
      </c>
      <c r="P2367">
        <v>2026</v>
      </c>
    </row>
    <row r="2368" spans="1:16" x14ac:dyDescent="0.25">
      <c r="A2368" s="96" t="s">
        <v>2</v>
      </c>
      <c r="B2368" s="96" t="s">
        <v>201</v>
      </c>
      <c r="C2368" s="96" t="s">
        <v>2321</v>
      </c>
      <c r="D2368" s="96" t="s">
        <v>208</v>
      </c>
      <c r="E2368" s="43">
        <v>46046</v>
      </c>
      <c r="F2368" s="43">
        <v>46142</v>
      </c>
      <c r="G2368" s="96" t="s">
        <v>90</v>
      </c>
      <c r="H2368" s="96" t="s">
        <v>5985</v>
      </c>
      <c r="I2368" s="96" t="s">
        <v>157</v>
      </c>
      <c r="J2368" s="96" t="s">
        <v>176</v>
      </c>
      <c r="K2368" s="96" t="s">
        <v>230</v>
      </c>
      <c r="L2368">
        <v>96</v>
      </c>
      <c r="M2368" t="s">
        <v>28</v>
      </c>
      <c r="N2368" t="s">
        <v>29</v>
      </c>
      <c r="O2368" t="s">
        <v>170</v>
      </c>
      <c r="P2368">
        <v>2026</v>
      </c>
    </row>
    <row r="2369" spans="1:16" x14ac:dyDescent="0.25">
      <c r="A2369" s="96" t="s">
        <v>2</v>
      </c>
      <c r="B2369" s="96" t="s">
        <v>305</v>
      </c>
      <c r="C2369" s="96" t="s">
        <v>2322</v>
      </c>
      <c r="D2369" s="96" t="s">
        <v>237</v>
      </c>
      <c r="E2369" s="43">
        <v>46129</v>
      </c>
      <c r="F2369" s="43">
        <v>46146</v>
      </c>
      <c r="G2369" s="96" t="s">
        <v>92</v>
      </c>
      <c r="H2369" s="96" t="s">
        <v>2260</v>
      </c>
      <c r="I2369" s="96" t="s">
        <v>209</v>
      </c>
      <c r="J2369" s="96" t="s">
        <v>94</v>
      </c>
      <c r="K2369" s="96" t="s">
        <v>233</v>
      </c>
      <c r="L2369">
        <v>17</v>
      </c>
      <c r="M2369" t="s">
        <v>19</v>
      </c>
      <c r="N2369" t="s">
        <v>37</v>
      </c>
      <c r="O2369" t="s">
        <v>170</v>
      </c>
      <c r="P2369">
        <v>2026</v>
      </c>
    </row>
    <row r="2370" spans="1:16" x14ac:dyDescent="0.25">
      <c r="A2370" s="96" t="s">
        <v>2</v>
      </c>
      <c r="B2370" s="96" t="s">
        <v>261</v>
      </c>
      <c r="C2370" s="96" t="s">
        <v>2324</v>
      </c>
      <c r="D2370" s="96" t="s">
        <v>192</v>
      </c>
      <c r="E2370" s="43">
        <v>46124</v>
      </c>
      <c r="F2370" s="43">
        <v>46147</v>
      </c>
      <c r="G2370" s="96" t="s">
        <v>92</v>
      </c>
      <c r="H2370" s="96" t="s">
        <v>2262</v>
      </c>
      <c r="I2370" s="96" t="s">
        <v>204</v>
      </c>
      <c r="J2370" s="96" t="s">
        <v>165</v>
      </c>
      <c r="K2370" s="96" t="s">
        <v>200</v>
      </c>
      <c r="L2370">
        <v>23</v>
      </c>
      <c r="M2370" t="s">
        <v>19</v>
      </c>
      <c r="N2370" t="s">
        <v>37</v>
      </c>
      <c r="O2370" t="s">
        <v>151</v>
      </c>
      <c r="P2370">
        <v>2026</v>
      </c>
    </row>
    <row r="2371" spans="1:16" hidden="1" x14ac:dyDescent="0.25">
      <c r="A2371" s="96" t="s">
        <v>2</v>
      </c>
      <c r="B2371" s="96" t="s">
        <v>240</v>
      </c>
      <c r="C2371" s="96" t="s">
        <v>2326</v>
      </c>
      <c r="D2371" s="96" t="s">
        <v>10</v>
      </c>
      <c r="E2371" s="43">
        <v>45863</v>
      </c>
      <c r="F2371" s="43">
        <v>45891</v>
      </c>
      <c r="G2371" s="96" t="s">
        <v>92</v>
      </c>
      <c r="H2371" s="96" t="s">
        <v>5986</v>
      </c>
      <c r="I2371" s="96" t="s">
        <v>204</v>
      </c>
      <c r="J2371" s="96" t="s">
        <v>165</v>
      </c>
      <c r="K2371" s="96" t="s">
        <v>217</v>
      </c>
      <c r="L2371">
        <v>28</v>
      </c>
      <c r="M2371" t="s">
        <v>19</v>
      </c>
      <c r="N2371" t="s">
        <v>187</v>
      </c>
      <c r="O2371" t="s">
        <v>149</v>
      </c>
      <c r="P2371">
        <v>2025</v>
      </c>
    </row>
    <row r="2372" spans="1:16" x14ac:dyDescent="0.25">
      <c r="A2372" s="96" t="s">
        <v>2</v>
      </c>
      <c r="B2372" s="96" t="s">
        <v>302</v>
      </c>
      <c r="C2372" s="96" t="s">
        <v>5987</v>
      </c>
      <c r="D2372" s="96" t="s">
        <v>192</v>
      </c>
      <c r="E2372" s="43">
        <v>46144</v>
      </c>
      <c r="F2372" s="43">
        <v>46146</v>
      </c>
      <c r="G2372" s="96" t="s">
        <v>92</v>
      </c>
      <c r="H2372" s="96" t="s">
        <v>2264</v>
      </c>
      <c r="I2372" s="96" t="s">
        <v>204</v>
      </c>
      <c r="J2372" s="96" t="s">
        <v>98</v>
      </c>
      <c r="K2372" s="96" t="s">
        <v>217</v>
      </c>
      <c r="L2372">
        <v>2</v>
      </c>
      <c r="M2372" t="s">
        <v>11</v>
      </c>
      <c r="N2372" t="s">
        <v>183</v>
      </c>
      <c r="O2372" t="s">
        <v>150</v>
      </c>
      <c r="P2372">
        <v>2026</v>
      </c>
    </row>
    <row r="2373" spans="1:16" hidden="1" x14ac:dyDescent="0.25">
      <c r="A2373" s="96" t="s">
        <v>2</v>
      </c>
      <c r="B2373" s="96" t="s">
        <v>213</v>
      </c>
      <c r="C2373" s="96" t="s">
        <v>2327</v>
      </c>
      <c r="D2373" s="96" t="s">
        <v>208</v>
      </c>
      <c r="E2373" s="43">
        <v>45898</v>
      </c>
      <c r="F2373" s="43">
        <v>45988</v>
      </c>
      <c r="G2373" s="96" t="s">
        <v>92</v>
      </c>
      <c r="H2373" s="96" t="s">
        <v>2266</v>
      </c>
      <c r="I2373" s="96" t="s">
        <v>9</v>
      </c>
      <c r="J2373" s="96" t="s">
        <v>229</v>
      </c>
      <c r="K2373" s="96" t="s">
        <v>217</v>
      </c>
      <c r="L2373">
        <v>90</v>
      </c>
      <c r="M2373" t="s">
        <v>28</v>
      </c>
      <c r="N2373" t="s">
        <v>8</v>
      </c>
      <c r="O2373" t="s">
        <v>149</v>
      </c>
      <c r="P2373">
        <v>2025</v>
      </c>
    </row>
    <row r="2374" spans="1:16" hidden="1" x14ac:dyDescent="0.25">
      <c r="A2374" s="96" t="s">
        <v>2</v>
      </c>
      <c r="B2374" s="96" t="s">
        <v>213</v>
      </c>
      <c r="C2374" s="96" t="s">
        <v>2328</v>
      </c>
      <c r="D2374" s="96" t="s">
        <v>10</v>
      </c>
      <c r="E2374" s="43">
        <v>45965</v>
      </c>
      <c r="F2374" s="43">
        <v>46085</v>
      </c>
      <c r="G2374" s="96" t="s">
        <v>92</v>
      </c>
      <c r="H2374" s="96" t="s">
        <v>2268</v>
      </c>
      <c r="I2374" s="96" t="s">
        <v>209</v>
      </c>
      <c r="J2374" s="96" t="s">
        <v>173</v>
      </c>
      <c r="K2374" s="96" t="s">
        <v>205</v>
      </c>
      <c r="L2374">
        <v>120</v>
      </c>
      <c r="M2374" t="s">
        <v>28</v>
      </c>
      <c r="N2374" t="s">
        <v>20</v>
      </c>
      <c r="O2374" t="s">
        <v>149</v>
      </c>
      <c r="P2374">
        <v>2025</v>
      </c>
    </row>
    <row r="2375" spans="1:16" hidden="1" x14ac:dyDescent="0.25">
      <c r="A2375" s="96" t="s">
        <v>2</v>
      </c>
      <c r="B2375" s="96" t="s">
        <v>255</v>
      </c>
      <c r="C2375" s="96" t="s">
        <v>2330</v>
      </c>
      <c r="D2375" s="96" t="s">
        <v>203</v>
      </c>
      <c r="E2375" s="43">
        <v>45738</v>
      </c>
      <c r="F2375" s="43">
        <v>45758</v>
      </c>
      <c r="G2375" s="96" t="s">
        <v>92</v>
      </c>
      <c r="H2375" s="96" t="s">
        <v>5988</v>
      </c>
      <c r="I2375" s="96" t="s">
        <v>194</v>
      </c>
      <c r="J2375" s="96" t="s">
        <v>172</v>
      </c>
      <c r="K2375" s="96" t="s">
        <v>217</v>
      </c>
      <c r="L2375">
        <v>20</v>
      </c>
      <c r="M2375" t="s">
        <v>19</v>
      </c>
      <c r="N2375" t="s">
        <v>186</v>
      </c>
      <c r="O2375" t="s">
        <v>150</v>
      </c>
      <c r="P2375">
        <v>2025</v>
      </c>
    </row>
    <row r="2376" spans="1:16" hidden="1" x14ac:dyDescent="0.25">
      <c r="A2376" s="96" t="s">
        <v>175</v>
      </c>
      <c r="B2376" s="96" t="s">
        <v>255</v>
      </c>
      <c r="C2376" s="96" t="s">
        <v>2331</v>
      </c>
      <c r="D2376" s="96" t="s">
        <v>208</v>
      </c>
      <c r="E2376" s="43">
        <v>45711</v>
      </c>
      <c r="F2376" s="43">
        <v>45759</v>
      </c>
      <c r="G2376" s="96" t="s">
        <v>92</v>
      </c>
      <c r="H2376" s="96" t="s">
        <v>5989</v>
      </c>
      <c r="I2376" s="96" t="s">
        <v>225</v>
      </c>
      <c r="J2376" s="96" t="s">
        <v>283</v>
      </c>
      <c r="K2376" s="96" t="s">
        <v>157</v>
      </c>
      <c r="L2376">
        <v>48</v>
      </c>
      <c r="M2376" t="s">
        <v>24</v>
      </c>
      <c r="N2376" t="s">
        <v>188</v>
      </c>
      <c r="O2376" t="s">
        <v>150</v>
      </c>
      <c r="P2376">
        <v>2025</v>
      </c>
    </row>
    <row r="2377" spans="1:16" hidden="1" x14ac:dyDescent="0.25">
      <c r="A2377" s="96" t="s">
        <v>2</v>
      </c>
      <c r="B2377" s="96" t="s">
        <v>272</v>
      </c>
      <c r="C2377" s="96" t="s">
        <v>5990</v>
      </c>
      <c r="D2377" s="96" t="s">
        <v>203</v>
      </c>
      <c r="E2377" s="43">
        <v>45913</v>
      </c>
      <c r="F2377" s="43">
        <v>45948</v>
      </c>
      <c r="G2377" s="96" t="s">
        <v>92</v>
      </c>
      <c r="H2377" s="96" t="s">
        <v>5991</v>
      </c>
      <c r="I2377" s="96" t="s">
        <v>225</v>
      </c>
      <c r="J2377" s="96" t="s">
        <v>199</v>
      </c>
      <c r="K2377" s="96" t="s">
        <v>195</v>
      </c>
      <c r="L2377">
        <v>35</v>
      </c>
      <c r="M2377" t="s">
        <v>24</v>
      </c>
      <c r="N2377" t="s">
        <v>12</v>
      </c>
      <c r="O2377" t="s">
        <v>151</v>
      </c>
      <c r="P2377">
        <v>2025</v>
      </c>
    </row>
    <row r="2378" spans="1:16" x14ac:dyDescent="0.25">
      <c r="A2378" s="96" t="s">
        <v>2</v>
      </c>
      <c r="B2378" s="96" t="s">
        <v>269</v>
      </c>
      <c r="C2378" s="96" t="s">
        <v>2332</v>
      </c>
      <c r="D2378" s="96" t="s">
        <v>223</v>
      </c>
      <c r="E2378" s="43">
        <v>46054</v>
      </c>
      <c r="F2378" s="43">
        <v>46125</v>
      </c>
      <c r="G2378" s="96" t="s">
        <v>92</v>
      </c>
      <c r="H2378" s="96" t="s">
        <v>5992</v>
      </c>
      <c r="I2378" s="96" t="s">
        <v>194</v>
      </c>
      <c r="J2378" s="96" t="s">
        <v>96</v>
      </c>
      <c r="K2378" s="96" t="s">
        <v>200</v>
      </c>
      <c r="L2378">
        <v>71</v>
      </c>
      <c r="M2378" t="s">
        <v>28</v>
      </c>
      <c r="N2378" t="s">
        <v>32</v>
      </c>
      <c r="O2378" t="s">
        <v>152</v>
      </c>
      <c r="P2378">
        <v>2026</v>
      </c>
    </row>
    <row r="2379" spans="1:16" x14ac:dyDescent="0.25">
      <c r="A2379" s="96" t="s">
        <v>2</v>
      </c>
      <c r="B2379" s="96" t="s">
        <v>290</v>
      </c>
      <c r="C2379" s="96" t="s">
        <v>5993</v>
      </c>
      <c r="D2379" s="96" t="s">
        <v>208</v>
      </c>
      <c r="E2379" s="43">
        <v>46109</v>
      </c>
      <c r="F2379" s="43">
        <v>46151</v>
      </c>
      <c r="G2379" s="96" t="s">
        <v>92</v>
      </c>
      <c r="H2379" s="96" t="s">
        <v>5994</v>
      </c>
      <c r="I2379" s="96" t="s">
        <v>228</v>
      </c>
      <c r="J2379" s="96" t="s">
        <v>216</v>
      </c>
      <c r="K2379" s="96" t="s">
        <v>230</v>
      </c>
      <c r="L2379">
        <v>42</v>
      </c>
      <c r="M2379" t="s">
        <v>24</v>
      </c>
      <c r="N2379" t="s">
        <v>35</v>
      </c>
      <c r="O2379" t="s">
        <v>149</v>
      </c>
      <c r="P2379">
        <v>2026</v>
      </c>
    </row>
    <row r="2380" spans="1:16" hidden="1" x14ac:dyDescent="0.25">
      <c r="A2380" s="96" t="s">
        <v>2</v>
      </c>
      <c r="B2380" s="96" t="s">
        <v>190</v>
      </c>
      <c r="C2380" s="96" t="s">
        <v>5995</v>
      </c>
      <c r="D2380" s="96" t="s">
        <v>215</v>
      </c>
      <c r="E2380" s="43">
        <v>45827</v>
      </c>
      <c r="F2380" s="43">
        <v>45859</v>
      </c>
      <c r="G2380" s="96" t="s">
        <v>92</v>
      </c>
      <c r="H2380" s="96" t="s">
        <v>5996</v>
      </c>
      <c r="I2380" s="96" t="s">
        <v>225</v>
      </c>
      <c r="J2380" s="96" t="s">
        <v>216</v>
      </c>
      <c r="K2380" s="96" t="s">
        <v>210</v>
      </c>
      <c r="L2380">
        <v>32</v>
      </c>
      <c r="M2380" t="s">
        <v>24</v>
      </c>
      <c r="N2380" t="s">
        <v>184</v>
      </c>
      <c r="O2380" t="s">
        <v>150</v>
      </c>
      <c r="P2380">
        <v>2025</v>
      </c>
    </row>
    <row r="2381" spans="1:16" hidden="1" x14ac:dyDescent="0.25">
      <c r="A2381" s="96" t="s">
        <v>171</v>
      </c>
      <c r="B2381" s="96" t="s">
        <v>255</v>
      </c>
      <c r="C2381" s="96" t="s">
        <v>2334</v>
      </c>
      <c r="D2381" s="96" t="s">
        <v>192</v>
      </c>
      <c r="E2381" s="43">
        <v>45985</v>
      </c>
      <c r="F2381" s="43">
        <v>46049</v>
      </c>
      <c r="G2381" s="96" t="s">
        <v>92</v>
      </c>
      <c r="H2381" s="96" t="s">
        <v>5997</v>
      </c>
      <c r="I2381" s="96" t="s">
        <v>204</v>
      </c>
      <c r="J2381" s="96" t="s">
        <v>172</v>
      </c>
      <c r="K2381" s="96" t="s">
        <v>200</v>
      </c>
      <c r="L2381">
        <v>64</v>
      </c>
      <c r="M2381" t="s">
        <v>28</v>
      </c>
      <c r="N2381" t="s">
        <v>20</v>
      </c>
      <c r="O2381" t="s">
        <v>150</v>
      </c>
      <c r="P2381">
        <v>2025</v>
      </c>
    </row>
    <row r="2382" spans="1:16" x14ac:dyDescent="0.25">
      <c r="A2382" s="96" t="s">
        <v>2</v>
      </c>
      <c r="B2382" s="96" t="s">
        <v>226</v>
      </c>
      <c r="C2382" s="96" t="s">
        <v>5998</v>
      </c>
      <c r="D2382" s="96" t="s">
        <v>34</v>
      </c>
      <c r="E2382" s="43">
        <v>46023</v>
      </c>
      <c r="F2382" s="43">
        <v>46056</v>
      </c>
      <c r="G2382" s="96" t="s">
        <v>92</v>
      </c>
      <c r="H2382" s="96" t="s">
        <v>5999</v>
      </c>
      <c r="I2382" s="96" t="s">
        <v>228</v>
      </c>
      <c r="J2382" s="96" t="s">
        <v>165</v>
      </c>
      <c r="K2382" s="96" t="s">
        <v>230</v>
      </c>
      <c r="L2382">
        <v>33</v>
      </c>
      <c r="M2382" t="s">
        <v>24</v>
      </c>
      <c r="N2382" t="s">
        <v>29</v>
      </c>
      <c r="O2382" t="s">
        <v>151</v>
      </c>
      <c r="P2382">
        <v>2026</v>
      </c>
    </row>
    <row r="2383" spans="1:16" hidden="1" x14ac:dyDescent="0.25">
      <c r="A2383" s="96" t="s">
        <v>171</v>
      </c>
      <c r="B2383" s="96" t="s">
        <v>257</v>
      </c>
      <c r="C2383" s="96" t="s">
        <v>6000</v>
      </c>
      <c r="D2383" s="96" t="s">
        <v>223</v>
      </c>
      <c r="E2383" s="43">
        <v>45958</v>
      </c>
      <c r="F2383" s="43">
        <v>46021</v>
      </c>
      <c r="G2383" s="96" t="s">
        <v>92</v>
      </c>
      <c r="H2383" s="96" t="s">
        <v>6001</v>
      </c>
      <c r="I2383" s="96" t="s">
        <v>228</v>
      </c>
      <c r="J2383" s="96" t="s">
        <v>199</v>
      </c>
      <c r="K2383" s="96" t="s">
        <v>157</v>
      </c>
      <c r="L2383">
        <v>63</v>
      </c>
      <c r="M2383" t="s">
        <v>28</v>
      </c>
      <c r="N2383" t="s">
        <v>16</v>
      </c>
      <c r="O2383" t="s">
        <v>151</v>
      </c>
      <c r="P2383">
        <v>2025</v>
      </c>
    </row>
    <row r="2384" spans="1:16" x14ac:dyDescent="0.25">
      <c r="A2384" s="96" t="s">
        <v>2</v>
      </c>
      <c r="B2384" s="96" t="s">
        <v>196</v>
      </c>
      <c r="C2384" s="96" t="s">
        <v>6002</v>
      </c>
      <c r="D2384" s="96" t="s">
        <v>40</v>
      </c>
      <c r="E2384" s="43">
        <v>46111</v>
      </c>
      <c r="F2384" s="43">
        <v>46146</v>
      </c>
      <c r="G2384" s="96" t="s">
        <v>92</v>
      </c>
      <c r="H2384" s="96" t="s">
        <v>6003</v>
      </c>
      <c r="I2384" s="96" t="s">
        <v>204</v>
      </c>
      <c r="J2384" s="96" t="s">
        <v>168</v>
      </c>
      <c r="K2384" s="96" t="s">
        <v>217</v>
      </c>
      <c r="L2384">
        <v>35</v>
      </c>
      <c r="M2384" t="s">
        <v>24</v>
      </c>
      <c r="N2384" t="s">
        <v>35</v>
      </c>
      <c r="O2384" t="s">
        <v>152</v>
      </c>
      <c r="P2384">
        <v>2026</v>
      </c>
    </row>
    <row r="2385" spans="1:16" hidden="1" x14ac:dyDescent="0.25">
      <c r="A2385" s="96" t="s">
        <v>2</v>
      </c>
      <c r="B2385" s="96" t="s">
        <v>255</v>
      </c>
      <c r="C2385" s="96" t="s">
        <v>2335</v>
      </c>
      <c r="D2385" s="96" t="s">
        <v>192</v>
      </c>
      <c r="E2385" s="43">
        <v>45698</v>
      </c>
      <c r="F2385" s="43">
        <v>45717</v>
      </c>
      <c r="G2385" s="96" t="s">
        <v>92</v>
      </c>
      <c r="H2385" s="96" t="s">
        <v>6004</v>
      </c>
      <c r="I2385" s="96" t="s">
        <v>9</v>
      </c>
      <c r="J2385" s="96" t="s">
        <v>98</v>
      </c>
      <c r="K2385" s="96" t="s">
        <v>157</v>
      </c>
      <c r="L2385">
        <v>19</v>
      </c>
      <c r="M2385" t="s">
        <v>19</v>
      </c>
      <c r="N2385" t="s">
        <v>188</v>
      </c>
      <c r="O2385" t="s">
        <v>150</v>
      </c>
      <c r="P2385">
        <v>2025</v>
      </c>
    </row>
    <row r="2386" spans="1:16" hidden="1" x14ac:dyDescent="0.25">
      <c r="A2386" s="96" t="s">
        <v>2</v>
      </c>
      <c r="B2386" s="96" t="s">
        <v>231</v>
      </c>
      <c r="C2386" s="96" t="s">
        <v>2336</v>
      </c>
      <c r="D2386" s="96" t="s">
        <v>10</v>
      </c>
      <c r="E2386" s="43">
        <v>45849</v>
      </c>
      <c r="F2386" s="43">
        <v>45913</v>
      </c>
      <c r="G2386" s="96" t="s">
        <v>92</v>
      </c>
      <c r="H2386" s="96" t="s">
        <v>6005</v>
      </c>
      <c r="I2386" s="96" t="s">
        <v>9</v>
      </c>
      <c r="J2386" s="96" t="s">
        <v>174</v>
      </c>
      <c r="K2386" s="96" t="s">
        <v>195</v>
      </c>
      <c r="L2386">
        <v>64</v>
      </c>
      <c r="M2386" t="s">
        <v>28</v>
      </c>
      <c r="N2386" t="s">
        <v>187</v>
      </c>
      <c r="O2386" t="s">
        <v>170</v>
      </c>
      <c r="P2386">
        <v>2025</v>
      </c>
    </row>
    <row r="2387" spans="1:16" hidden="1" x14ac:dyDescent="0.25">
      <c r="A2387" s="96" t="s">
        <v>2</v>
      </c>
      <c r="B2387" s="96" t="s">
        <v>251</v>
      </c>
      <c r="C2387" s="96" t="s">
        <v>2337</v>
      </c>
      <c r="D2387" s="96" t="s">
        <v>10</v>
      </c>
      <c r="E2387" s="43">
        <v>45837</v>
      </c>
      <c r="F2387" s="43">
        <v>45932</v>
      </c>
      <c r="G2387" s="96" t="s">
        <v>92</v>
      </c>
      <c r="H2387" s="96" t="s">
        <v>6006</v>
      </c>
      <c r="I2387" s="96" t="s">
        <v>204</v>
      </c>
      <c r="J2387" s="96" t="s">
        <v>165</v>
      </c>
      <c r="K2387" s="96" t="s">
        <v>205</v>
      </c>
      <c r="L2387">
        <v>95</v>
      </c>
      <c r="M2387" t="s">
        <v>28</v>
      </c>
      <c r="N2387" t="s">
        <v>184</v>
      </c>
      <c r="O2387" t="s">
        <v>170</v>
      </c>
      <c r="P2387">
        <v>2025</v>
      </c>
    </row>
    <row r="2388" spans="1:16" x14ac:dyDescent="0.25">
      <c r="A2388" s="96" t="s">
        <v>2</v>
      </c>
      <c r="B2388" s="96" t="s">
        <v>261</v>
      </c>
      <c r="C2388" s="96" t="s">
        <v>6007</v>
      </c>
      <c r="D2388" s="96" t="s">
        <v>192</v>
      </c>
      <c r="E2388" s="43">
        <v>46037</v>
      </c>
      <c r="F2388" s="43">
        <v>46137</v>
      </c>
      <c r="G2388" s="96" t="s">
        <v>92</v>
      </c>
      <c r="H2388" s="96" t="s">
        <v>6008</v>
      </c>
      <c r="I2388" s="96" t="s">
        <v>194</v>
      </c>
      <c r="J2388" s="96" t="s">
        <v>174</v>
      </c>
      <c r="K2388" s="96" t="s">
        <v>157</v>
      </c>
      <c r="L2388">
        <v>100</v>
      </c>
      <c r="M2388" t="s">
        <v>28</v>
      </c>
      <c r="N2388" t="s">
        <v>29</v>
      </c>
      <c r="O2388" t="s">
        <v>151</v>
      </c>
      <c r="P2388">
        <v>2026</v>
      </c>
    </row>
    <row r="2389" spans="1:16" x14ac:dyDescent="0.25">
      <c r="A2389" s="96" t="s">
        <v>2</v>
      </c>
      <c r="B2389" s="96" t="s">
        <v>288</v>
      </c>
      <c r="C2389" s="96" t="s">
        <v>6009</v>
      </c>
      <c r="D2389" s="96" t="s">
        <v>237</v>
      </c>
      <c r="E2389" s="43">
        <v>46106</v>
      </c>
      <c r="F2389" s="43">
        <v>46148</v>
      </c>
      <c r="G2389" s="96" t="s">
        <v>90</v>
      </c>
      <c r="H2389" s="96" t="s">
        <v>6010</v>
      </c>
      <c r="I2389" s="96" t="s">
        <v>225</v>
      </c>
      <c r="J2389" s="96" t="s">
        <v>177</v>
      </c>
      <c r="K2389" s="96" t="s">
        <v>246</v>
      </c>
      <c r="L2389">
        <v>42</v>
      </c>
      <c r="M2389" t="s">
        <v>24</v>
      </c>
      <c r="N2389" t="s">
        <v>35</v>
      </c>
      <c r="O2389" t="s">
        <v>170</v>
      </c>
      <c r="P2389">
        <v>2026</v>
      </c>
    </row>
    <row r="2390" spans="1:16" hidden="1" x14ac:dyDescent="0.25">
      <c r="A2390" s="96" t="s">
        <v>21</v>
      </c>
      <c r="B2390" s="96" t="s">
        <v>231</v>
      </c>
      <c r="C2390" s="96" t="s">
        <v>6011</v>
      </c>
      <c r="D2390" s="96" t="s">
        <v>192</v>
      </c>
      <c r="E2390" s="43">
        <v>45955</v>
      </c>
      <c r="F2390" s="43">
        <v>46038</v>
      </c>
      <c r="G2390" s="96" t="s">
        <v>90</v>
      </c>
      <c r="H2390" s="96" t="s">
        <v>6012</v>
      </c>
      <c r="I2390" s="96" t="s">
        <v>194</v>
      </c>
      <c r="J2390" s="96" t="s">
        <v>216</v>
      </c>
      <c r="K2390" s="96" t="s">
        <v>157</v>
      </c>
      <c r="L2390">
        <v>83</v>
      </c>
      <c r="M2390" t="s">
        <v>28</v>
      </c>
      <c r="N2390" t="s">
        <v>16</v>
      </c>
      <c r="O2390" t="s">
        <v>170</v>
      </c>
      <c r="P2390">
        <v>2025</v>
      </c>
    </row>
    <row r="2391" spans="1:16" x14ac:dyDescent="0.25">
      <c r="A2391" s="96" t="s">
        <v>2</v>
      </c>
      <c r="B2391" s="96" t="s">
        <v>290</v>
      </c>
      <c r="C2391" s="96" t="s">
        <v>2338</v>
      </c>
      <c r="D2391" s="96" t="s">
        <v>34</v>
      </c>
      <c r="E2391" s="43">
        <v>46108</v>
      </c>
      <c r="F2391" s="43">
        <v>46110</v>
      </c>
      <c r="G2391" s="96" t="s">
        <v>92</v>
      </c>
      <c r="H2391" s="96" t="s">
        <v>6013</v>
      </c>
      <c r="I2391" s="96" t="s">
        <v>228</v>
      </c>
      <c r="J2391" s="96" t="s">
        <v>176</v>
      </c>
      <c r="K2391" s="96" t="s">
        <v>210</v>
      </c>
      <c r="L2391">
        <v>2</v>
      </c>
      <c r="M2391" t="s">
        <v>11</v>
      </c>
      <c r="N2391" t="s">
        <v>35</v>
      </c>
      <c r="O2391" t="s">
        <v>149</v>
      </c>
      <c r="P2391">
        <v>2026</v>
      </c>
    </row>
    <row r="2392" spans="1:16" x14ac:dyDescent="0.25">
      <c r="A2392" s="96" t="s">
        <v>189</v>
      </c>
      <c r="B2392" s="96" t="s">
        <v>219</v>
      </c>
      <c r="C2392" s="96" t="s">
        <v>2339</v>
      </c>
      <c r="D2392" s="96" t="s">
        <v>34</v>
      </c>
      <c r="E2392" s="43">
        <v>46029</v>
      </c>
      <c r="F2392" s="43">
        <v>46117</v>
      </c>
      <c r="G2392" s="96" t="s">
        <v>92</v>
      </c>
      <c r="H2392" s="96" t="s">
        <v>6014</v>
      </c>
      <c r="I2392" s="96" t="s">
        <v>194</v>
      </c>
      <c r="J2392" s="96" t="s">
        <v>97</v>
      </c>
      <c r="K2392" s="96" t="s">
        <v>210</v>
      </c>
      <c r="L2392">
        <v>88</v>
      </c>
      <c r="M2392" t="s">
        <v>28</v>
      </c>
      <c r="N2392" t="s">
        <v>29</v>
      </c>
      <c r="O2392" t="s">
        <v>149</v>
      </c>
      <c r="P2392">
        <v>2026</v>
      </c>
    </row>
    <row r="2393" spans="1:16" hidden="1" x14ac:dyDescent="0.25">
      <c r="A2393" s="96" t="s">
        <v>2</v>
      </c>
      <c r="B2393" s="96" t="s">
        <v>264</v>
      </c>
      <c r="C2393" s="96" t="s">
        <v>2340</v>
      </c>
      <c r="D2393" s="96" t="s">
        <v>223</v>
      </c>
      <c r="E2393" s="43">
        <v>45739</v>
      </c>
      <c r="F2393" s="43">
        <v>45784</v>
      </c>
      <c r="G2393" s="96" t="s">
        <v>92</v>
      </c>
      <c r="H2393" s="96" t="s">
        <v>6015</v>
      </c>
      <c r="I2393" s="96" t="s">
        <v>194</v>
      </c>
      <c r="J2393" s="96" t="s">
        <v>216</v>
      </c>
      <c r="K2393" s="96" t="s">
        <v>233</v>
      </c>
      <c r="L2393">
        <v>45</v>
      </c>
      <c r="M2393" t="s">
        <v>24</v>
      </c>
      <c r="N2393" t="s">
        <v>186</v>
      </c>
      <c r="O2393" t="s">
        <v>152</v>
      </c>
      <c r="P2393">
        <v>2025</v>
      </c>
    </row>
    <row r="2394" spans="1:16" hidden="1" x14ac:dyDescent="0.25">
      <c r="A2394" s="96" t="s">
        <v>2</v>
      </c>
      <c r="B2394" s="96" t="s">
        <v>238</v>
      </c>
      <c r="C2394" s="96" t="s">
        <v>2341</v>
      </c>
      <c r="D2394" s="96" t="s">
        <v>203</v>
      </c>
      <c r="E2394" s="43">
        <v>45917</v>
      </c>
      <c r="F2394" s="43">
        <v>46003</v>
      </c>
      <c r="G2394" s="96" t="s">
        <v>92</v>
      </c>
      <c r="H2394" s="96" t="s">
        <v>6016</v>
      </c>
      <c r="I2394" s="96" t="s">
        <v>157</v>
      </c>
      <c r="J2394" s="96" t="s">
        <v>172</v>
      </c>
      <c r="K2394" s="96" t="s">
        <v>200</v>
      </c>
      <c r="L2394">
        <v>86</v>
      </c>
      <c r="M2394" t="s">
        <v>28</v>
      </c>
      <c r="N2394" t="s">
        <v>12</v>
      </c>
      <c r="O2394" t="s">
        <v>170</v>
      </c>
      <c r="P2394">
        <v>2025</v>
      </c>
    </row>
    <row r="2395" spans="1:16" hidden="1" x14ac:dyDescent="0.25">
      <c r="A2395" s="96" t="s">
        <v>2</v>
      </c>
      <c r="B2395" s="96" t="s">
        <v>251</v>
      </c>
      <c r="C2395" s="96" t="s">
        <v>2343</v>
      </c>
      <c r="D2395" s="96" t="s">
        <v>203</v>
      </c>
      <c r="E2395" s="43">
        <v>45755</v>
      </c>
      <c r="F2395" s="43">
        <v>45865</v>
      </c>
      <c r="G2395" s="96" t="s">
        <v>92</v>
      </c>
      <c r="H2395" s="96" t="s">
        <v>6017</v>
      </c>
      <c r="I2395" s="96" t="s">
        <v>9</v>
      </c>
      <c r="J2395" s="96" t="s">
        <v>174</v>
      </c>
      <c r="K2395" s="96" t="s">
        <v>217</v>
      </c>
      <c r="L2395">
        <v>110</v>
      </c>
      <c r="M2395" t="s">
        <v>28</v>
      </c>
      <c r="N2395" t="s">
        <v>185</v>
      </c>
      <c r="O2395" t="s">
        <v>170</v>
      </c>
      <c r="P2395">
        <v>2025</v>
      </c>
    </row>
    <row r="2396" spans="1:16" hidden="1" x14ac:dyDescent="0.25">
      <c r="A2396" s="96" t="s">
        <v>2</v>
      </c>
      <c r="B2396" s="96" t="s">
        <v>211</v>
      </c>
      <c r="C2396" s="96" t="s">
        <v>2344</v>
      </c>
      <c r="D2396" s="96" t="s">
        <v>208</v>
      </c>
      <c r="E2396" s="43">
        <v>45941</v>
      </c>
      <c r="F2396" s="43">
        <v>45999</v>
      </c>
      <c r="G2396" s="96" t="s">
        <v>95</v>
      </c>
      <c r="H2396" s="96" t="s">
        <v>6018</v>
      </c>
      <c r="I2396" s="96" t="s">
        <v>228</v>
      </c>
      <c r="J2396" s="96" t="s">
        <v>98</v>
      </c>
      <c r="K2396" s="96" t="s">
        <v>210</v>
      </c>
      <c r="L2396">
        <v>58</v>
      </c>
      <c r="M2396" t="s">
        <v>24</v>
      </c>
      <c r="N2396" t="s">
        <v>16</v>
      </c>
      <c r="O2396" t="s">
        <v>170</v>
      </c>
      <c r="P2396">
        <v>2025</v>
      </c>
    </row>
    <row r="2397" spans="1:16" x14ac:dyDescent="0.25">
      <c r="A2397" s="96" t="s">
        <v>2</v>
      </c>
      <c r="B2397" s="96" t="s">
        <v>201</v>
      </c>
      <c r="C2397" s="96" t="s">
        <v>2345</v>
      </c>
      <c r="D2397" s="96" t="s">
        <v>237</v>
      </c>
      <c r="E2397" s="43">
        <v>46118</v>
      </c>
      <c r="F2397" s="43">
        <v>46150</v>
      </c>
      <c r="G2397" s="96" t="s">
        <v>90</v>
      </c>
      <c r="H2397" s="96" t="s">
        <v>6019</v>
      </c>
      <c r="I2397" s="96" t="s">
        <v>157</v>
      </c>
      <c r="J2397" s="96" t="s">
        <v>169</v>
      </c>
      <c r="K2397" s="96" t="s">
        <v>233</v>
      </c>
      <c r="L2397">
        <v>32</v>
      </c>
      <c r="M2397" t="s">
        <v>24</v>
      </c>
      <c r="N2397" t="s">
        <v>37</v>
      </c>
      <c r="O2397" t="s">
        <v>170</v>
      </c>
      <c r="P2397">
        <v>2026</v>
      </c>
    </row>
    <row r="2398" spans="1:16" hidden="1" x14ac:dyDescent="0.25">
      <c r="A2398" s="96" t="s">
        <v>2</v>
      </c>
      <c r="B2398" s="96" t="s">
        <v>280</v>
      </c>
      <c r="C2398" s="96" t="s">
        <v>2346</v>
      </c>
      <c r="D2398" s="96" t="s">
        <v>208</v>
      </c>
      <c r="E2398" s="43">
        <v>45740</v>
      </c>
      <c r="F2398" s="43">
        <v>45766</v>
      </c>
      <c r="G2398" s="96" t="s">
        <v>90</v>
      </c>
      <c r="H2398" s="96" t="s">
        <v>6020</v>
      </c>
      <c r="I2398" s="96" t="s">
        <v>194</v>
      </c>
      <c r="J2398" s="96" t="s">
        <v>97</v>
      </c>
      <c r="K2398" s="96" t="s">
        <v>200</v>
      </c>
      <c r="L2398">
        <v>26</v>
      </c>
      <c r="M2398" t="s">
        <v>19</v>
      </c>
      <c r="N2398" t="s">
        <v>186</v>
      </c>
      <c r="O2398" t="s">
        <v>170</v>
      </c>
      <c r="P2398">
        <v>2025</v>
      </c>
    </row>
    <row r="2399" spans="1:16" hidden="1" x14ac:dyDescent="0.25">
      <c r="A2399" s="96" t="s">
        <v>2</v>
      </c>
      <c r="B2399" s="96" t="s">
        <v>255</v>
      </c>
      <c r="C2399" s="96" t="s">
        <v>2347</v>
      </c>
      <c r="D2399" s="96" t="s">
        <v>208</v>
      </c>
      <c r="E2399" s="43">
        <v>45887</v>
      </c>
      <c r="F2399" s="43">
        <v>45988</v>
      </c>
      <c r="G2399" s="96" t="s">
        <v>90</v>
      </c>
      <c r="H2399" s="96" t="s">
        <v>6021</v>
      </c>
      <c r="I2399" s="96" t="s">
        <v>209</v>
      </c>
      <c r="J2399" s="96" t="s">
        <v>173</v>
      </c>
      <c r="K2399" s="96" t="s">
        <v>200</v>
      </c>
      <c r="L2399">
        <v>101</v>
      </c>
      <c r="M2399" t="s">
        <v>28</v>
      </c>
      <c r="N2399" t="s">
        <v>8</v>
      </c>
      <c r="O2399" t="s">
        <v>150</v>
      </c>
      <c r="P2399">
        <v>2025</v>
      </c>
    </row>
    <row r="2400" spans="1:16" x14ac:dyDescent="0.25">
      <c r="A2400" s="96" t="s">
        <v>2</v>
      </c>
      <c r="B2400" s="96" t="s">
        <v>244</v>
      </c>
      <c r="C2400" s="96" t="s">
        <v>2348</v>
      </c>
      <c r="D2400" s="96" t="s">
        <v>203</v>
      </c>
      <c r="E2400" s="43">
        <v>46098</v>
      </c>
      <c r="F2400" s="43">
        <v>46104</v>
      </c>
      <c r="G2400" s="96" t="s">
        <v>90</v>
      </c>
      <c r="H2400" s="96" t="s">
        <v>6022</v>
      </c>
      <c r="I2400" s="96" t="s">
        <v>9</v>
      </c>
      <c r="J2400" s="96" t="s">
        <v>172</v>
      </c>
      <c r="K2400" s="96" t="s">
        <v>157</v>
      </c>
      <c r="L2400">
        <v>6</v>
      </c>
      <c r="M2400" t="s">
        <v>11</v>
      </c>
      <c r="N2400" t="s">
        <v>35</v>
      </c>
      <c r="O2400" t="s">
        <v>150</v>
      </c>
      <c r="P2400">
        <v>2026</v>
      </c>
    </row>
    <row r="2401" spans="1:16" x14ac:dyDescent="0.25">
      <c r="A2401" s="96" t="s">
        <v>2</v>
      </c>
      <c r="B2401" s="96" t="s">
        <v>234</v>
      </c>
      <c r="C2401" s="96" t="s">
        <v>6023</v>
      </c>
      <c r="D2401" s="96" t="s">
        <v>34</v>
      </c>
      <c r="E2401" s="43">
        <v>46106</v>
      </c>
      <c r="F2401" s="43">
        <v>46148</v>
      </c>
      <c r="G2401" s="96" t="s">
        <v>92</v>
      </c>
      <c r="H2401" s="96" t="s">
        <v>6024</v>
      </c>
      <c r="I2401" s="96" t="s">
        <v>9</v>
      </c>
      <c r="J2401" s="96" t="s">
        <v>169</v>
      </c>
      <c r="K2401" s="96" t="s">
        <v>195</v>
      </c>
      <c r="L2401">
        <v>42</v>
      </c>
      <c r="M2401" t="s">
        <v>24</v>
      </c>
      <c r="N2401" t="s">
        <v>35</v>
      </c>
      <c r="O2401" t="s">
        <v>150</v>
      </c>
      <c r="P2401">
        <v>2026</v>
      </c>
    </row>
    <row r="2402" spans="1:16" hidden="1" x14ac:dyDescent="0.25">
      <c r="A2402" s="96" t="s">
        <v>2</v>
      </c>
      <c r="B2402" s="96" t="s">
        <v>251</v>
      </c>
      <c r="C2402" s="96" t="s">
        <v>2349</v>
      </c>
      <c r="D2402" s="96" t="s">
        <v>223</v>
      </c>
      <c r="E2402" s="43">
        <v>45925</v>
      </c>
      <c r="F2402" s="43">
        <v>46011</v>
      </c>
      <c r="G2402" s="96" t="s">
        <v>90</v>
      </c>
      <c r="H2402" s="96" t="s">
        <v>6025</v>
      </c>
      <c r="I2402" s="96" t="s">
        <v>209</v>
      </c>
      <c r="J2402" s="96" t="s">
        <v>176</v>
      </c>
      <c r="K2402" s="96" t="s">
        <v>217</v>
      </c>
      <c r="L2402">
        <v>86</v>
      </c>
      <c r="M2402" t="s">
        <v>28</v>
      </c>
      <c r="N2402" t="s">
        <v>12</v>
      </c>
      <c r="O2402" t="s">
        <v>170</v>
      </c>
      <c r="P2402">
        <v>2025</v>
      </c>
    </row>
    <row r="2403" spans="1:16" hidden="1" x14ac:dyDescent="0.25">
      <c r="A2403" s="96" t="s">
        <v>2</v>
      </c>
      <c r="B2403" s="96" t="s">
        <v>231</v>
      </c>
      <c r="C2403" s="96" t="s">
        <v>2350</v>
      </c>
      <c r="D2403" s="96" t="s">
        <v>237</v>
      </c>
      <c r="E2403" s="43">
        <v>45675</v>
      </c>
      <c r="F2403" s="43">
        <v>45758</v>
      </c>
      <c r="G2403" s="96" t="s">
        <v>92</v>
      </c>
      <c r="H2403" s="96" t="s">
        <v>6026</v>
      </c>
      <c r="I2403" s="96" t="s">
        <v>204</v>
      </c>
      <c r="J2403" s="96" t="s">
        <v>96</v>
      </c>
      <c r="K2403" s="96" t="s">
        <v>205</v>
      </c>
      <c r="L2403">
        <v>83</v>
      </c>
      <c r="M2403" t="s">
        <v>28</v>
      </c>
      <c r="N2403" t="s">
        <v>181</v>
      </c>
      <c r="O2403" t="s">
        <v>170</v>
      </c>
      <c r="P2403">
        <v>2025</v>
      </c>
    </row>
    <row r="2404" spans="1:16" hidden="1" x14ac:dyDescent="0.25">
      <c r="A2404" s="96" t="s">
        <v>189</v>
      </c>
      <c r="B2404" s="96" t="s">
        <v>221</v>
      </c>
      <c r="C2404" s="96" t="s">
        <v>2351</v>
      </c>
      <c r="D2404" s="96" t="s">
        <v>215</v>
      </c>
      <c r="E2404" s="43">
        <v>45990</v>
      </c>
      <c r="F2404" s="43">
        <v>46035</v>
      </c>
      <c r="G2404" s="96" t="s">
        <v>92</v>
      </c>
      <c r="H2404" s="96" t="s">
        <v>6027</v>
      </c>
      <c r="I2404" s="96" t="s">
        <v>228</v>
      </c>
      <c r="J2404" s="96" t="s">
        <v>91</v>
      </c>
      <c r="K2404" s="96" t="s">
        <v>217</v>
      </c>
      <c r="L2404">
        <v>45</v>
      </c>
      <c r="M2404" t="s">
        <v>24</v>
      </c>
      <c r="N2404" t="s">
        <v>20</v>
      </c>
      <c r="O2404" t="s">
        <v>170</v>
      </c>
      <c r="P2404">
        <v>2025</v>
      </c>
    </row>
    <row r="2405" spans="1:16" x14ac:dyDescent="0.25">
      <c r="A2405" s="96" t="s">
        <v>2</v>
      </c>
      <c r="B2405" s="96" t="s">
        <v>218</v>
      </c>
      <c r="C2405" s="96" t="s">
        <v>2352</v>
      </c>
      <c r="D2405" s="96" t="s">
        <v>40</v>
      </c>
      <c r="E2405" s="43">
        <v>46031</v>
      </c>
      <c r="F2405" s="43">
        <v>46065</v>
      </c>
      <c r="G2405" s="96" t="s">
        <v>95</v>
      </c>
      <c r="H2405" s="96" t="s">
        <v>2290</v>
      </c>
      <c r="I2405" s="96" t="s">
        <v>209</v>
      </c>
      <c r="J2405" s="96" t="s">
        <v>98</v>
      </c>
      <c r="K2405" s="96" t="s">
        <v>157</v>
      </c>
      <c r="L2405">
        <v>34</v>
      </c>
      <c r="M2405" t="s">
        <v>24</v>
      </c>
      <c r="N2405" t="s">
        <v>29</v>
      </c>
      <c r="O2405" t="s">
        <v>152</v>
      </c>
      <c r="P2405">
        <v>2026</v>
      </c>
    </row>
    <row r="2406" spans="1:16" x14ac:dyDescent="0.25">
      <c r="A2406" s="96" t="s">
        <v>2</v>
      </c>
      <c r="B2406" s="96" t="s">
        <v>244</v>
      </c>
      <c r="C2406" s="96" t="s">
        <v>2354</v>
      </c>
      <c r="D2406" s="96" t="s">
        <v>14</v>
      </c>
      <c r="E2406" s="43">
        <v>46129</v>
      </c>
      <c r="F2406" s="43">
        <v>46146</v>
      </c>
      <c r="G2406" s="96" t="s">
        <v>92</v>
      </c>
      <c r="H2406" s="96" t="s">
        <v>2291</v>
      </c>
      <c r="I2406" s="96" t="s">
        <v>209</v>
      </c>
      <c r="J2406" s="96" t="s">
        <v>93</v>
      </c>
      <c r="K2406" s="96" t="s">
        <v>195</v>
      </c>
      <c r="L2406">
        <v>17</v>
      </c>
      <c r="M2406" t="s">
        <v>19</v>
      </c>
      <c r="N2406" t="s">
        <v>37</v>
      </c>
      <c r="O2406" t="s">
        <v>150</v>
      </c>
      <c r="P2406">
        <v>2026</v>
      </c>
    </row>
    <row r="2407" spans="1:16" hidden="1" x14ac:dyDescent="0.25">
      <c r="A2407" s="96" t="s">
        <v>2</v>
      </c>
      <c r="B2407" s="96" t="s">
        <v>322</v>
      </c>
      <c r="C2407" s="96" t="s">
        <v>6028</v>
      </c>
      <c r="D2407" s="96" t="s">
        <v>14</v>
      </c>
      <c r="E2407" s="43">
        <v>45915</v>
      </c>
      <c r="F2407" s="43">
        <v>45973</v>
      </c>
      <c r="G2407" s="96" t="s">
        <v>92</v>
      </c>
      <c r="H2407" s="96" t="s">
        <v>6029</v>
      </c>
      <c r="I2407" s="96" t="s">
        <v>194</v>
      </c>
      <c r="J2407" s="96" t="s">
        <v>283</v>
      </c>
      <c r="K2407" s="96" t="s">
        <v>157</v>
      </c>
      <c r="L2407">
        <v>58</v>
      </c>
      <c r="M2407" t="s">
        <v>24</v>
      </c>
      <c r="N2407" t="s">
        <v>12</v>
      </c>
      <c r="O2407" t="s">
        <v>150</v>
      </c>
      <c r="P2407">
        <v>2025</v>
      </c>
    </row>
    <row r="2408" spans="1:16" x14ac:dyDescent="0.25">
      <c r="A2408" s="96" t="s">
        <v>175</v>
      </c>
      <c r="B2408" s="96" t="s">
        <v>305</v>
      </c>
      <c r="C2408" s="96" t="s">
        <v>6030</v>
      </c>
      <c r="D2408" s="96" t="s">
        <v>34</v>
      </c>
      <c r="E2408" s="43">
        <v>46049</v>
      </c>
      <c r="F2408" s="43">
        <v>46078</v>
      </c>
      <c r="G2408" s="96" t="s">
        <v>92</v>
      </c>
      <c r="H2408" s="96" t="s">
        <v>6031</v>
      </c>
      <c r="I2408" s="96" t="s">
        <v>228</v>
      </c>
      <c r="J2408" s="96" t="s">
        <v>199</v>
      </c>
      <c r="K2408" s="96" t="s">
        <v>200</v>
      </c>
      <c r="L2408">
        <v>29</v>
      </c>
      <c r="M2408" t="s">
        <v>19</v>
      </c>
      <c r="N2408" t="s">
        <v>29</v>
      </c>
      <c r="O2408" t="s">
        <v>170</v>
      </c>
      <c r="P2408">
        <v>2026</v>
      </c>
    </row>
    <row r="2409" spans="1:16" x14ac:dyDescent="0.25">
      <c r="A2409" s="96" t="s">
        <v>2</v>
      </c>
      <c r="B2409" s="96" t="s">
        <v>305</v>
      </c>
      <c r="C2409" s="96" t="s">
        <v>2357</v>
      </c>
      <c r="D2409" s="96" t="s">
        <v>34</v>
      </c>
      <c r="E2409" s="43">
        <v>46079</v>
      </c>
      <c r="F2409" s="43">
        <v>46133</v>
      </c>
      <c r="G2409" s="96" t="s">
        <v>92</v>
      </c>
      <c r="H2409" s="96" t="s">
        <v>6032</v>
      </c>
      <c r="I2409" s="96" t="s">
        <v>157</v>
      </c>
      <c r="J2409" s="96" t="s">
        <v>229</v>
      </c>
      <c r="K2409" s="96" t="s">
        <v>200</v>
      </c>
      <c r="L2409">
        <v>54</v>
      </c>
      <c r="M2409" t="s">
        <v>24</v>
      </c>
      <c r="N2409" t="s">
        <v>32</v>
      </c>
      <c r="O2409" t="s">
        <v>170</v>
      </c>
      <c r="P2409">
        <v>2026</v>
      </c>
    </row>
    <row r="2410" spans="1:16" x14ac:dyDescent="0.25">
      <c r="A2410" s="96" t="s">
        <v>2</v>
      </c>
      <c r="B2410" s="96" t="s">
        <v>218</v>
      </c>
      <c r="C2410" s="96" t="s">
        <v>6033</v>
      </c>
      <c r="D2410" s="96" t="s">
        <v>192</v>
      </c>
      <c r="E2410" s="43">
        <v>46102</v>
      </c>
      <c r="F2410" s="43">
        <v>46149</v>
      </c>
      <c r="G2410" s="96" t="s">
        <v>90</v>
      </c>
      <c r="H2410" s="96" t="s">
        <v>6034</v>
      </c>
      <c r="I2410" s="96" t="s">
        <v>157</v>
      </c>
      <c r="J2410" s="96" t="s">
        <v>93</v>
      </c>
      <c r="K2410" s="96" t="s">
        <v>233</v>
      </c>
      <c r="L2410">
        <v>47</v>
      </c>
      <c r="M2410" t="s">
        <v>24</v>
      </c>
      <c r="N2410" t="s">
        <v>35</v>
      </c>
      <c r="O2410" t="s">
        <v>152</v>
      </c>
      <c r="P2410">
        <v>2026</v>
      </c>
    </row>
    <row r="2411" spans="1:16" hidden="1" x14ac:dyDescent="0.25">
      <c r="A2411" s="96" t="s">
        <v>2</v>
      </c>
      <c r="B2411" s="96" t="s">
        <v>322</v>
      </c>
      <c r="C2411" s="96" t="s">
        <v>2359</v>
      </c>
      <c r="D2411" s="96" t="s">
        <v>10</v>
      </c>
      <c r="E2411" s="43">
        <v>45776</v>
      </c>
      <c r="F2411" s="43">
        <v>45860</v>
      </c>
      <c r="G2411" s="96" t="s">
        <v>90</v>
      </c>
      <c r="H2411" s="96" t="s">
        <v>6035</v>
      </c>
      <c r="I2411" s="96" t="s">
        <v>204</v>
      </c>
      <c r="J2411" s="96" t="s">
        <v>229</v>
      </c>
      <c r="K2411" s="96" t="s">
        <v>217</v>
      </c>
      <c r="L2411">
        <v>84</v>
      </c>
      <c r="M2411" t="s">
        <v>28</v>
      </c>
      <c r="N2411" t="s">
        <v>185</v>
      </c>
      <c r="O2411" t="s">
        <v>150</v>
      </c>
      <c r="P2411">
        <v>2025</v>
      </c>
    </row>
    <row r="2412" spans="1:16" x14ac:dyDescent="0.25">
      <c r="A2412" s="96" t="s">
        <v>2</v>
      </c>
      <c r="B2412" s="96" t="s">
        <v>196</v>
      </c>
      <c r="C2412" s="96" t="s">
        <v>2361</v>
      </c>
      <c r="D2412" s="96" t="s">
        <v>40</v>
      </c>
      <c r="E2412" s="43">
        <v>46044</v>
      </c>
      <c r="F2412" s="43">
        <v>46078</v>
      </c>
      <c r="G2412" s="96" t="s">
        <v>92</v>
      </c>
      <c r="H2412" s="96" t="s">
        <v>6036</v>
      </c>
      <c r="I2412" s="96" t="s">
        <v>157</v>
      </c>
      <c r="J2412" s="96" t="s">
        <v>199</v>
      </c>
      <c r="K2412" s="96" t="s">
        <v>200</v>
      </c>
      <c r="L2412">
        <v>34</v>
      </c>
      <c r="M2412" t="s">
        <v>24</v>
      </c>
      <c r="N2412" t="s">
        <v>29</v>
      </c>
      <c r="O2412" t="s">
        <v>152</v>
      </c>
      <c r="P2412">
        <v>2026</v>
      </c>
    </row>
    <row r="2413" spans="1:16" x14ac:dyDescent="0.25">
      <c r="A2413" s="96" t="s">
        <v>175</v>
      </c>
      <c r="B2413" s="96" t="s">
        <v>288</v>
      </c>
      <c r="C2413" s="96" t="s">
        <v>6037</v>
      </c>
      <c r="D2413" s="96" t="s">
        <v>192</v>
      </c>
      <c r="E2413" s="43">
        <v>46057</v>
      </c>
      <c r="F2413" s="43">
        <v>46060</v>
      </c>
      <c r="G2413" s="96" t="s">
        <v>90</v>
      </c>
      <c r="H2413" s="96" t="s">
        <v>6038</v>
      </c>
      <c r="I2413" s="96" t="s">
        <v>194</v>
      </c>
      <c r="J2413" s="96" t="s">
        <v>174</v>
      </c>
      <c r="K2413" s="96" t="s">
        <v>210</v>
      </c>
      <c r="L2413">
        <v>3</v>
      </c>
      <c r="M2413" t="s">
        <v>11</v>
      </c>
      <c r="N2413" t="s">
        <v>32</v>
      </c>
      <c r="O2413" t="s">
        <v>170</v>
      </c>
      <c r="P2413">
        <v>2026</v>
      </c>
    </row>
    <row r="2414" spans="1:16" hidden="1" x14ac:dyDescent="0.25">
      <c r="A2414" s="96" t="s">
        <v>2</v>
      </c>
      <c r="B2414" s="96" t="s">
        <v>272</v>
      </c>
      <c r="C2414" s="96" t="s">
        <v>6039</v>
      </c>
      <c r="D2414" s="96" t="s">
        <v>40</v>
      </c>
      <c r="E2414" s="43">
        <v>45746</v>
      </c>
      <c r="F2414" s="43">
        <v>45851</v>
      </c>
      <c r="G2414" s="96" t="s">
        <v>90</v>
      </c>
      <c r="H2414" s="96" t="s">
        <v>6040</v>
      </c>
      <c r="I2414" s="96" t="s">
        <v>194</v>
      </c>
      <c r="J2414" s="96" t="s">
        <v>168</v>
      </c>
      <c r="K2414" s="96" t="s">
        <v>230</v>
      </c>
      <c r="L2414">
        <v>105</v>
      </c>
      <c r="M2414" t="s">
        <v>28</v>
      </c>
      <c r="N2414" t="s">
        <v>186</v>
      </c>
      <c r="O2414" t="s">
        <v>151</v>
      </c>
      <c r="P2414">
        <v>2025</v>
      </c>
    </row>
    <row r="2415" spans="1:16" x14ac:dyDescent="0.25">
      <c r="A2415" s="96" t="s">
        <v>2</v>
      </c>
      <c r="B2415" s="96" t="s">
        <v>226</v>
      </c>
      <c r="C2415" s="96" t="s">
        <v>2362</v>
      </c>
      <c r="D2415" s="96" t="s">
        <v>40</v>
      </c>
      <c r="E2415" s="43">
        <v>46067</v>
      </c>
      <c r="F2415" s="43">
        <v>46151</v>
      </c>
      <c r="G2415" s="96" t="s">
        <v>92</v>
      </c>
      <c r="H2415" s="96" t="s">
        <v>6041</v>
      </c>
      <c r="I2415" s="96" t="s">
        <v>9</v>
      </c>
      <c r="J2415" s="96" t="s">
        <v>229</v>
      </c>
      <c r="K2415" s="96" t="s">
        <v>205</v>
      </c>
      <c r="L2415">
        <v>84</v>
      </c>
      <c r="M2415" t="s">
        <v>28</v>
      </c>
      <c r="N2415" t="s">
        <v>32</v>
      </c>
      <c r="O2415" t="s">
        <v>151</v>
      </c>
      <c r="P2415">
        <v>2026</v>
      </c>
    </row>
    <row r="2416" spans="1:16" hidden="1" x14ac:dyDescent="0.25">
      <c r="A2416" s="96" t="s">
        <v>2</v>
      </c>
      <c r="B2416" s="96" t="s">
        <v>190</v>
      </c>
      <c r="C2416" s="96" t="s">
        <v>2363</v>
      </c>
      <c r="D2416" s="96" t="s">
        <v>34</v>
      </c>
      <c r="E2416" s="43">
        <v>45711</v>
      </c>
      <c r="F2416" s="43">
        <v>45805</v>
      </c>
      <c r="G2416" s="96" t="s">
        <v>92</v>
      </c>
      <c r="H2416" s="96" t="s">
        <v>6042</v>
      </c>
      <c r="I2416" s="96" t="s">
        <v>194</v>
      </c>
      <c r="J2416" s="96" t="s">
        <v>173</v>
      </c>
      <c r="K2416" s="96" t="s">
        <v>246</v>
      </c>
      <c r="L2416">
        <v>94</v>
      </c>
      <c r="M2416" t="s">
        <v>28</v>
      </c>
      <c r="N2416" t="s">
        <v>188</v>
      </c>
      <c r="O2416" t="s">
        <v>150</v>
      </c>
      <c r="P2416">
        <v>2025</v>
      </c>
    </row>
    <row r="2417" spans="1:16" hidden="1" x14ac:dyDescent="0.25">
      <c r="A2417" s="96" t="s">
        <v>21</v>
      </c>
      <c r="B2417" s="96" t="s">
        <v>264</v>
      </c>
      <c r="C2417" s="96" t="s">
        <v>2364</v>
      </c>
      <c r="D2417" s="96" t="s">
        <v>14</v>
      </c>
      <c r="E2417" s="43">
        <v>45877</v>
      </c>
      <c r="F2417" s="43">
        <v>45934</v>
      </c>
      <c r="G2417" s="96" t="s">
        <v>92</v>
      </c>
      <c r="H2417" s="96" t="s">
        <v>6043</v>
      </c>
      <c r="I2417" s="96" t="s">
        <v>228</v>
      </c>
      <c r="J2417" s="96" t="s">
        <v>96</v>
      </c>
      <c r="K2417" s="96" t="s">
        <v>217</v>
      </c>
      <c r="L2417">
        <v>57</v>
      </c>
      <c r="M2417" t="s">
        <v>24</v>
      </c>
      <c r="N2417" t="s">
        <v>8</v>
      </c>
      <c r="O2417" t="s">
        <v>152</v>
      </c>
      <c r="P2417">
        <v>2025</v>
      </c>
    </row>
    <row r="2418" spans="1:16" hidden="1" x14ac:dyDescent="0.25">
      <c r="A2418" s="96" t="s">
        <v>2</v>
      </c>
      <c r="B2418" s="96" t="s">
        <v>272</v>
      </c>
      <c r="C2418" s="96" t="s">
        <v>2365</v>
      </c>
      <c r="D2418" s="96" t="s">
        <v>40</v>
      </c>
      <c r="E2418" s="43">
        <v>45886</v>
      </c>
      <c r="F2418" s="43">
        <v>45968</v>
      </c>
      <c r="G2418" s="96" t="s">
        <v>92</v>
      </c>
      <c r="H2418" s="96" t="s">
        <v>6044</v>
      </c>
      <c r="I2418" s="96" t="s">
        <v>228</v>
      </c>
      <c r="J2418" s="96" t="s">
        <v>91</v>
      </c>
      <c r="K2418" s="96" t="s">
        <v>233</v>
      </c>
      <c r="L2418">
        <v>82</v>
      </c>
      <c r="M2418" t="s">
        <v>28</v>
      </c>
      <c r="N2418" t="s">
        <v>8</v>
      </c>
      <c r="O2418" t="s">
        <v>151</v>
      </c>
      <c r="P2418">
        <v>2025</v>
      </c>
    </row>
    <row r="2419" spans="1:16" hidden="1" x14ac:dyDescent="0.25">
      <c r="A2419" s="96" t="s">
        <v>2</v>
      </c>
      <c r="B2419" s="96" t="s">
        <v>206</v>
      </c>
      <c r="C2419" s="96" t="s">
        <v>2367</v>
      </c>
      <c r="D2419" s="96" t="s">
        <v>215</v>
      </c>
      <c r="E2419" s="43">
        <v>45963</v>
      </c>
      <c r="F2419" s="43">
        <v>45965</v>
      </c>
      <c r="G2419" s="96" t="s">
        <v>90</v>
      </c>
      <c r="H2419" s="96" t="s">
        <v>6045</v>
      </c>
      <c r="I2419" s="96" t="s">
        <v>225</v>
      </c>
      <c r="J2419" s="96" t="s">
        <v>91</v>
      </c>
      <c r="K2419" s="96" t="s">
        <v>233</v>
      </c>
      <c r="L2419">
        <v>2</v>
      </c>
      <c r="M2419" t="s">
        <v>11</v>
      </c>
      <c r="N2419" t="s">
        <v>20</v>
      </c>
      <c r="O2419" t="s">
        <v>152</v>
      </c>
      <c r="P2419">
        <v>2025</v>
      </c>
    </row>
    <row r="2420" spans="1:16" hidden="1" x14ac:dyDescent="0.25">
      <c r="A2420" s="96" t="s">
        <v>2</v>
      </c>
      <c r="B2420" s="96" t="s">
        <v>240</v>
      </c>
      <c r="C2420" s="96" t="s">
        <v>2369</v>
      </c>
      <c r="D2420" s="96" t="s">
        <v>34</v>
      </c>
      <c r="E2420" s="43">
        <v>45998</v>
      </c>
      <c r="F2420" s="43">
        <v>46112</v>
      </c>
      <c r="G2420" s="96" t="s">
        <v>92</v>
      </c>
      <c r="H2420" s="96" t="s">
        <v>6046</v>
      </c>
      <c r="I2420" s="96" t="s">
        <v>225</v>
      </c>
      <c r="J2420" s="96" t="s">
        <v>283</v>
      </c>
      <c r="K2420" s="96" t="s">
        <v>210</v>
      </c>
      <c r="L2420">
        <v>114</v>
      </c>
      <c r="M2420" t="s">
        <v>28</v>
      </c>
      <c r="N2420" t="s">
        <v>25</v>
      </c>
      <c r="O2420" t="s">
        <v>149</v>
      </c>
      <c r="P2420">
        <v>2025</v>
      </c>
    </row>
    <row r="2421" spans="1:16" hidden="1" x14ac:dyDescent="0.25">
      <c r="A2421" s="96" t="s">
        <v>2</v>
      </c>
      <c r="B2421" s="96" t="s">
        <v>231</v>
      </c>
      <c r="C2421" s="96" t="s">
        <v>6047</v>
      </c>
      <c r="D2421" s="96" t="s">
        <v>215</v>
      </c>
      <c r="E2421" s="43">
        <v>45719</v>
      </c>
      <c r="F2421" s="43">
        <v>45831</v>
      </c>
      <c r="G2421" s="96" t="s">
        <v>90</v>
      </c>
      <c r="H2421" s="96" t="s">
        <v>6048</v>
      </c>
      <c r="I2421" s="96" t="s">
        <v>9</v>
      </c>
      <c r="J2421" s="96" t="s">
        <v>199</v>
      </c>
      <c r="K2421" s="96" t="s">
        <v>200</v>
      </c>
      <c r="L2421">
        <v>112</v>
      </c>
      <c r="M2421" t="s">
        <v>28</v>
      </c>
      <c r="N2421" t="s">
        <v>186</v>
      </c>
      <c r="O2421" t="s">
        <v>170</v>
      </c>
      <c r="P2421">
        <v>2025</v>
      </c>
    </row>
    <row r="2422" spans="1:16" hidden="1" x14ac:dyDescent="0.25">
      <c r="A2422" s="96" t="s">
        <v>2</v>
      </c>
      <c r="B2422" s="96" t="s">
        <v>272</v>
      </c>
      <c r="C2422" s="96" t="s">
        <v>6049</v>
      </c>
      <c r="D2422" s="96" t="s">
        <v>237</v>
      </c>
      <c r="E2422" s="43">
        <v>45701</v>
      </c>
      <c r="F2422" s="43">
        <v>45704</v>
      </c>
      <c r="G2422" s="96" t="s">
        <v>92</v>
      </c>
      <c r="H2422" s="96" t="s">
        <v>2301</v>
      </c>
      <c r="I2422" s="96" t="s">
        <v>204</v>
      </c>
      <c r="J2422" s="96" t="s">
        <v>177</v>
      </c>
      <c r="K2422" s="96" t="s">
        <v>230</v>
      </c>
      <c r="L2422">
        <v>3</v>
      </c>
      <c r="M2422" t="s">
        <v>11</v>
      </c>
      <c r="N2422" t="s">
        <v>188</v>
      </c>
      <c r="O2422" t="s">
        <v>151</v>
      </c>
      <c r="P2422">
        <v>2025</v>
      </c>
    </row>
    <row r="2423" spans="1:16" hidden="1" x14ac:dyDescent="0.25">
      <c r="A2423" s="96" t="s">
        <v>2</v>
      </c>
      <c r="B2423" s="96" t="s">
        <v>190</v>
      </c>
      <c r="C2423" s="96" t="s">
        <v>2371</v>
      </c>
      <c r="D2423" s="96" t="s">
        <v>34</v>
      </c>
      <c r="E2423" s="43">
        <v>45730</v>
      </c>
      <c r="F2423" s="43">
        <v>45783</v>
      </c>
      <c r="G2423" s="96" t="s">
        <v>95</v>
      </c>
      <c r="H2423" s="96" t="s">
        <v>2303</v>
      </c>
      <c r="I2423" s="96" t="s">
        <v>204</v>
      </c>
      <c r="J2423" s="96" t="s">
        <v>199</v>
      </c>
      <c r="K2423" s="96" t="s">
        <v>157</v>
      </c>
      <c r="L2423">
        <v>53</v>
      </c>
      <c r="M2423" t="s">
        <v>24</v>
      </c>
      <c r="N2423" t="s">
        <v>186</v>
      </c>
      <c r="O2423" t="s">
        <v>150</v>
      </c>
      <c r="P2423">
        <v>2025</v>
      </c>
    </row>
    <row r="2424" spans="1:16" x14ac:dyDescent="0.25">
      <c r="A2424" s="96" t="s">
        <v>2</v>
      </c>
      <c r="B2424" s="96" t="s">
        <v>305</v>
      </c>
      <c r="C2424" s="96" t="s">
        <v>2372</v>
      </c>
      <c r="D2424" s="96" t="s">
        <v>10</v>
      </c>
      <c r="E2424" s="43">
        <v>46060</v>
      </c>
      <c r="F2424" s="43">
        <v>46148</v>
      </c>
      <c r="G2424" s="96" t="s">
        <v>95</v>
      </c>
      <c r="H2424" s="96" t="s">
        <v>6050</v>
      </c>
      <c r="I2424" s="96" t="s">
        <v>228</v>
      </c>
      <c r="J2424" s="96" t="s">
        <v>96</v>
      </c>
      <c r="K2424" s="96" t="s">
        <v>195</v>
      </c>
      <c r="L2424">
        <v>88</v>
      </c>
      <c r="M2424" t="s">
        <v>28</v>
      </c>
      <c r="N2424" t="s">
        <v>32</v>
      </c>
      <c r="O2424" t="s">
        <v>170</v>
      </c>
      <c r="P2424">
        <v>2026</v>
      </c>
    </row>
    <row r="2425" spans="1:16" hidden="1" x14ac:dyDescent="0.25">
      <c r="A2425" s="96" t="s">
        <v>2</v>
      </c>
      <c r="B2425" s="96" t="s">
        <v>322</v>
      </c>
      <c r="C2425" s="96" t="s">
        <v>2373</v>
      </c>
      <c r="D2425" s="96" t="s">
        <v>215</v>
      </c>
      <c r="E2425" s="43">
        <v>46002</v>
      </c>
      <c r="F2425" s="43">
        <v>46122</v>
      </c>
      <c r="G2425" s="96" t="s">
        <v>92</v>
      </c>
      <c r="H2425" s="96" t="s">
        <v>6051</v>
      </c>
      <c r="I2425" s="96" t="s">
        <v>9</v>
      </c>
      <c r="J2425" s="96" t="s">
        <v>169</v>
      </c>
      <c r="K2425" s="96" t="s">
        <v>246</v>
      </c>
      <c r="L2425">
        <v>120</v>
      </c>
      <c r="M2425" t="s">
        <v>28</v>
      </c>
      <c r="N2425" t="s">
        <v>25</v>
      </c>
      <c r="O2425" t="s">
        <v>150</v>
      </c>
      <c r="P2425">
        <v>2025</v>
      </c>
    </row>
    <row r="2426" spans="1:16" hidden="1" x14ac:dyDescent="0.25">
      <c r="A2426" s="96" t="s">
        <v>171</v>
      </c>
      <c r="B2426" s="96" t="s">
        <v>211</v>
      </c>
      <c r="C2426" s="96" t="s">
        <v>2374</v>
      </c>
      <c r="D2426" s="96" t="s">
        <v>203</v>
      </c>
      <c r="E2426" s="43">
        <v>45678</v>
      </c>
      <c r="F2426" s="43">
        <v>45740</v>
      </c>
      <c r="G2426" s="96" t="s">
        <v>95</v>
      </c>
      <c r="H2426" s="96" t="s">
        <v>6052</v>
      </c>
      <c r="I2426" s="96" t="s">
        <v>157</v>
      </c>
      <c r="J2426" s="96" t="s">
        <v>174</v>
      </c>
      <c r="K2426" s="96" t="s">
        <v>246</v>
      </c>
      <c r="L2426">
        <v>62</v>
      </c>
      <c r="M2426" t="s">
        <v>28</v>
      </c>
      <c r="N2426" t="s">
        <v>181</v>
      </c>
      <c r="O2426" t="s">
        <v>170</v>
      </c>
      <c r="P2426">
        <v>2025</v>
      </c>
    </row>
    <row r="2427" spans="1:16" hidden="1" x14ac:dyDescent="0.25">
      <c r="A2427" s="96" t="s">
        <v>2</v>
      </c>
      <c r="B2427" s="96" t="s">
        <v>231</v>
      </c>
      <c r="C2427" s="96" t="s">
        <v>6053</v>
      </c>
      <c r="D2427" s="96" t="s">
        <v>14</v>
      </c>
      <c r="E2427" s="43">
        <v>45931</v>
      </c>
      <c r="F2427" s="43">
        <v>46039</v>
      </c>
      <c r="G2427" s="96" t="s">
        <v>92</v>
      </c>
      <c r="H2427" s="96" t="s">
        <v>6054</v>
      </c>
      <c r="I2427" s="96" t="s">
        <v>204</v>
      </c>
      <c r="J2427" s="96" t="s">
        <v>229</v>
      </c>
      <c r="K2427" s="96" t="s">
        <v>210</v>
      </c>
      <c r="L2427">
        <v>108</v>
      </c>
      <c r="M2427" t="s">
        <v>28</v>
      </c>
      <c r="N2427" t="s">
        <v>16</v>
      </c>
      <c r="O2427" t="s">
        <v>170</v>
      </c>
      <c r="P2427">
        <v>2025</v>
      </c>
    </row>
    <row r="2428" spans="1:16" hidden="1" x14ac:dyDescent="0.25">
      <c r="A2428" s="96" t="s">
        <v>2</v>
      </c>
      <c r="B2428" s="96" t="s">
        <v>247</v>
      </c>
      <c r="C2428" s="96" t="s">
        <v>2375</v>
      </c>
      <c r="D2428" s="96" t="s">
        <v>10</v>
      </c>
      <c r="E2428" s="43">
        <v>45764</v>
      </c>
      <c r="F2428" s="43">
        <v>45787</v>
      </c>
      <c r="G2428" s="96" t="s">
        <v>92</v>
      </c>
      <c r="H2428" s="96" t="s">
        <v>6055</v>
      </c>
      <c r="I2428" s="96" t="s">
        <v>9</v>
      </c>
      <c r="J2428" s="96" t="s">
        <v>96</v>
      </c>
      <c r="K2428" s="96" t="s">
        <v>205</v>
      </c>
      <c r="L2428">
        <v>23</v>
      </c>
      <c r="M2428" t="s">
        <v>19</v>
      </c>
      <c r="N2428" t="s">
        <v>185</v>
      </c>
      <c r="O2428" t="s">
        <v>150</v>
      </c>
      <c r="P2428">
        <v>2025</v>
      </c>
    </row>
    <row r="2429" spans="1:16" hidden="1" x14ac:dyDescent="0.25">
      <c r="A2429" s="96" t="s">
        <v>2</v>
      </c>
      <c r="B2429" s="96" t="s">
        <v>264</v>
      </c>
      <c r="C2429" s="96" t="s">
        <v>2376</v>
      </c>
      <c r="D2429" s="96" t="s">
        <v>40</v>
      </c>
      <c r="E2429" s="43">
        <v>45809</v>
      </c>
      <c r="F2429" s="43">
        <v>45872</v>
      </c>
      <c r="G2429" s="96" t="s">
        <v>92</v>
      </c>
      <c r="H2429" s="96" t="s">
        <v>6056</v>
      </c>
      <c r="I2429" s="96" t="s">
        <v>204</v>
      </c>
      <c r="J2429" s="96" t="s">
        <v>168</v>
      </c>
      <c r="K2429" s="96" t="s">
        <v>246</v>
      </c>
      <c r="L2429">
        <v>63</v>
      </c>
      <c r="M2429" t="s">
        <v>28</v>
      </c>
      <c r="N2429" t="s">
        <v>184</v>
      </c>
      <c r="O2429" t="s">
        <v>152</v>
      </c>
      <c r="P2429">
        <v>2025</v>
      </c>
    </row>
    <row r="2430" spans="1:16" hidden="1" x14ac:dyDescent="0.25">
      <c r="A2430" s="96" t="s">
        <v>2</v>
      </c>
      <c r="B2430" s="96" t="s">
        <v>231</v>
      </c>
      <c r="C2430" s="96" t="s">
        <v>6057</v>
      </c>
      <c r="D2430" s="96" t="s">
        <v>237</v>
      </c>
      <c r="E2430" s="43">
        <v>45687</v>
      </c>
      <c r="F2430" s="43">
        <v>45748</v>
      </c>
      <c r="G2430" s="96" t="s">
        <v>92</v>
      </c>
      <c r="H2430" s="96" t="s">
        <v>6058</v>
      </c>
      <c r="I2430" s="96" t="s">
        <v>194</v>
      </c>
      <c r="J2430" s="96" t="s">
        <v>169</v>
      </c>
      <c r="K2430" s="96" t="s">
        <v>205</v>
      </c>
      <c r="L2430">
        <v>61</v>
      </c>
      <c r="M2430" t="s">
        <v>28</v>
      </c>
      <c r="N2430" t="s">
        <v>181</v>
      </c>
      <c r="O2430" t="s">
        <v>170</v>
      </c>
      <c r="P2430">
        <v>2025</v>
      </c>
    </row>
    <row r="2431" spans="1:16" hidden="1" x14ac:dyDescent="0.25">
      <c r="A2431" s="96" t="s">
        <v>2</v>
      </c>
      <c r="B2431" s="96" t="s">
        <v>253</v>
      </c>
      <c r="C2431" s="96" t="s">
        <v>2377</v>
      </c>
      <c r="D2431" s="96" t="s">
        <v>203</v>
      </c>
      <c r="E2431" s="43">
        <v>45837</v>
      </c>
      <c r="F2431" s="43">
        <v>45884</v>
      </c>
      <c r="G2431" s="96" t="s">
        <v>90</v>
      </c>
      <c r="H2431" s="96" t="s">
        <v>6059</v>
      </c>
      <c r="I2431" s="96" t="s">
        <v>194</v>
      </c>
      <c r="J2431" s="96" t="s">
        <v>97</v>
      </c>
      <c r="K2431" s="96" t="s">
        <v>195</v>
      </c>
      <c r="L2431">
        <v>47</v>
      </c>
      <c r="M2431" t="s">
        <v>24</v>
      </c>
      <c r="N2431" t="s">
        <v>184</v>
      </c>
      <c r="O2431" t="s">
        <v>152</v>
      </c>
      <c r="P2431">
        <v>2025</v>
      </c>
    </row>
    <row r="2432" spans="1:16" hidden="1" x14ac:dyDescent="0.25">
      <c r="A2432" s="96" t="s">
        <v>171</v>
      </c>
      <c r="B2432" s="96" t="s">
        <v>255</v>
      </c>
      <c r="C2432" s="96" t="s">
        <v>2378</v>
      </c>
      <c r="D2432" s="96" t="s">
        <v>215</v>
      </c>
      <c r="E2432" s="43">
        <v>45697</v>
      </c>
      <c r="F2432" s="43">
        <v>45799</v>
      </c>
      <c r="G2432" s="96" t="s">
        <v>90</v>
      </c>
      <c r="H2432" s="96" t="s">
        <v>6060</v>
      </c>
      <c r="I2432" s="96" t="s">
        <v>225</v>
      </c>
      <c r="J2432" s="96" t="s">
        <v>94</v>
      </c>
      <c r="K2432" s="96" t="s">
        <v>233</v>
      </c>
      <c r="L2432">
        <v>102</v>
      </c>
      <c r="M2432" t="s">
        <v>28</v>
      </c>
      <c r="N2432" t="s">
        <v>188</v>
      </c>
      <c r="O2432" t="s">
        <v>150</v>
      </c>
      <c r="P2432">
        <v>2025</v>
      </c>
    </row>
    <row r="2433" spans="1:16" x14ac:dyDescent="0.25">
      <c r="A2433" s="96" t="s">
        <v>2</v>
      </c>
      <c r="B2433" s="96" t="s">
        <v>274</v>
      </c>
      <c r="C2433" s="96" t="s">
        <v>6061</v>
      </c>
      <c r="D2433" s="96" t="s">
        <v>237</v>
      </c>
      <c r="E2433" s="43">
        <v>46118</v>
      </c>
      <c r="F2433" s="43">
        <v>46148</v>
      </c>
      <c r="G2433" s="96" t="s">
        <v>92</v>
      </c>
      <c r="H2433" s="96" t="s">
        <v>6062</v>
      </c>
      <c r="I2433" s="96" t="s">
        <v>9</v>
      </c>
      <c r="J2433" s="96" t="s">
        <v>165</v>
      </c>
      <c r="K2433" s="96" t="s">
        <v>205</v>
      </c>
      <c r="L2433">
        <v>30</v>
      </c>
      <c r="M2433" t="s">
        <v>19</v>
      </c>
      <c r="N2433" t="s">
        <v>37</v>
      </c>
      <c r="O2433" t="s">
        <v>170</v>
      </c>
      <c r="P2433">
        <v>2026</v>
      </c>
    </row>
    <row r="2434" spans="1:16" x14ac:dyDescent="0.25">
      <c r="A2434" s="96" t="s">
        <v>175</v>
      </c>
      <c r="B2434" s="96" t="s">
        <v>374</v>
      </c>
      <c r="C2434" s="96" t="s">
        <v>6063</v>
      </c>
      <c r="D2434" s="96" t="s">
        <v>10</v>
      </c>
      <c r="E2434" s="43">
        <v>46076</v>
      </c>
      <c r="F2434" s="43">
        <v>46118</v>
      </c>
      <c r="G2434" s="96" t="s">
        <v>92</v>
      </c>
      <c r="H2434" s="96" t="s">
        <v>6064</v>
      </c>
      <c r="I2434" s="96" t="s">
        <v>209</v>
      </c>
      <c r="J2434" s="96" t="s">
        <v>91</v>
      </c>
      <c r="K2434" s="96" t="s">
        <v>233</v>
      </c>
      <c r="L2434">
        <v>42</v>
      </c>
      <c r="M2434" t="s">
        <v>24</v>
      </c>
      <c r="N2434" t="s">
        <v>32</v>
      </c>
      <c r="O2434" t="s">
        <v>150</v>
      </c>
      <c r="P2434">
        <v>2026</v>
      </c>
    </row>
    <row r="2435" spans="1:16" x14ac:dyDescent="0.25">
      <c r="A2435" s="96" t="s">
        <v>175</v>
      </c>
      <c r="B2435" s="96" t="s">
        <v>261</v>
      </c>
      <c r="C2435" s="96" t="s">
        <v>6065</v>
      </c>
      <c r="D2435" s="96" t="s">
        <v>14</v>
      </c>
      <c r="E2435" s="43">
        <v>46093</v>
      </c>
      <c r="F2435" s="43">
        <v>46110</v>
      </c>
      <c r="G2435" s="96" t="s">
        <v>92</v>
      </c>
      <c r="H2435" s="96" t="s">
        <v>6066</v>
      </c>
      <c r="I2435" s="96" t="s">
        <v>204</v>
      </c>
      <c r="J2435" s="96" t="s">
        <v>177</v>
      </c>
      <c r="K2435" s="96" t="s">
        <v>157</v>
      </c>
      <c r="L2435">
        <v>17</v>
      </c>
      <c r="M2435" t="s">
        <v>19</v>
      </c>
      <c r="N2435" t="s">
        <v>35</v>
      </c>
      <c r="O2435" t="s">
        <v>151</v>
      </c>
      <c r="P2435">
        <v>2026</v>
      </c>
    </row>
    <row r="2436" spans="1:16" x14ac:dyDescent="0.25">
      <c r="A2436" s="96" t="s">
        <v>2</v>
      </c>
      <c r="B2436" s="96" t="s">
        <v>219</v>
      </c>
      <c r="C2436" s="96" t="s">
        <v>2379</v>
      </c>
      <c r="D2436" s="96" t="s">
        <v>223</v>
      </c>
      <c r="E2436" s="43">
        <v>46071</v>
      </c>
      <c r="F2436" s="43">
        <v>46085</v>
      </c>
      <c r="G2436" s="96" t="s">
        <v>90</v>
      </c>
      <c r="H2436" s="96" t="s">
        <v>6067</v>
      </c>
      <c r="I2436" s="96" t="s">
        <v>194</v>
      </c>
      <c r="J2436" s="96" t="s">
        <v>168</v>
      </c>
      <c r="K2436" s="96" t="s">
        <v>195</v>
      </c>
      <c r="L2436">
        <v>14</v>
      </c>
      <c r="M2436" t="s">
        <v>15</v>
      </c>
      <c r="N2436" t="s">
        <v>32</v>
      </c>
      <c r="O2436" t="s">
        <v>149</v>
      </c>
      <c r="P2436">
        <v>2026</v>
      </c>
    </row>
    <row r="2437" spans="1:16" hidden="1" x14ac:dyDescent="0.25">
      <c r="A2437" s="96" t="s">
        <v>2</v>
      </c>
      <c r="B2437" s="96" t="s">
        <v>238</v>
      </c>
      <c r="C2437" s="96" t="s">
        <v>2380</v>
      </c>
      <c r="D2437" s="96" t="s">
        <v>10</v>
      </c>
      <c r="E2437" s="43">
        <v>45714</v>
      </c>
      <c r="F2437" s="43">
        <v>45792</v>
      </c>
      <c r="G2437" s="96" t="s">
        <v>92</v>
      </c>
      <c r="H2437" s="96" t="s">
        <v>6068</v>
      </c>
      <c r="I2437" s="96" t="s">
        <v>157</v>
      </c>
      <c r="J2437" s="96" t="s">
        <v>174</v>
      </c>
      <c r="K2437" s="96" t="s">
        <v>217</v>
      </c>
      <c r="L2437">
        <v>78</v>
      </c>
      <c r="M2437" t="s">
        <v>28</v>
      </c>
      <c r="N2437" t="s">
        <v>188</v>
      </c>
      <c r="O2437" t="s">
        <v>170</v>
      </c>
      <c r="P2437">
        <v>2025</v>
      </c>
    </row>
    <row r="2438" spans="1:16" x14ac:dyDescent="0.25">
      <c r="A2438" s="96" t="s">
        <v>171</v>
      </c>
      <c r="B2438" s="96" t="s">
        <v>302</v>
      </c>
      <c r="C2438" s="96" t="s">
        <v>2381</v>
      </c>
      <c r="D2438" s="96" t="s">
        <v>208</v>
      </c>
      <c r="E2438" s="43">
        <v>46082</v>
      </c>
      <c r="F2438" s="43">
        <v>46149</v>
      </c>
      <c r="G2438" s="96" t="s">
        <v>92</v>
      </c>
      <c r="H2438" s="96" t="s">
        <v>6069</v>
      </c>
      <c r="I2438" s="96" t="s">
        <v>157</v>
      </c>
      <c r="J2438" s="96" t="s">
        <v>283</v>
      </c>
      <c r="K2438" s="96" t="s">
        <v>205</v>
      </c>
      <c r="L2438">
        <v>67</v>
      </c>
      <c r="M2438" t="s">
        <v>28</v>
      </c>
      <c r="N2438" t="s">
        <v>35</v>
      </c>
      <c r="O2438" t="s">
        <v>150</v>
      </c>
      <c r="P2438">
        <v>2026</v>
      </c>
    </row>
    <row r="2439" spans="1:16" hidden="1" x14ac:dyDescent="0.25">
      <c r="A2439" s="96" t="s">
        <v>2</v>
      </c>
      <c r="B2439" s="96" t="s">
        <v>322</v>
      </c>
      <c r="C2439" s="96" t="s">
        <v>2382</v>
      </c>
      <c r="D2439" s="96" t="s">
        <v>208</v>
      </c>
      <c r="E2439" s="43">
        <v>45793</v>
      </c>
      <c r="F2439" s="43">
        <v>45808</v>
      </c>
      <c r="G2439" s="96" t="s">
        <v>92</v>
      </c>
      <c r="H2439" s="96" t="s">
        <v>6070</v>
      </c>
      <c r="I2439" s="96" t="s">
        <v>9</v>
      </c>
      <c r="J2439" s="96" t="s">
        <v>177</v>
      </c>
      <c r="K2439" s="96" t="s">
        <v>217</v>
      </c>
      <c r="L2439">
        <v>15</v>
      </c>
      <c r="M2439" t="s">
        <v>19</v>
      </c>
      <c r="N2439" t="s">
        <v>182</v>
      </c>
      <c r="O2439" t="s">
        <v>150</v>
      </c>
      <c r="P2439">
        <v>2025</v>
      </c>
    </row>
    <row r="2440" spans="1:16" hidden="1" x14ac:dyDescent="0.25">
      <c r="A2440" s="96" t="s">
        <v>2</v>
      </c>
      <c r="B2440" s="96" t="s">
        <v>255</v>
      </c>
      <c r="C2440" s="96" t="s">
        <v>2383</v>
      </c>
      <c r="D2440" s="96" t="s">
        <v>208</v>
      </c>
      <c r="E2440" s="43">
        <v>45874</v>
      </c>
      <c r="F2440" s="43">
        <v>45877</v>
      </c>
      <c r="G2440" s="96" t="s">
        <v>95</v>
      </c>
      <c r="H2440" s="96" t="s">
        <v>6071</v>
      </c>
      <c r="I2440" s="96" t="s">
        <v>194</v>
      </c>
      <c r="J2440" s="96" t="s">
        <v>96</v>
      </c>
      <c r="K2440" s="96" t="s">
        <v>233</v>
      </c>
      <c r="L2440">
        <v>3</v>
      </c>
      <c r="M2440" t="s">
        <v>11</v>
      </c>
      <c r="N2440" t="s">
        <v>8</v>
      </c>
      <c r="O2440" t="s">
        <v>150</v>
      </c>
      <c r="P2440">
        <v>2025</v>
      </c>
    </row>
    <row r="2441" spans="1:16" hidden="1" x14ac:dyDescent="0.25">
      <c r="A2441" s="96" t="s">
        <v>2</v>
      </c>
      <c r="B2441" s="96" t="s">
        <v>264</v>
      </c>
      <c r="C2441" s="96" t="s">
        <v>6072</v>
      </c>
      <c r="D2441" s="96" t="s">
        <v>208</v>
      </c>
      <c r="E2441" s="43">
        <v>45954</v>
      </c>
      <c r="F2441" s="43">
        <v>45960</v>
      </c>
      <c r="G2441" s="96" t="s">
        <v>92</v>
      </c>
      <c r="H2441" s="96" t="s">
        <v>6073</v>
      </c>
      <c r="I2441" s="96" t="s">
        <v>157</v>
      </c>
      <c r="J2441" s="96" t="s">
        <v>216</v>
      </c>
      <c r="K2441" s="96" t="s">
        <v>200</v>
      </c>
      <c r="L2441">
        <v>6</v>
      </c>
      <c r="M2441" t="s">
        <v>11</v>
      </c>
      <c r="N2441" t="s">
        <v>16</v>
      </c>
      <c r="O2441" t="s">
        <v>152</v>
      </c>
      <c r="P2441">
        <v>2025</v>
      </c>
    </row>
    <row r="2442" spans="1:16" x14ac:dyDescent="0.25">
      <c r="A2442" s="96" t="s">
        <v>2</v>
      </c>
      <c r="B2442" s="96" t="s">
        <v>226</v>
      </c>
      <c r="C2442" s="96" t="s">
        <v>2385</v>
      </c>
      <c r="D2442" s="96" t="s">
        <v>40</v>
      </c>
      <c r="E2442" s="43">
        <v>46086</v>
      </c>
      <c r="F2442" s="43">
        <v>46099</v>
      </c>
      <c r="G2442" s="96" t="s">
        <v>95</v>
      </c>
      <c r="H2442" s="96" t="s">
        <v>6074</v>
      </c>
      <c r="I2442" s="96" t="s">
        <v>225</v>
      </c>
      <c r="J2442" s="96" t="s">
        <v>168</v>
      </c>
      <c r="K2442" s="96" t="s">
        <v>233</v>
      </c>
      <c r="L2442">
        <v>13</v>
      </c>
      <c r="M2442" t="s">
        <v>15</v>
      </c>
      <c r="N2442" t="s">
        <v>35</v>
      </c>
      <c r="O2442" t="s">
        <v>151</v>
      </c>
      <c r="P2442">
        <v>2026</v>
      </c>
    </row>
    <row r="2443" spans="1:16" x14ac:dyDescent="0.25">
      <c r="A2443" s="96" t="s">
        <v>2</v>
      </c>
      <c r="B2443" s="96" t="s">
        <v>249</v>
      </c>
      <c r="C2443" s="96" t="s">
        <v>6075</v>
      </c>
      <c r="D2443" s="96" t="s">
        <v>10</v>
      </c>
      <c r="E2443" s="43">
        <v>46104</v>
      </c>
      <c r="F2443" s="43">
        <v>46151</v>
      </c>
      <c r="G2443" s="96" t="s">
        <v>90</v>
      </c>
      <c r="H2443" s="96" t="s">
        <v>2319</v>
      </c>
      <c r="I2443" s="96" t="s">
        <v>9</v>
      </c>
      <c r="J2443" s="96" t="s">
        <v>165</v>
      </c>
      <c r="K2443" s="96" t="s">
        <v>246</v>
      </c>
      <c r="L2443">
        <v>47</v>
      </c>
      <c r="M2443" t="s">
        <v>24</v>
      </c>
      <c r="N2443" t="s">
        <v>35</v>
      </c>
      <c r="O2443" t="s">
        <v>170</v>
      </c>
      <c r="P2443">
        <v>2026</v>
      </c>
    </row>
    <row r="2444" spans="1:16" hidden="1" x14ac:dyDescent="0.25">
      <c r="A2444" s="96" t="s">
        <v>2</v>
      </c>
      <c r="B2444" s="96" t="s">
        <v>251</v>
      </c>
      <c r="C2444" s="96" t="s">
        <v>2389</v>
      </c>
      <c r="D2444" s="96" t="s">
        <v>14</v>
      </c>
      <c r="E2444" s="43">
        <v>45703</v>
      </c>
      <c r="F2444" s="43">
        <v>45763</v>
      </c>
      <c r="G2444" s="96" t="s">
        <v>90</v>
      </c>
      <c r="H2444" s="96" t="s">
        <v>6076</v>
      </c>
      <c r="I2444" s="96" t="s">
        <v>209</v>
      </c>
      <c r="J2444" s="96" t="s">
        <v>173</v>
      </c>
      <c r="K2444" s="96" t="s">
        <v>246</v>
      </c>
      <c r="L2444">
        <v>60</v>
      </c>
      <c r="M2444" t="s">
        <v>24</v>
      </c>
      <c r="N2444" t="s">
        <v>188</v>
      </c>
      <c r="O2444" t="s">
        <v>170</v>
      </c>
      <c r="P2444">
        <v>2025</v>
      </c>
    </row>
    <row r="2445" spans="1:16" x14ac:dyDescent="0.25">
      <c r="A2445" s="96" t="s">
        <v>2</v>
      </c>
      <c r="B2445" s="96" t="s">
        <v>219</v>
      </c>
      <c r="C2445" s="96" t="s">
        <v>6077</v>
      </c>
      <c r="D2445" s="96" t="s">
        <v>40</v>
      </c>
      <c r="E2445" s="43">
        <v>46131</v>
      </c>
      <c r="F2445" s="43">
        <v>46151</v>
      </c>
      <c r="G2445" s="96" t="s">
        <v>90</v>
      </c>
      <c r="H2445" s="96" t="s">
        <v>6078</v>
      </c>
      <c r="I2445" s="96" t="s">
        <v>157</v>
      </c>
      <c r="J2445" s="96" t="s">
        <v>173</v>
      </c>
      <c r="K2445" s="96" t="s">
        <v>217</v>
      </c>
      <c r="L2445">
        <v>20</v>
      </c>
      <c r="M2445" t="s">
        <v>19</v>
      </c>
      <c r="N2445" t="s">
        <v>37</v>
      </c>
      <c r="O2445" t="s">
        <v>149</v>
      </c>
      <c r="P2445">
        <v>2026</v>
      </c>
    </row>
    <row r="2446" spans="1:16" hidden="1" x14ac:dyDescent="0.25">
      <c r="A2446" s="96" t="s">
        <v>175</v>
      </c>
      <c r="B2446" s="96" t="s">
        <v>257</v>
      </c>
      <c r="C2446" s="96" t="s">
        <v>6079</v>
      </c>
      <c r="D2446" s="96" t="s">
        <v>215</v>
      </c>
      <c r="E2446" s="43">
        <v>46021</v>
      </c>
      <c r="F2446" s="43">
        <v>46136</v>
      </c>
      <c r="G2446" s="96" t="s">
        <v>92</v>
      </c>
      <c r="H2446" s="96" t="s">
        <v>6080</v>
      </c>
      <c r="I2446" s="96" t="s">
        <v>204</v>
      </c>
      <c r="J2446" s="96" t="s">
        <v>229</v>
      </c>
      <c r="K2446" s="96" t="s">
        <v>230</v>
      </c>
      <c r="L2446">
        <v>115</v>
      </c>
      <c r="M2446" t="s">
        <v>28</v>
      </c>
      <c r="N2446" t="s">
        <v>25</v>
      </c>
      <c r="O2446" t="s">
        <v>151</v>
      </c>
      <c r="P2446">
        <v>2025</v>
      </c>
    </row>
    <row r="2447" spans="1:16" x14ac:dyDescent="0.25">
      <c r="A2447" s="96" t="s">
        <v>21</v>
      </c>
      <c r="B2447" s="96" t="s">
        <v>290</v>
      </c>
      <c r="C2447" s="96" t="s">
        <v>2391</v>
      </c>
      <c r="D2447" s="96" t="s">
        <v>237</v>
      </c>
      <c r="E2447" s="43">
        <v>46040</v>
      </c>
      <c r="F2447" s="43">
        <v>46148</v>
      </c>
      <c r="G2447" s="96" t="s">
        <v>92</v>
      </c>
      <c r="H2447" s="96" t="s">
        <v>6081</v>
      </c>
      <c r="I2447" s="96" t="s">
        <v>225</v>
      </c>
      <c r="J2447" s="96" t="s">
        <v>168</v>
      </c>
      <c r="K2447" s="96" t="s">
        <v>157</v>
      </c>
      <c r="L2447">
        <v>108</v>
      </c>
      <c r="M2447" t="s">
        <v>28</v>
      </c>
      <c r="N2447" t="s">
        <v>29</v>
      </c>
      <c r="O2447" t="s">
        <v>149</v>
      </c>
      <c r="P2447">
        <v>2026</v>
      </c>
    </row>
    <row r="2448" spans="1:16" hidden="1" x14ac:dyDescent="0.25">
      <c r="A2448" s="96" t="s">
        <v>2</v>
      </c>
      <c r="B2448" s="96" t="s">
        <v>238</v>
      </c>
      <c r="C2448" s="96" t="s">
        <v>2392</v>
      </c>
      <c r="D2448" s="96" t="s">
        <v>215</v>
      </c>
      <c r="E2448" s="43">
        <v>45772</v>
      </c>
      <c r="F2448" s="43">
        <v>45839</v>
      </c>
      <c r="G2448" s="96" t="s">
        <v>90</v>
      </c>
      <c r="H2448" s="96" t="s">
        <v>6082</v>
      </c>
      <c r="I2448" s="96" t="s">
        <v>204</v>
      </c>
      <c r="J2448" s="96" t="s">
        <v>283</v>
      </c>
      <c r="K2448" s="96" t="s">
        <v>217</v>
      </c>
      <c r="L2448">
        <v>67</v>
      </c>
      <c r="M2448" t="s">
        <v>28</v>
      </c>
      <c r="N2448" t="s">
        <v>185</v>
      </c>
      <c r="O2448" t="s">
        <v>170</v>
      </c>
      <c r="P2448">
        <v>2025</v>
      </c>
    </row>
    <row r="2449" spans="1:16" hidden="1" x14ac:dyDescent="0.25">
      <c r="A2449" s="96" t="s">
        <v>2</v>
      </c>
      <c r="B2449" s="96" t="s">
        <v>272</v>
      </c>
      <c r="C2449" s="96" t="s">
        <v>6083</v>
      </c>
      <c r="D2449" s="96" t="s">
        <v>237</v>
      </c>
      <c r="E2449" s="43">
        <v>45691</v>
      </c>
      <c r="F2449" s="43">
        <v>45800</v>
      </c>
      <c r="G2449" s="96" t="s">
        <v>92</v>
      </c>
      <c r="H2449" s="96" t="s">
        <v>6084</v>
      </c>
      <c r="I2449" s="96" t="s">
        <v>157</v>
      </c>
      <c r="J2449" s="96" t="s">
        <v>168</v>
      </c>
      <c r="K2449" s="96" t="s">
        <v>200</v>
      </c>
      <c r="L2449">
        <v>109</v>
      </c>
      <c r="M2449" t="s">
        <v>28</v>
      </c>
      <c r="N2449" t="s">
        <v>188</v>
      </c>
      <c r="O2449" t="s">
        <v>151</v>
      </c>
      <c r="P2449">
        <v>2025</v>
      </c>
    </row>
    <row r="2450" spans="1:16" hidden="1" x14ac:dyDescent="0.25">
      <c r="A2450" s="96" t="s">
        <v>2</v>
      </c>
      <c r="B2450" s="96" t="s">
        <v>257</v>
      </c>
      <c r="C2450" s="96" t="s">
        <v>2395</v>
      </c>
      <c r="D2450" s="96" t="s">
        <v>203</v>
      </c>
      <c r="E2450" s="43">
        <v>45806</v>
      </c>
      <c r="F2450" s="43">
        <v>45889</v>
      </c>
      <c r="G2450" s="96" t="s">
        <v>90</v>
      </c>
      <c r="H2450" s="96" t="s">
        <v>6085</v>
      </c>
      <c r="I2450" s="96" t="s">
        <v>228</v>
      </c>
      <c r="J2450" s="96" t="s">
        <v>177</v>
      </c>
      <c r="K2450" s="96" t="s">
        <v>246</v>
      </c>
      <c r="L2450">
        <v>83</v>
      </c>
      <c r="M2450" t="s">
        <v>28</v>
      </c>
      <c r="N2450" t="s">
        <v>182</v>
      </c>
      <c r="O2450" t="s">
        <v>151</v>
      </c>
      <c r="P2450">
        <v>2025</v>
      </c>
    </row>
    <row r="2451" spans="1:16" hidden="1" x14ac:dyDescent="0.25">
      <c r="A2451" s="96" t="s">
        <v>2</v>
      </c>
      <c r="B2451" s="96" t="s">
        <v>264</v>
      </c>
      <c r="C2451" s="96" t="s">
        <v>6086</v>
      </c>
      <c r="D2451" s="96" t="s">
        <v>215</v>
      </c>
      <c r="E2451" s="43">
        <v>45953</v>
      </c>
      <c r="F2451" s="43">
        <v>46060</v>
      </c>
      <c r="G2451" s="96" t="s">
        <v>92</v>
      </c>
      <c r="H2451" s="96" t="s">
        <v>2323</v>
      </c>
      <c r="I2451" s="96" t="s">
        <v>9</v>
      </c>
      <c r="J2451" s="96" t="s">
        <v>168</v>
      </c>
      <c r="K2451" s="96" t="s">
        <v>233</v>
      </c>
      <c r="L2451">
        <v>107</v>
      </c>
      <c r="M2451" t="s">
        <v>28</v>
      </c>
      <c r="N2451" t="s">
        <v>16</v>
      </c>
      <c r="O2451" t="s">
        <v>152</v>
      </c>
      <c r="P2451">
        <v>2025</v>
      </c>
    </row>
    <row r="2452" spans="1:16" hidden="1" x14ac:dyDescent="0.25">
      <c r="A2452" s="96" t="s">
        <v>2</v>
      </c>
      <c r="B2452" s="96" t="s">
        <v>253</v>
      </c>
      <c r="C2452" s="96" t="s">
        <v>2397</v>
      </c>
      <c r="D2452" s="96" t="s">
        <v>215</v>
      </c>
      <c r="E2452" s="43">
        <v>45823</v>
      </c>
      <c r="F2452" s="43">
        <v>45905</v>
      </c>
      <c r="G2452" s="96" t="s">
        <v>92</v>
      </c>
      <c r="H2452" s="96" t="s">
        <v>2325</v>
      </c>
      <c r="I2452" s="96" t="s">
        <v>204</v>
      </c>
      <c r="J2452" s="96" t="s">
        <v>94</v>
      </c>
      <c r="K2452" s="96" t="s">
        <v>200</v>
      </c>
      <c r="L2452">
        <v>82</v>
      </c>
      <c r="M2452" t="s">
        <v>28</v>
      </c>
      <c r="N2452" t="s">
        <v>184</v>
      </c>
      <c r="O2452" t="s">
        <v>152</v>
      </c>
      <c r="P2452">
        <v>2025</v>
      </c>
    </row>
    <row r="2453" spans="1:16" x14ac:dyDescent="0.25">
      <c r="A2453" s="96" t="s">
        <v>2</v>
      </c>
      <c r="B2453" s="96" t="s">
        <v>274</v>
      </c>
      <c r="C2453" s="96" t="s">
        <v>6087</v>
      </c>
      <c r="D2453" s="96" t="s">
        <v>34</v>
      </c>
      <c r="E2453" s="43">
        <v>46143</v>
      </c>
      <c r="F2453" s="43">
        <v>46148</v>
      </c>
      <c r="G2453" s="96" t="s">
        <v>90</v>
      </c>
      <c r="H2453" s="96" t="s">
        <v>6088</v>
      </c>
      <c r="I2453" s="96" t="s">
        <v>157</v>
      </c>
      <c r="J2453" s="96" t="s">
        <v>97</v>
      </c>
      <c r="K2453" s="96" t="s">
        <v>205</v>
      </c>
      <c r="L2453">
        <v>5</v>
      </c>
      <c r="M2453" t="s">
        <v>11</v>
      </c>
      <c r="N2453" t="s">
        <v>183</v>
      </c>
      <c r="O2453" t="s">
        <v>170</v>
      </c>
      <c r="P2453">
        <v>2026</v>
      </c>
    </row>
    <row r="2454" spans="1:16" hidden="1" x14ac:dyDescent="0.25">
      <c r="A2454" s="96" t="s">
        <v>2</v>
      </c>
      <c r="B2454" s="96" t="s">
        <v>280</v>
      </c>
      <c r="C2454" s="96" t="s">
        <v>2399</v>
      </c>
      <c r="D2454" s="96" t="s">
        <v>34</v>
      </c>
      <c r="E2454" s="43">
        <v>45976</v>
      </c>
      <c r="F2454" s="43">
        <v>46027</v>
      </c>
      <c r="G2454" s="96" t="s">
        <v>92</v>
      </c>
      <c r="H2454" s="96" t="s">
        <v>6089</v>
      </c>
      <c r="I2454" s="96" t="s">
        <v>228</v>
      </c>
      <c r="J2454" s="96" t="s">
        <v>172</v>
      </c>
      <c r="K2454" s="96" t="s">
        <v>200</v>
      </c>
      <c r="L2454">
        <v>51</v>
      </c>
      <c r="M2454" t="s">
        <v>24</v>
      </c>
      <c r="N2454" t="s">
        <v>20</v>
      </c>
      <c r="O2454" t="s">
        <v>170</v>
      </c>
      <c r="P2454">
        <v>2025</v>
      </c>
    </row>
    <row r="2455" spans="1:16" hidden="1" x14ac:dyDescent="0.25">
      <c r="A2455" s="96" t="s">
        <v>2</v>
      </c>
      <c r="B2455" s="96" t="s">
        <v>213</v>
      </c>
      <c r="C2455" s="96" t="s">
        <v>2400</v>
      </c>
      <c r="D2455" s="96" t="s">
        <v>203</v>
      </c>
      <c r="E2455" s="43">
        <v>45994</v>
      </c>
      <c r="F2455" s="43">
        <v>46040</v>
      </c>
      <c r="G2455" s="96" t="s">
        <v>92</v>
      </c>
      <c r="H2455" s="96" t="s">
        <v>6090</v>
      </c>
      <c r="I2455" s="96" t="s">
        <v>204</v>
      </c>
      <c r="J2455" s="96" t="s">
        <v>93</v>
      </c>
      <c r="K2455" s="96" t="s">
        <v>210</v>
      </c>
      <c r="L2455">
        <v>46</v>
      </c>
      <c r="M2455" t="s">
        <v>24</v>
      </c>
      <c r="N2455" t="s">
        <v>25</v>
      </c>
      <c r="O2455" t="s">
        <v>149</v>
      </c>
      <c r="P2455">
        <v>2025</v>
      </c>
    </row>
    <row r="2456" spans="1:16" hidden="1" x14ac:dyDescent="0.25">
      <c r="A2456" s="96" t="s">
        <v>2</v>
      </c>
      <c r="B2456" s="96" t="s">
        <v>257</v>
      </c>
      <c r="C2456" s="96" t="s">
        <v>2401</v>
      </c>
      <c r="D2456" s="96" t="s">
        <v>40</v>
      </c>
      <c r="E2456" s="43">
        <v>45916</v>
      </c>
      <c r="F2456" s="43">
        <v>45923</v>
      </c>
      <c r="G2456" s="96" t="s">
        <v>92</v>
      </c>
      <c r="H2456" s="96" t="s">
        <v>2329</v>
      </c>
      <c r="I2456" s="96" t="s">
        <v>9</v>
      </c>
      <c r="J2456" s="96" t="s">
        <v>283</v>
      </c>
      <c r="K2456" s="96" t="s">
        <v>233</v>
      </c>
      <c r="L2456">
        <v>7</v>
      </c>
      <c r="M2456" t="s">
        <v>11</v>
      </c>
      <c r="N2456" t="s">
        <v>12</v>
      </c>
      <c r="O2456" t="s">
        <v>151</v>
      </c>
      <c r="P2456">
        <v>2025</v>
      </c>
    </row>
    <row r="2457" spans="1:16" hidden="1" x14ac:dyDescent="0.25">
      <c r="A2457" s="96" t="s">
        <v>2</v>
      </c>
      <c r="B2457" s="96" t="s">
        <v>221</v>
      </c>
      <c r="C2457" s="96" t="s">
        <v>6091</v>
      </c>
      <c r="D2457" s="96" t="s">
        <v>34</v>
      </c>
      <c r="E2457" s="43">
        <v>45971</v>
      </c>
      <c r="F2457" s="43">
        <v>45975</v>
      </c>
      <c r="G2457" s="96" t="s">
        <v>90</v>
      </c>
      <c r="H2457" s="96" t="s">
        <v>6092</v>
      </c>
      <c r="I2457" s="96" t="s">
        <v>209</v>
      </c>
      <c r="J2457" s="96" t="s">
        <v>199</v>
      </c>
      <c r="K2457" s="96" t="s">
        <v>246</v>
      </c>
      <c r="L2457">
        <v>4</v>
      </c>
      <c r="M2457" t="s">
        <v>11</v>
      </c>
      <c r="N2457" t="s">
        <v>20</v>
      </c>
      <c r="O2457" t="s">
        <v>170</v>
      </c>
      <c r="P2457">
        <v>2025</v>
      </c>
    </row>
    <row r="2458" spans="1:16" x14ac:dyDescent="0.25">
      <c r="A2458" s="96" t="s">
        <v>2</v>
      </c>
      <c r="B2458" s="96" t="s">
        <v>288</v>
      </c>
      <c r="C2458" s="96" t="s">
        <v>6093</v>
      </c>
      <c r="D2458" s="96" t="s">
        <v>14</v>
      </c>
      <c r="E2458" s="43">
        <v>46108</v>
      </c>
      <c r="F2458" s="43">
        <v>46150</v>
      </c>
      <c r="G2458" s="96" t="s">
        <v>90</v>
      </c>
      <c r="H2458" s="96" t="s">
        <v>6094</v>
      </c>
      <c r="I2458" s="96" t="s">
        <v>225</v>
      </c>
      <c r="J2458" s="96" t="s">
        <v>174</v>
      </c>
      <c r="K2458" s="96" t="s">
        <v>217</v>
      </c>
      <c r="L2458">
        <v>42</v>
      </c>
      <c r="M2458" t="s">
        <v>24</v>
      </c>
      <c r="N2458" t="s">
        <v>35</v>
      </c>
      <c r="O2458" t="s">
        <v>170</v>
      </c>
      <c r="P2458">
        <v>2026</v>
      </c>
    </row>
    <row r="2459" spans="1:16" hidden="1" x14ac:dyDescent="0.25">
      <c r="A2459" s="96" t="s">
        <v>2</v>
      </c>
      <c r="B2459" s="96" t="s">
        <v>211</v>
      </c>
      <c r="C2459" s="96" t="s">
        <v>2402</v>
      </c>
      <c r="D2459" s="96" t="s">
        <v>237</v>
      </c>
      <c r="E2459" s="43">
        <v>45728</v>
      </c>
      <c r="F2459" s="43">
        <v>45773</v>
      </c>
      <c r="G2459" s="96" t="s">
        <v>92</v>
      </c>
      <c r="H2459" s="96" t="s">
        <v>6095</v>
      </c>
      <c r="I2459" s="96" t="s">
        <v>225</v>
      </c>
      <c r="J2459" s="96" t="s">
        <v>93</v>
      </c>
      <c r="K2459" s="96" t="s">
        <v>233</v>
      </c>
      <c r="L2459">
        <v>45</v>
      </c>
      <c r="M2459" t="s">
        <v>24</v>
      </c>
      <c r="N2459" t="s">
        <v>186</v>
      </c>
      <c r="O2459" t="s">
        <v>170</v>
      </c>
      <c r="P2459">
        <v>2025</v>
      </c>
    </row>
    <row r="2460" spans="1:16" x14ac:dyDescent="0.25">
      <c r="A2460" s="96" t="s">
        <v>175</v>
      </c>
      <c r="B2460" s="96" t="s">
        <v>244</v>
      </c>
      <c r="C2460" s="96" t="s">
        <v>6096</v>
      </c>
      <c r="D2460" s="96" t="s">
        <v>215</v>
      </c>
      <c r="E2460" s="43">
        <v>46089</v>
      </c>
      <c r="F2460" s="43">
        <v>46101</v>
      </c>
      <c r="G2460" s="96" t="s">
        <v>92</v>
      </c>
      <c r="H2460" s="96" t="s">
        <v>6097</v>
      </c>
      <c r="I2460" s="96" t="s">
        <v>225</v>
      </c>
      <c r="J2460" s="96" t="s">
        <v>91</v>
      </c>
      <c r="K2460" s="96" t="s">
        <v>200</v>
      </c>
      <c r="L2460">
        <v>12</v>
      </c>
      <c r="M2460" t="s">
        <v>15</v>
      </c>
      <c r="N2460" t="s">
        <v>35</v>
      </c>
      <c r="O2460" t="s">
        <v>150</v>
      </c>
      <c r="P2460">
        <v>2026</v>
      </c>
    </row>
    <row r="2461" spans="1:16" hidden="1" x14ac:dyDescent="0.25">
      <c r="A2461" s="96" t="s">
        <v>2</v>
      </c>
      <c r="B2461" s="96" t="s">
        <v>272</v>
      </c>
      <c r="C2461" s="96" t="s">
        <v>6098</v>
      </c>
      <c r="D2461" s="96" t="s">
        <v>34</v>
      </c>
      <c r="E2461" s="43">
        <v>45777</v>
      </c>
      <c r="F2461" s="43">
        <v>45867</v>
      </c>
      <c r="G2461" s="96" t="s">
        <v>90</v>
      </c>
      <c r="H2461" s="96" t="s">
        <v>6099</v>
      </c>
      <c r="I2461" s="96" t="s">
        <v>9</v>
      </c>
      <c r="J2461" s="96" t="s">
        <v>168</v>
      </c>
      <c r="K2461" s="96" t="s">
        <v>210</v>
      </c>
      <c r="L2461">
        <v>90</v>
      </c>
      <c r="M2461" t="s">
        <v>28</v>
      </c>
      <c r="N2461" t="s">
        <v>185</v>
      </c>
      <c r="O2461" t="s">
        <v>151</v>
      </c>
      <c r="P2461">
        <v>2025</v>
      </c>
    </row>
    <row r="2462" spans="1:16" hidden="1" x14ac:dyDescent="0.25">
      <c r="A2462" s="96" t="s">
        <v>2</v>
      </c>
      <c r="B2462" s="96" t="s">
        <v>231</v>
      </c>
      <c r="C2462" s="96" t="s">
        <v>6100</v>
      </c>
      <c r="D2462" s="96" t="s">
        <v>10</v>
      </c>
      <c r="E2462" s="43">
        <v>45997</v>
      </c>
      <c r="F2462" s="43">
        <v>46040</v>
      </c>
      <c r="G2462" s="96" t="s">
        <v>90</v>
      </c>
      <c r="H2462" s="96" t="s">
        <v>6101</v>
      </c>
      <c r="I2462" s="96" t="s">
        <v>157</v>
      </c>
      <c r="J2462" s="96" t="s">
        <v>97</v>
      </c>
      <c r="K2462" s="96" t="s">
        <v>200</v>
      </c>
      <c r="L2462">
        <v>43</v>
      </c>
      <c r="M2462" t="s">
        <v>24</v>
      </c>
      <c r="N2462" t="s">
        <v>25</v>
      </c>
      <c r="O2462" t="s">
        <v>170</v>
      </c>
      <c r="P2462">
        <v>2025</v>
      </c>
    </row>
    <row r="2463" spans="1:16" hidden="1" x14ac:dyDescent="0.25">
      <c r="A2463" s="96" t="s">
        <v>2</v>
      </c>
      <c r="B2463" s="96" t="s">
        <v>272</v>
      </c>
      <c r="C2463" s="96" t="s">
        <v>2403</v>
      </c>
      <c r="D2463" s="96" t="s">
        <v>237</v>
      </c>
      <c r="E2463" s="43">
        <v>46008</v>
      </c>
      <c r="F2463" s="43">
        <v>46079</v>
      </c>
      <c r="G2463" s="96" t="s">
        <v>95</v>
      </c>
      <c r="H2463" s="96" t="s">
        <v>2333</v>
      </c>
      <c r="I2463" s="96" t="s">
        <v>204</v>
      </c>
      <c r="J2463" s="96" t="s">
        <v>229</v>
      </c>
      <c r="K2463" s="96" t="s">
        <v>246</v>
      </c>
      <c r="L2463">
        <v>71</v>
      </c>
      <c r="M2463" t="s">
        <v>28</v>
      </c>
      <c r="N2463" t="s">
        <v>25</v>
      </c>
      <c r="O2463" t="s">
        <v>151</v>
      </c>
      <c r="P2463">
        <v>2025</v>
      </c>
    </row>
    <row r="2464" spans="1:16" hidden="1" x14ac:dyDescent="0.25">
      <c r="A2464" s="96" t="s">
        <v>171</v>
      </c>
      <c r="B2464" s="96" t="s">
        <v>257</v>
      </c>
      <c r="C2464" s="96" t="s">
        <v>6102</v>
      </c>
      <c r="D2464" s="96" t="s">
        <v>203</v>
      </c>
      <c r="E2464" s="43">
        <v>45711</v>
      </c>
      <c r="F2464" s="43">
        <v>45743</v>
      </c>
      <c r="G2464" s="96" t="s">
        <v>95</v>
      </c>
      <c r="H2464" s="96" t="s">
        <v>6103</v>
      </c>
      <c r="I2464" s="96" t="s">
        <v>225</v>
      </c>
      <c r="J2464" s="96" t="s">
        <v>216</v>
      </c>
      <c r="K2464" s="96" t="s">
        <v>210</v>
      </c>
      <c r="L2464">
        <v>32</v>
      </c>
      <c r="M2464" t="s">
        <v>24</v>
      </c>
      <c r="N2464" t="s">
        <v>188</v>
      </c>
      <c r="O2464" t="s">
        <v>151</v>
      </c>
      <c r="P2464">
        <v>2025</v>
      </c>
    </row>
    <row r="2465" spans="1:16" hidden="1" x14ac:dyDescent="0.25">
      <c r="A2465" s="96" t="s">
        <v>2</v>
      </c>
      <c r="B2465" s="96" t="s">
        <v>253</v>
      </c>
      <c r="C2465" s="96" t="s">
        <v>2404</v>
      </c>
      <c r="D2465" s="96" t="s">
        <v>14</v>
      </c>
      <c r="E2465" s="43">
        <v>45759</v>
      </c>
      <c r="F2465" s="43">
        <v>45816</v>
      </c>
      <c r="G2465" s="96" t="s">
        <v>90</v>
      </c>
      <c r="H2465" s="96" t="s">
        <v>6104</v>
      </c>
      <c r="I2465" s="96" t="s">
        <v>225</v>
      </c>
      <c r="J2465" s="96" t="s">
        <v>91</v>
      </c>
      <c r="K2465" s="96" t="s">
        <v>246</v>
      </c>
      <c r="L2465">
        <v>57</v>
      </c>
      <c r="M2465" t="s">
        <v>24</v>
      </c>
      <c r="N2465" t="s">
        <v>185</v>
      </c>
      <c r="O2465" t="s">
        <v>152</v>
      </c>
      <c r="P2465">
        <v>2025</v>
      </c>
    </row>
    <row r="2466" spans="1:16" x14ac:dyDescent="0.25">
      <c r="A2466" s="96" t="s">
        <v>2</v>
      </c>
      <c r="B2466" s="96" t="s">
        <v>288</v>
      </c>
      <c r="C2466" s="96" t="s">
        <v>2405</v>
      </c>
      <c r="D2466" s="96" t="s">
        <v>10</v>
      </c>
      <c r="E2466" s="43">
        <v>46030</v>
      </c>
      <c r="F2466" s="43">
        <v>46116</v>
      </c>
      <c r="G2466" s="96" t="s">
        <v>90</v>
      </c>
      <c r="H2466" s="96" t="s">
        <v>6105</v>
      </c>
      <c r="I2466" s="96" t="s">
        <v>157</v>
      </c>
      <c r="J2466" s="96" t="s">
        <v>173</v>
      </c>
      <c r="K2466" s="96" t="s">
        <v>157</v>
      </c>
      <c r="L2466">
        <v>86</v>
      </c>
      <c r="M2466" t="s">
        <v>28</v>
      </c>
      <c r="N2466" t="s">
        <v>29</v>
      </c>
      <c r="O2466" t="s">
        <v>170</v>
      </c>
      <c r="P2466">
        <v>2026</v>
      </c>
    </row>
    <row r="2467" spans="1:16" hidden="1" x14ac:dyDescent="0.25">
      <c r="A2467" s="96" t="s">
        <v>2</v>
      </c>
      <c r="B2467" s="96" t="s">
        <v>206</v>
      </c>
      <c r="C2467" s="96" t="s">
        <v>2406</v>
      </c>
      <c r="D2467" s="96" t="s">
        <v>237</v>
      </c>
      <c r="E2467" s="43">
        <v>45808</v>
      </c>
      <c r="F2467" s="43">
        <v>45821</v>
      </c>
      <c r="G2467" s="96" t="s">
        <v>92</v>
      </c>
      <c r="H2467" s="96" t="s">
        <v>6106</v>
      </c>
      <c r="I2467" s="96" t="s">
        <v>194</v>
      </c>
      <c r="J2467" s="96" t="s">
        <v>216</v>
      </c>
      <c r="K2467" s="96" t="s">
        <v>195</v>
      </c>
      <c r="L2467">
        <v>13</v>
      </c>
      <c r="M2467" t="s">
        <v>15</v>
      </c>
      <c r="N2467" t="s">
        <v>182</v>
      </c>
      <c r="O2467" t="s">
        <v>152</v>
      </c>
      <c r="P2467">
        <v>2025</v>
      </c>
    </row>
    <row r="2468" spans="1:16" hidden="1" x14ac:dyDescent="0.25">
      <c r="A2468" s="96" t="s">
        <v>2</v>
      </c>
      <c r="B2468" s="96" t="s">
        <v>257</v>
      </c>
      <c r="C2468" s="96" t="s">
        <v>2407</v>
      </c>
      <c r="D2468" s="96" t="s">
        <v>237</v>
      </c>
      <c r="E2468" s="43">
        <v>45997</v>
      </c>
      <c r="F2468" s="43">
        <v>46087</v>
      </c>
      <c r="G2468" s="96" t="s">
        <v>92</v>
      </c>
      <c r="H2468" s="96" t="s">
        <v>6107</v>
      </c>
      <c r="I2468" s="96" t="s">
        <v>209</v>
      </c>
      <c r="J2468" s="96" t="s">
        <v>165</v>
      </c>
      <c r="K2468" s="96" t="s">
        <v>233</v>
      </c>
      <c r="L2468">
        <v>90</v>
      </c>
      <c r="M2468" t="s">
        <v>28</v>
      </c>
      <c r="N2468" t="s">
        <v>25</v>
      </c>
      <c r="O2468" t="s">
        <v>151</v>
      </c>
      <c r="P2468">
        <v>2025</v>
      </c>
    </row>
    <row r="2469" spans="1:16" x14ac:dyDescent="0.25">
      <c r="A2469" s="96" t="s">
        <v>2</v>
      </c>
      <c r="B2469" s="96" t="s">
        <v>374</v>
      </c>
      <c r="C2469" s="96" t="s">
        <v>6108</v>
      </c>
      <c r="D2469" s="96" t="s">
        <v>215</v>
      </c>
      <c r="E2469" s="43">
        <v>46108</v>
      </c>
      <c r="F2469" s="43">
        <v>46146</v>
      </c>
      <c r="G2469" s="96" t="s">
        <v>92</v>
      </c>
      <c r="H2469" s="96" t="s">
        <v>6109</v>
      </c>
      <c r="I2469" s="96" t="s">
        <v>204</v>
      </c>
      <c r="J2469" s="96" t="s">
        <v>177</v>
      </c>
      <c r="K2469" s="96" t="s">
        <v>205</v>
      </c>
      <c r="L2469">
        <v>38</v>
      </c>
      <c r="M2469" t="s">
        <v>24</v>
      </c>
      <c r="N2469" t="s">
        <v>35</v>
      </c>
      <c r="O2469" t="s">
        <v>150</v>
      </c>
      <c r="P2469">
        <v>2026</v>
      </c>
    </row>
    <row r="2470" spans="1:16" hidden="1" x14ac:dyDescent="0.25">
      <c r="A2470" s="96" t="s">
        <v>2</v>
      </c>
      <c r="B2470" s="96" t="s">
        <v>257</v>
      </c>
      <c r="C2470" s="96" t="s">
        <v>2408</v>
      </c>
      <c r="D2470" s="96" t="s">
        <v>10</v>
      </c>
      <c r="E2470" s="43">
        <v>45976</v>
      </c>
      <c r="F2470" s="43">
        <v>45986</v>
      </c>
      <c r="G2470" s="96" t="s">
        <v>92</v>
      </c>
      <c r="H2470" s="96" t="s">
        <v>6110</v>
      </c>
      <c r="I2470" s="96" t="s">
        <v>194</v>
      </c>
      <c r="J2470" s="96" t="s">
        <v>199</v>
      </c>
      <c r="K2470" s="96" t="s">
        <v>157</v>
      </c>
      <c r="L2470">
        <v>10</v>
      </c>
      <c r="M2470" t="s">
        <v>15</v>
      </c>
      <c r="N2470" t="s">
        <v>20</v>
      </c>
      <c r="O2470" t="s">
        <v>151</v>
      </c>
      <c r="P2470">
        <v>2025</v>
      </c>
    </row>
    <row r="2471" spans="1:16" hidden="1" x14ac:dyDescent="0.25">
      <c r="A2471" s="96" t="s">
        <v>171</v>
      </c>
      <c r="B2471" s="96" t="s">
        <v>213</v>
      </c>
      <c r="C2471" s="96" t="s">
        <v>2409</v>
      </c>
      <c r="D2471" s="96" t="s">
        <v>208</v>
      </c>
      <c r="E2471" s="43">
        <v>45684</v>
      </c>
      <c r="F2471" s="43">
        <v>45799</v>
      </c>
      <c r="G2471" s="96" t="s">
        <v>92</v>
      </c>
      <c r="H2471" s="96" t="s">
        <v>6111</v>
      </c>
      <c r="I2471" s="96" t="s">
        <v>225</v>
      </c>
      <c r="J2471" s="96" t="s">
        <v>199</v>
      </c>
      <c r="K2471" s="96" t="s">
        <v>217</v>
      </c>
      <c r="L2471">
        <v>115</v>
      </c>
      <c r="M2471" t="s">
        <v>28</v>
      </c>
      <c r="N2471" t="s">
        <v>181</v>
      </c>
      <c r="O2471" t="s">
        <v>149</v>
      </c>
      <c r="P2471">
        <v>2025</v>
      </c>
    </row>
    <row r="2472" spans="1:16" x14ac:dyDescent="0.25">
      <c r="A2472" s="96" t="s">
        <v>2</v>
      </c>
      <c r="B2472" s="96" t="s">
        <v>317</v>
      </c>
      <c r="C2472" s="96" t="s">
        <v>2410</v>
      </c>
      <c r="D2472" s="96" t="s">
        <v>192</v>
      </c>
      <c r="E2472" s="43">
        <v>46107</v>
      </c>
      <c r="F2472" s="43">
        <v>46150</v>
      </c>
      <c r="G2472" s="96" t="s">
        <v>90</v>
      </c>
      <c r="H2472" s="96" t="s">
        <v>6112</v>
      </c>
      <c r="I2472" s="96" t="s">
        <v>209</v>
      </c>
      <c r="J2472" s="96" t="s">
        <v>199</v>
      </c>
      <c r="K2472" s="96" t="s">
        <v>210</v>
      </c>
      <c r="L2472">
        <v>43</v>
      </c>
      <c r="M2472" t="s">
        <v>24</v>
      </c>
      <c r="N2472" t="s">
        <v>35</v>
      </c>
      <c r="O2472" t="s">
        <v>170</v>
      </c>
      <c r="P2472">
        <v>2026</v>
      </c>
    </row>
    <row r="2473" spans="1:16" x14ac:dyDescent="0.25">
      <c r="A2473" s="96" t="s">
        <v>2</v>
      </c>
      <c r="B2473" s="96" t="s">
        <v>274</v>
      </c>
      <c r="C2473" s="96" t="s">
        <v>2411</v>
      </c>
      <c r="D2473" s="96" t="s">
        <v>40</v>
      </c>
      <c r="E2473" s="43">
        <v>46048</v>
      </c>
      <c r="F2473" s="43">
        <v>46121</v>
      </c>
      <c r="G2473" s="96" t="s">
        <v>90</v>
      </c>
      <c r="H2473" s="96" t="s">
        <v>6113</v>
      </c>
      <c r="I2473" s="96" t="s">
        <v>204</v>
      </c>
      <c r="J2473" s="96" t="s">
        <v>283</v>
      </c>
      <c r="K2473" s="96" t="s">
        <v>200</v>
      </c>
      <c r="L2473">
        <v>73</v>
      </c>
      <c r="M2473" t="s">
        <v>28</v>
      </c>
      <c r="N2473" t="s">
        <v>29</v>
      </c>
      <c r="O2473" t="s">
        <v>170</v>
      </c>
      <c r="P2473">
        <v>2026</v>
      </c>
    </row>
    <row r="2474" spans="1:16" x14ac:dyDescent="0.25">
      <c r="A2474" s="96" t="s">
        <v>175</v>
      </c>
      <c r="B2474" s="96" t="s">
        <v>317</v>
      </c>
      <c r="C2474" s="96" t="s">
        <v>2412</v>
      </c>
      <c r="D2474" s="96" t="s">
        <v>10</v>
      </c>
      <c r="E2474" s="43">
        <v>46137</v>
      </c>
      <c r="F2474" s="43">
        <v>46146</v>
      </c>
      <c r="G2474" s="96" t="s">
        <v>92</v>
      </c>
      <c r="H2474" s="96" t="s">
        <v>6114</v>
      </c>
      <c r="I2474" s="96" t="s">
        <v>204</v>
      </c>
      <c r="J2474" s="96" t="s">
        <v>168</v>
      </c>
      <c r="K2474" s="96" t="s">
        <v>195</v>
      </c>
      <c r="L2474">
        <v>9</v>
      </c>
      <c r="M2474" t="s">
        <v>15</v>
      </c>
      <c r="N2474" t="s">
        <v>37</v>
      </c>
      <c r="O2474" t="s">
        <v>170</v>
      </c>
      <c r="P2474">
        <v>2026</v>
      </c>
    </row>
    <row r="2475" spans="1:16" x14ac:dyDescent="0.25">
      <c r="A2475" s="96" t="s">
        <v>2</v>
      </c>
      <c r="B2475" s="96" t="s">
        <v>269</v>
      </c>
      <c r="C2475" s="96" t="s">
        <v>6115</v>
      </c>
      <c r="D2475" s="96" t="s">
        <v>192</v>
      </c>
      <c r="E2475" s="43">
        <v>46115</v>
      </c>
      <c r="F2475" s="43">
        <v>46151</v>
      </c>
      <c r="G2475" s="96" t="s">
        <v>92</v>
      </c>
      <c r="H2475" s="96" t="s">
        <v>6116</v>
      </c>
      <c r="I2475" s="96" t="s">
        <v>157</v>
      </c>
      <c r="J2475" s="96" t="s">
        <v>229</v>
      </c>
      <c r="K2475" s="96" t="s">
        <v>195</v>
      </c>
      <c r="L2475">
        <v>36</v>
      </c>
      <c r="M2475" t="s">
        <v>24</v>
      </c>
      <c r="N2475" t="s">
        <v>37</v>
      </c>
      <c r="O2475" t="s">
        <v>152</v>
      </c>
      <c r="P2475">
        <v>2026</v>
      </c>
    </row>
    <row r="2476" spans="1:16" x14ac:dyDescent="0.25">
      <c r="A2476" s="96" t="s">
        <v>2</v>
      </c>
      <c r="B2476" s="96" t="s">
        <v>290</v>
      </c>
      <c r="C2476" s="96" t="s">
        <v>6117</v>
      </c>
      <c r="D2476" s="96" t="s">
        <v>10</v>
      </c>
      <c r="E2476" s="43">
        <v>46043</v>
      </c>
      <c r="F2476" s="43">
        <v>46082</v>
      </c>
      <c r="G2476" s="96" t="s">
        <v>92</v>
      </c>
      <c r="H2476" s="96" t="s">
        <v>2342</v>
      </c>
      <c r="I2476" s="96" t="s">
        <v>228</v>
      </c>
      <c r="J2476" s="96" t="s">
        <v>165</v>
      </c>
      <c r="K2476" s="96" t="s">
        <v>230</v>
      </c>
      <c r="L2476">
        <v>39</v>
      </c>
      <c r="M2476" t="s">
        <v>24</v>
      </c>
      <c r="N2476" t="s">
        <v>29</v>
      </c>
      <c r="O2476" t="s">
        <v>149</v>
      </c>
      <c r="P2476">
        <v>2026</v>
      </c>
    </row>
    <row r="2477" spans="1:16" x14ac:dyDescent="0.25">
      <c r="A2477" s="96" t="s">
        <v>2</v>
      </c>
      <c r="B2477" s="96" t="s">
        <v>196</v>
      </c>
      <c r="C2477" s="96" t="s">
        <v>2413</v>
      </c>
      <c r="D2477" s="96" t="s">
        <v>10</v>
      </c>
      <c r="E2477" s="43">
        <v>46092</v>
      </c>
      <c r="F2477" s="43">
        <v>46148</v>
      </c>
      <c r="G2477" s="96" t="s">
        <v>92</v>
      </c>
      <c r="H2477" s="96" t="s">
        <v>6118</v>
      </c>
      <c r="I2477" s="96" t="s">
        <v>204</v>
      </c>
      <c r="J2477" s="96" t="s">
        <v>177</v>
      </c>
      <c r="K2477" s="96" t="s">
        <v>195</v>
      </c>
      <c r="L2477">
        <v>56</v>
      </c>
      <c r="M2477" t="s">
        <v>24</v>
      </c>
      <c r="N2477" t="s">
        <v>35</v>
      </c>
      <c r="O2477" t="s">
        <v>152</v>
      </c>
      <c r="P2477">
        <v>2026</v>
      </c>
    </row>
    <row r="2478" spans="1:16" hidden="1" x14ac:dyDescent="0.25">
      <c r="A2478" s="96" t="s">
        <v>2</v>
      </c>
      <c r="B2478" s="96" t="s">
        <v>221</v>
      </c>
      <c r="C2478" s="96" t="s">
        <v>2414</v>
      </c>
      <c r="D2478" s="96" t="s">
        <v>14</v>
      </c>
      <c r="E2478" s="43">
        <v>45700</v>
      </c>
      <c r="F2478" s="43">
        <v>45725</v>
      </c>
      <c r="G2478" s="96" t="s">
        <v>92</v>
      </c>
      <c r="H2478" s="96" t="s">
        <v>6119</v>
      </c>
      <c r="I2478" s="96" t="s">
        <v>228</v>
      </c>
      <c r="J2478" s="96" t="s">
        <v>199</v>
      </c>
      <c r="K2478" s="96" t="s">
        <v>210</v>
      </c>
      <c r="L2478">
        <v>25</v>
      </c>
      <c r="M2478" t="s">
        <v>19</v>
      </c>
      <c r="N2478" t="s">
        <v>188</v>
      </c>
      <c r="O2478" t="s">
        <v>170</v>
      </c>
      <c r="P2478">
        <v>2025</v>
      </c>
    </row>
    <row r="2479" spans="1:16" hidden="1" x14ac:dyDescent="0.25">
      <c r="A2479" s="96" t="s">
        <v>2</v>
      </c>
      <c r="B2479" s="96" t="s">
        <v>272</v>
      </c>
      <c r="C2479" s="96" t="s">
        <v>6120</v>
      </c>
      <c r="D2479" s="96" t="s">
        <v>223</v>
      </c>
      <c r="E2479" s="43">
        <v>45712</v>
      </c>
      <c r="F2479" s="43">
        <v>45814</v>
      </c>
      <c r="G2479" s="96" t="s">
        <v>90</v>
      </c>
      <c r="H2479" s="96" t="s">
        <v>6121</v>
      </c>
      <c r="I2479" s="96" t="s">
        <v>228</v>
      </c>
      <c r="J2479" s="96" t="s">
        <v>174</v>
      </c>
      <c r="K2479" s="96" t="s">
        <v>195</v>
      </c>
      <c r="L2479">
        <v>102</v>
      </c>
      <c r="M2479" t="s">
        <v>28</v>
      </c>
      <c r="N2479" t="s">
        <v>188</v>
      </c>
      <c r="O2479" t="s">
        <v>151</v>
      </c>
      <c r="P2479">
        <v>2025</v>
      </c>
    </row>
    <row r="2480" spans="1:16" hidden="1" x14ac:dyDescent="0.25">
      <c r="A2480" s="96" t="s">
        <v>21</v>
      </c>
      <c r="B2480" s="96" t="s">
        <v>251</v>
      </c>
      <c r="C2480" s="96" t="s">
        <v>2415</v>
      </c>
      <c r="D2480" s="96" t="s">
        <v>40</v>
      </c>
      <c r="E2480" s="43">
        <v>45713</v>
      </c>
      <c r="F2480" s="43">
        <v>45757</v>
      </c>
      <c r="G2480" s="96" t="s">
        <v>95</v>
      </c>
      <c r="H2480" s="96" t="s">
        <v>6122</v>
      </c>
      <c r="I2480" s="96" t="s">
        <v>9</v>
      </c>
      <c r="J2480" s="96" t="s">
        <v>283</v>
      </c>
      <c r="K2480" s="96" t="s">
        <v>230</v>
      </c>
      <c r="L2480">
        <v>44</v>
      </c>
      <c r="M2480" t="s">
        <v>24</v>
      </c>
      <c r="N2480" t="s">
        <v>188</v>
      </c>
      <c r="O2480" t="s">
        <v>170</v>
      </c>
      <c r="P2480">
        <v>2025</v>
      </c>
    </row>
    <row r="2481" spans="1:16" hidden="1" x14ac:dyDescent="0.25">
      <c r="A2481" s="96" t="s">
        <v>175</v>
      </c>
      <c r="B2481" s="96" t="s">
        <v>257</v>
      </c>
      <c r="C2481" s="96" t="s">
        <v>2416</v>
      </c>
      <c r="D2481" s="96" t="s">
        <v>215</v>
      </c>
      <c r="E2481" s="43">
        <v>45905</v>
      </c>
      <c r="F2481" s="43">
        <v>46015</v>
      </c>
      <c r="G2481" s="96" t="s">
        <v>90</v>
      </c>
      <c r="H2481" s="96" t="s">
        <v>6123</v>
      </c>
      <c r="I2481" s="96" t="s">
        <v>157</v>
      </c>
      <c r="J2481" s="96" t="s">
        <v>229</v>
      </c>
      <c r="K2481" s="96" t="s">
        <v>205</v>
      </c>
      <c r="L2481">
        <v>110</v>
      </c>
      <c r="M2481" t="s">
        <v>28</v>
      </c>
      <c r="N2481" t="s">
        <v>12</v>
      </c>
      <c r="O2481" t="s">
        <v>151</v>
      </c>
      <c r="P2481">
        <v>2025</v>
      </c>
    </row>
    <row r="2482" spans="1:16" x14ac:dyDescent="0.25">
      <c r="A2482" s="96" t="s">
        <v>21</v>
      </c>
      <c r="B2482" s="96" t="s">
        <v>317</v>
      </c>
      <c r="C2482" s="96" t="s">
        <v>2417</v>
      </c>
      <c r="D2482" s="96" t="s">
        <v>34</v>
      </c>
      <c r="E2482" s="43">
        <v>46081</v>
      </c>
      <c r="F2482" s="43">
        <v>46105</v>
      </c>
      <c r="G2482" s="96" t="s">
        <v>90</v>
      </c>
      <c r="H2482" s="96" t="s">
        <v>6124</v>
      </c>
      <c r="I2482" s="96" t="s">
        <v>204</v>
      </c>
      <c r="J2482" s="96" t="s">
        <v>168</v>
      </c>
      <c r="K2482" s="96" t="s">
        <v>246</v>
      </c>
      <c r="L2482">
        <v>24</v>
      </c>
      <c r="M2482" t="s">
        <v>19</v>
      </c>
      <c r="N2482" t="s">
        <v>32</v>
      </c>
      <c r="O2482" t="s">
        <v>170</v>
      </c>
      <c r="P2482">
        <v>2026</v>
      </c>
    </row>
    <row r="2483" spans="1:16" x14ac:dyDescent="0.25">
      <c r="A2483" s="96" t="s">
        <v>171</v>
      </c>
      <c r="B2483" s="96" t="s">
        <v>261</v>
      </c>
      <c r="C2483" s="96" t="s">
        <v>2418</v>
      </c>
      <c r="D2483" s="96" t="s">
        <v>203</v>
      </c>
      <c r="E2483" s="43">
        <v>46063</v>
      </c>
      <c r="F2483" s="43">
        <v>46147</v>
      </c>
      <c r="G2483" s="96" t="s">
        <v>92</v>
      </c>
      <c r="H2483" s="96" t="s">
        <v>6125</v>
      </c>
      <c r="I2483" s="96" t="s">
        <v>228</v>
      </c>
      <c r="J2483" s="96" t="s">
        <v>96</v>
      </c>
      <c r="K2483" s="96" t="s">
        <v>195</v>
      </c>
      <c r="L2483">
        <v>84</v>
      </c>
      <c r="M2483" t="s">
        <v>28</v>
      </c>
      <c r="N2483" t="s">
        <v>32</v>
      </c>
      <c r="O2483" t="s">
        <v>151</v>
      </c>
      <c r="P2483">
        <v>2026</v>
      </c>
    </row>
    <row r="2484" spans="1:16" x14ac:dyDescent="0.25">
      <c r="A2484" s="96" t="s">
        <v>21</v>
      </c>
      <c r="B2484" s="96" t="s">
        <v>249</v>
      </c>
      <c r="C2484" s="96" t="s">
        <v>6126</v>
      </c>
      <c r="D2484" s="96" t="s">
        <v>40</v>
      </c>
      <c r="E2484" s="43">
        <v>46102</v>
      </c>
      <c r="F2484" s="43">
        <v>46149</v>
      </c>
      <c r="G2484" s="96" t="s">
        <v>92</v>
      </c>
      <c r="H2484" s="96" t="s">
        <v>6127</v>
      </c>
      <c r="I2484" s="96" t="s">
        <v>228</v>
      </c>
      <c r="J2484" s="96" t="s">
        <v>169</v>
      </c>
      <c r="K2484" s="96" t="s">
        <v>246</v>
      </c>
      <c r="L2484">
        <v>47</v>
      </c>
      <c r="M2484" t="s">
        <v>24</v>
      </c>
      <c r="N2484" t="s">
        <v>35</v>
      </c>
      <c r="O2484" t="s">
        <v>170</v>
      </c>
      <c r="P2484">
        <v>2026</v>
      </c>
    </row>
    <row r="2485" spans="1:16" hidden="1" x14ac:dyDescent="0.25">
      <c r="A2485" s="96" t="s">
        <v>2</v>
      </c>
      <c r="B2485" s="96" t="s">
        <v>247</v>
      </c>
      <c r="C2485" s="96" t="s">
        <v>2419</v>
      </c>
      <c r="D2485" s="96" t="s">
        <v>40</v>
      </c>
      <c r="E2485" s="43">
        <v>45987</v>
      </c>
      <c r="F2485" s="43">
        <v>46049</v>
      </c>
      <c r="G2485" s="96" t="s">
        <v>90</v>
      </c>
      <c r="H2485" s="96" t="s">
        <v>6128</v>
      </c>
      <c r="I2485" s="96" t="s">
        <v>157</v>
      </c>
      <c r="J2485" s="96" t="s">
        <v>216</v>
      </c>
      <c r="K2485" s="96" t="s">
        <v>205</v>
      </c>
      <c r="L2485">
        <v>62</v>
      </c>
      <c r="M2485" t="s">
        <v>28</v>
      </c>
      <c r="N2485" t="s">
        <v>20</v>
      </c>
      <c r="O2485" t="s">
        <v>150</v>
      </c>
      <c r="P2485">
        <v>2025</v>
      </c>
    </row>
    <row r="2486" spans="1:16" hidden="1" x14ac:dyDescent="0.25">
      <c r="A2486" s="96" t="s">
        <v>175</v>
      </c>
      <c r="B2486" s="96" t="s">
        <v>255</v>
      </c>
      <c r="C2486" s="96" t="s">
        <v>2420</v>
      </c>
      <c r="D2486" s="96" t="s">
        <v>203</v>
      </c>
      <c r="E2486" s="43">
        <v>45681</v>
      </c>
      <c r="F2486" s="43">
        <v>45723</v>
      </c>
      <c r="G2486" s="96" t="s">
        <v>92</v>
      </c>
      <c r="H2486" s="96" t="s">
        <v>6129</v>
      </c>
      <c r="I2486" s="96" t="s">
        <v>194</v>
      </c>
      <c r="J2486" s="96" t="s">
        <v>199</v>
      </c>
      <c r="K2486" s="96" t="s">
        <v>217</v>
      </c>
      <c r="L2486">
        <v>42</v>
      </c>
      <c r="M2486" t="s">
        <v>24</v>
      </c>
      <c r="N2486" t="s">
        <v>181</v>
      </c>
      <c r="O2486" t="s">
        <v>150</v>
      </c>
      <c r="P2486">
        <v>2025</v>
      </c>
    </row>
    <row r="2487" spans="1:16" hidden="1" x14ac:dyDescent="0.25">
      <c r="A2487" s="96" t="s">
        <v>2</v>
      </c>
      <c r="B2487" s="96" t="s">
        <v>206</v>
      </c>
      <c r="C2487" s="96" t="s">
        <v>2421</v>
      </c>
      <c r="D2487" s="96" t="s">
        <v>14</v>
      </c>
      <c r="E2487" s="43">
        <v>45965</v>
      </c>
      <c r="F2487" s="43">
        <v>45990</v>
      </c>
      <c r="G2487" s="96" t="s">
        <v>92</v>
      </c>
      <c r="H2487" s="96" t="s">
        <v>6130</v>
      </c>
      <c r="I2487" s="96" t="s">
        <v>194</v>
      </c>
      <c r="J2487" s="96" t="s">
        <v>283</v>
      </c>
      <c r="K2487" s="96" t="s">
        <v>246</v>
      </c>
      <c r="L2487">
        <v>25</v>
      </c>
      <c r="M2487" t="s">
        <v>19</v>
      </c>
      <c r="N2487" t="s">
        <v>20</v>
      </c>
      <c r="O2487" t="s">
        <v>152</v>
      </c>
      <c r="P2487">
        <v>2025</v>
      </c>
    </row>
    <row r="2488" spans="1:16" x14ac:dyDescent="0.25">
      <c r="A2488" s="96" t="s">
        <v>2</v>
      </c>
      <c r="B2488" s="96" t="s">
        <v>196</v>
      </c>
      <c r="C2488" s="96" t="s">
        <v>2422</v>
      </c>
      <c r="D2488" s="96" t="s">
        <v>10</v>
      </c>
      <c r="E2488" s="43">
        <v>46026</v>
      </c>
      <c r="F2488" s="43">
        <v>46094</v>
      </c>
      <c r="G2488" s="96" t="s">
        <v>92</v>
      </c>
      <c r="H2488" s="96" t="s">
        <v>2353</v>
      </c>
      <c r="I2488" s="96" t="s">
        <v>209</v>
      </c>
      <c r="J2488" s="96" t="s">
        <v>97</v>
      </c>
      <c r="K2488" s="96" t="s">
        <v>217</v>
      </c>
      <c r="L2488">
        <v>68</v>
      </c>
      <c r="M2488" t="s">
        <v>28</v>
      </c>
      <c r="N2488" t="s">
        <v>29</v>
      </c>
      <c r="O2488" t="s">
        <v>152</v>
      </c>
      <c r="P2488">
        <v>2026</v>
      </c>
    </row>
    <row r="2489" spans="1:16" hidden="1" x14ac:dyDescent="0.25">
      <c r="A2489" s="96" t="s">
        <v>2</v>
      </c>
      <c r="B2489" s="96" t="s">
        <v>280</v>
      </c>
      <c r="C2489" s="96" t="s">
        <v>2423</v>
      </c>
      <c r="D2489" s="96" t="s">
        <v>208</v>
      </c>
      <c r="E2489" s="43">
        <v>45766</v>
      </c>
      <c r="F2489" s="43">
        <v>45868</v>
      </c>
      <c r="G2489" s="96" t="s">
        <v>90</v>
      </c>
      <c r="H2489" s="96" t="s">
        <v>2355</v>
      </c>
      <c r="I2489" s="96" t="s">
        <v>194</v>
      </c>
      <c r="J2489" s="96" t="s">
        <v>199</v>
      </c>
      <c r="K2489" s="96" t="s">
        <v>230</v>
      </c>
      <c r="L2489">
        <v>102</v>
      </c>
      <c r="M2489" t="s">
        <v>28</v>
      </c>
      <c r="N2489" t="s">
        <v>185</v>
      </c>
      <c r="O2489" t="s">
        <v>170</v>
      </c>
      <c r="P2489">
        <v>2025</v>
      </c>
    </row>
    <row r="2490" spans="1:16" x14ac:dyDescent="0.25">
      <c r="A2490" s="96" t="s">
        <v>2</v>
      </c>
      <c r="B2490" s="96" t="s">
        <v>269</v>
      </c>
      <c r="C2490" s="96" t="s">
        <v>2424</v>
      </c>
      <c r="D2490" s="96" t="s">
        <v>237</v>
      </c>
      <c r="E2490" s="43">
        <v>46091</v>
      </c>
      <c r="F2490" s="43">
        <v>46137</v>
      </c>
      <c r="G2490" s="96" t="s">
        <v>90</v>
      </c>
      <c r="H2490" s="96" t="s">
        <v>2356</v>
      </c>
      <c r="I2490" s="96" t="s">
        <v>225</v>
      </c>
      <c r="J2490" s="96" t="s">
        <v>94</v>
      </c>
      <c r="K2490" s="96" t="s">
        <v>200</v>
      </c>
      <c r="L2490">
        <v>46</v>
      </c>
      <c r="M2490" t="s">
        <v>24</v>
      </c>
      <c r="N2490" t="s">
        <v>35</v>
      </c>
      <c r="O2490" t="s">
        <v>152</v>
      </c>
      <c r="P2490">
        <v>2026</v>
      </c>
    </row>
    <row r="2491" spans="1:16" hidden="1" x14ac:dyDescent="0.25">
      <c r="A2491" s="96" t="s">
        <v>171</v>
      </c>
      <c r="B2491" s="96" t="s">
        <v>206</v>
      </c>
      <c r="C2491" s="96" t="s">
        <v>6131</v>
      </c>
      <c r="D2491" s="96" t="s">
        <v>208</v>
      </c>
      <c r="E2491" s="43">
        <v>45752</v>
      </c>
      <c r="F2491" s="43">
        <v>45753</v>
      </c>
      <c r="G2491" s="96" t="s">
        <v>90</v>
      </c>
      <c r="H2491" s="96" t="s">
        <v>2358</v>
      </c>
      <c r="I2491" s="96" t="s">
        <v>225</v>
      </c>
      <c r="J2491" s="96" t="s">
        <v>216</v>
      </c>
      <c r="K2491" s="96" t="s">
        <v>246</v>
      </c>
      <c r="L2491">
        <v>1</v>
      </c>
      <c r="M2491" t="s">
        <v>11</v>
      </c>
      <c r="N2491" t="s">
        <v>185</v>
      </c>
      <c r="O2491" t="s">
        <v>152</v>
      </c>
      <c r="P2491">
        <v>2025</v>
      </c>
    </row>
    <row r="2492" spans="1:16" x14ac:dyDescent="0.25">
      <c r="A2492" s="96" t="s">
        <v>2</v>
      </c>
      <c r="B2492" s="96" t="s">
        <v>261</v>
      </c>
      <c r="C2492" s="96" t="s">
        <v>2425</v>
      </c>
      <c r="D2492" s="96" t="s">
        <v>34</v>
      </c>
      <c r="E2492" s="43">
        <v>46063</v>
      </c>
      <c r="F2492" s="43">
        <v>46146</v>
      </c>
      <c r="G2492" s="96" t="s">
        <v>92</v>
      </c>
      <c r="H2492" s="96" t="s">
        <v>2360</v>
      </c>
      <c r="I2492" s="96" t="s">
        <v>157</v>
      </c>
      <c r="J2492" s="96" t="s">
        <v>93</v>
      </c>
      <c r="K2492" s="96" t="s">
        <v>217</v>
      </c>
      <c r="L2492">
        <v>83</v>
      </c>
      <c r="M2492" t="s">
        <v>28</v>
      </c>
      <c r="N2492" t="s">
        <v>32</v>
      </c>
      <c r="O2492" t="s">
        <v>151</v>
      </c>
      <c r="P2492">
        <v>2026</v>
      </c>
    </row>
    <row r="2493" spans="1:16" hidden="1" x14ac:dyDescent="0.25">
      <c r="A2493" s="96" t="s">
        <v>2</v>
      </c>
      <c r="B2493" s="96" t="s">
        <v>231</v>
      </c>
      <c r="C2493" s="96" t="s">
        <v>2426</v>
      </c>
      <c r="D2493" s="96" t="s">
        <v>223</v>
      </c>
      <c r="E2493" s="43">
        <v>45814</v>
      </c>
      <c r="F2493" s="43">
        <v>45848</v>
      </c>
      <c r="G2493" s="96" t="s">
        <v>90</v>
      </c>
      <c r="H2493" s="96" t="s">
        <v>6132</v>
      </c>
      <c r="I2493" s="96" t="s">
        <v>9</v>
      </c>
      <c r="J2493" s="96" t="s">
        <v>177</v>
      </c>
      <c r="K2493" s="96" t="s">
        <v>246</v>
      </c>
      <c r="L2493">
        <v>34</v>
      </c>
      <c r="M2493" t="s">
        <v>24</v>
      </c>
      <c r="N2493" t="s">
        <v>184</v>
      </c>
      <c r="O2493" t="s">
        <v>170</v>
      </c>
      <c r="P2493">
        <v>2025</v>
      </c>
    </row>
    <row r="2494" spans="1:16" hidden="1" x14ac:dyDescent="0.25">
      <c r="A2494" s="96" t="s">
        <v>2</v>
      </c>
      <c r="B2494" s="96" t="s">
        <v>251</v>
      </c>
      <c r="C2494" s="96" t="s">
        <v>2427</v>
      </c>
      <c r="D2494" s="96" t="s">
        <v>40</v>
      </c>
      <c r="E2494" s="43">
        <v>45861</v>
      </c>
      <c r="F2494" s="43">
        <v>45964</v>
      </c>
      <c r="G2494" s="96" t="s">
        <v>92</v>
      </c>
      <c r="H2494" s="96" t="s">
        <v>6133</v>
      </c>
      <c r="I2494" s="96" t="s">
        <v>225</v>
      </c>
      <c r="J2494" s="96" t="s">
        <v>168</v>
      </c>
      <c r="K2494" s="96" t="s">
        <v>246</v>
      </c>
      <c r="L2494">
        <v>103</v>
      </c>
      <c r="M2494" t="s">
        <v>28</v>
      </c>
      <c r="N2494" t="s">
        <v>187</v>
      </c>
      <c r="O2494" t="s">
        <v>170</v>
      </c>
      <c r="P2494">
        <v>2025</v>
      </c>
    </row>
    <row r="2495" spans="1:16" hidden="1" x14ac:dyDescent="0.25">
      <c r="A2495" s="96" t="s">
        <v>2</v>
      </c>
      <c r="B2495" s="96" t="s">
        <v>240</v>
      </c>
      <c r="C2495" s="96" t="s">
        <v>6134</v>
      </c>
      <c r="D2495" s="96" t="s">
        <v>203</v>
      </c>
      <c r="E2495" s="43">
        <v>45748</v>
      </c>
      <c r="F2495" s="43">
        <v>45793</v>
      </c>
      <c r="G2495" s="96" t="s">
        <v>92</v>
      </c>
      <c r="H2495" s="96" t="s">
        <v>6135</v>
      </c>
      <c r="I2495" s="96" t="s">
        <v>9</v>
      </c>
      <c r="J2495" s="96" t="s">
        <v>216</v>
      </c>
      <c r="K2495" s="96" t="s">
        <v>157</v>
      </c>
      <c r="L2495">
        <v>45</v>
      </c>
      <c r="M2495" t="s">
        <v>24</v>
      </c>
      <c r="N2495" t="s">
        <v>185</v>
      </c>
      <c r="O2495" t="s">
        <v>149</v>
      </c>
      <c r="P2495">
        <v>2025</v>
      </c>
    </row>
    <row r="2496" spans="1:16" x14ac:dyDescent="0.25">
      <c r="A2496" s="96" t="s">
        <v>2</v>
      </c>
      <c r="B2496" s="96" t="s">
        <v>302</v>
      </c>
      <c r="C2496" s="96" t="s">
        <v>6136</v>
      </c>
      <c r="D2496" s="96" t="s">
        <v>14</v>
      </c>
      <c r="E2496" s="43">
        <v>46145</v>
      </c>
      <c r="F2496" s="43">
        <v>46150</v>
      </c>
      <c r="G2496" s="96" t="s">
        <v>90</v>
      </c>
      <c r="H2496" s="96" t="s">
        <v>6137</v>
      </c>
      <c r="I2496" s="96" t="s">
        <v>228</v>
      </c>
      <c r="J2496" s="96" t="s">
        <v>172</v>
      </c>
      <c r="K2496" s="96" t="s">
        <v>233</v>
      </c>
      <c r="L2496">
        <v>5</v>
      </c>
      <c r="M2496" t="s">
        <v>11</v>
      </c>
      <c r="N2496" t="s">
        <v>183</v>
      </c>
      <c r="O2496" t="s">
        <v>150</v>
      </c>
      <c r="P2496">
        <v>2026</v>
      </c>
    </row>
    <row r="2497" spans="1:16" hidden="1" x14ac:dyDescent="0.25">
      <c r="A2497" s="96" t="s">
        <v>2</v>
      </c>
      <c r="B2497" s="96" t="s">
        <v>253</v>
      </c>
      <c r="C2497" s="96" t="s">
        <v>2428</v>
      </c>
      <c r="D2497" s="96" t="s">
        <v>192</v>
      </c>
      <c r="E2497" s="43">
        <v>46002</v>
      </c>
      <c r="F2497" s="43">
        <v>46076</v>
      </c>
      <c r="G2497" s="96" t="s">
        <v>92</v>
      </c>
      <c r="H2497" s="96" t="s">
        <v>6138</v>
      </c>
      <c r="I2497" s="96" t="s">
        <v>157</v>
      </c>
      <c r="J2497" s="96" t="s">
        <v>96</v>
      </c>
      <c r="K2497" s="96" t="s">
        <v>217</v>
      </c>
      <c r="L2497">
        <v>74</v>
      </c>
      <c r="M2497" t="s">
        <v>28</v>
      </c>
      <c r="N2497" t="s">
        <v>25</v>
      </c>
      <c r="O2497" t="s">
        <v>152</v>
      </c>
      <c r="P2497">
        <v>2025</v>
      </c>
    </row>
    <row r="2498" spans="1:16" x14ac:dyDescent="0.25">
      <c r="A2498" s="96" t="s">
        <v>2</v>
      </c>
      <c r="B2498" s="96" t="s">
        <v>219</v>
      </c>
      <c r="C2498" s="96" t="s">
        <v>2430</v>
      </c>
      <c r="D2498" s="96" t="s">
        <v>40</v>
      </c>
      <c r="E2498" s="43">
        <v>46033</v>
      </c>
      <c r="F2498" s="43">
        <v>46065</v>
      </c>
      <c r="G2498" s="96" t="s">
        <v>92</v>
      </c>
      <c r="H2498" s="96" t="s">
        <v>6139</v>
      </c>
      <c r="I2498" s="96" t="s">
        <v>194</v>
      </c>
      <c r="J2498" s="96" t="s">
        <v>97</v>
      </c>
      <c r="K2498" s="96" t="s">
        <v>200</v>
      </c>
      <c r="L2498">
        <v>32</v>
      </c>
      <c r="M2498" t="s">
        <v>24</v>
      </c>
      <c r="N2498" t="s">
        <v>29</v>
      </c>
      <c r="O2498" t="s">
        <v>149</v>
      </c>
      <c r="P2498">
        <v>2026</v>
      </c>
    </row>
    <row r="2499" spans="1:16" hidden="1" x14ac:dyDescent="0.25">
      <c r="A2499" s="96" t="s">
        <v>2</v>
      </c>
      <c r="B2499" s="96" t="s">
        <v>206</v>
      </c>
      <c r="C2499" s="96" t="s">
        <v>2433</v>
      </c>
      <c r="D2499" s="96" t="s">
        <v>203</v>
      </c>
      <c r="E2499" s="43">
        <v>45988</v>
      </c>
      <c r="F2499" s="43">
        <v>46063</v>
      </c>
      <c r="G2499" s="96" t="s">
        <v>95</v>
      </c>
      <c r="H2499" s="96" t="s">
        <v>6140</v>
      </c>
      <c r="I2499" s="96" t="s">
        <v>209</v>
      </c>
      <c r="J2499" s="96" t="s">
        <v>91</v>
      </c>
      <c r="K2499" s="96" t="s">
        <v>246</v>
      </c>
      <c r="L2499">
        <v>75</v>
      </c>
      <c r="M2499" t="s">
        <v>28</v>
      </c>
      <c r="N2499" t="s">
        <v>20</v>
      </c>
      <c r="O2499" t="s">
        <v>152</v>
      </c>
      <c r="P2499">
        <v>2025</v>
      </c>
    </row>
    <row r="2500" spans="1:16" hidden="1" x14ac:dyDescent="0.25">
      <c r="A2500" s="96" t="s">
        <v>2</v>
      </c>
      <c r="B2500" s="96" t="s">
        <v>206</v>
      </c>
      <c r="C2500" s="96" t="s">
        <v>2435</v>
      </c>
      <c r="D2500" s="96" t="s">
        <v>208</v>
      </c>
      <c r="E2500" s="43">
        <v>46004</v>
      </c>
      <c r="F2500" s="43">
        <v>46100</v>
      </c>
      <c r="G2500" s="96" t="s">
        <v>92</v>
      </c>
      <c r="H2500" s="96" t="s">
        <v>6141</v>
      </c>
      <c r="I2500" s="96" t="s">
        <v>225</v>
      </c>
      <c r="J2500" s="96" t="s">
        <v>96</v>
      </c>
      <c r="K2500" s="96" t="s">
        <v>157</v>
      </c>
      <c r="L2500">
        <v>96</v>
      </c>
      <c r="M2500" t="s">
        <v>28</v>
      </c>
      <c r="N2500" t="s">
        <v>25</v>
      </c>
      <c r="O2500" t="s">
        <v>152</v>
      </c>
      <c r="P2500">
        <v>2025</v>
      </c>
    </row>
    <row r="2501" spans="1:16" hidden="1" x14ac:dyDescent="0.25">
      <c r="A2501" s="96" t="s">
        <v>175</v>
      </c>
      <c r="B2501" s="96" t="s">
        <v>322</v>
      </c>
      <c r="C2501" s="96" t="s">
        <v>2436</v>
      </c>
      <c r="D2501" s="96" t="s">
        <v>34</v>
      </c>
      <c r="E2501" s="43">
        <v>45824</v>
      </c>
      <c r="F2501" s="43">
        <v>45831</v>
      </c>
      <c r="G2501" s="96" t="s">
        <v>90</v>
      </c>
      <c r="H2501" s="96" t="s">
        <v>6142</v>
      </c>
      <c r="I2501" s="96" t="s">
        <v>209</v>
      </c>
      <c r="J2501" s="96" t="s">
        <v>165</v>
      </c>
      <c r="K2501" s="96" t="s">
        <v>246</v>
      </c>
      <c r="L2501">
        <v>7</v>
      </c>
      <c r="M2501" t="s">
        <v>11</v>
      </c>
      <c r="N2501" t="s">
        <v>184</v>
      </c>
      <c r="O2501" t="s">
        <v>150</v>
      </c>
      <c r="P2501">
        <v>2025</v>
      </c>
    </row>
    <row r="2502" spans="1:16" hidden="1" x14ac:dyDescent="0.25">
      <c r="A2502" s="96" t="s">
        <v>2</v>
      </c>
      <c r="B2502" s="96" t="s">
        <v>255</v>
      </c>
      <c r="C2502" s="96" t="s">
        <v>6143</v>
      </c>
      <c r="D2502" s="96" t="s">
        <v>34</v>
      </c>
      <c r="E2502" s="43">
        <v>45696</v>
      </c>
      <c r="F2502" s="43">
        <v>45748</v>
      </c>
      <c r="G2502" s="96" t="s">
        <v>90</v>
      </c>
      <c r="H2502" s="96" t="s">
        <v>6144</v>
      </c>
      <c r="I2502" s="96" t="s">
        <v>194</v>
      </c>
      <c r="J2502" s="96" t="s">
        <v>93</v>
      </c>
      <c r="K2502" s="96" t="s">
        <v>210</v>
      </c>
      <c r="L2502">
        <v>52</v>
      </c>
      <c r="M2502" t="s">
        <v>24</v>
      </c>
      <c r="N2502" t="s">
        <v>188</v>
      </c>
      <c r="O2502" t="s">
        <v>150</v>
      </c>
      <c r="P2502">
        <v>2025</v>
      </c>
    </row>
    <row r="2503" spans="1:16" x14ac:dyDescent="0.25">
      <c r="A2503" s="96" t="s">
        <v>21</v>
      </c>
      <c r="B2503" s="96" t="s">
        <v>249</v>
      </c>
      <c r="C2503" s="96" t="s">
        <v>2439</v>
      </c>
      <c r="D2503" s="96" t="s">
        <v>237</v>
      </c>
      <c r="E2503" s="43">
        <v>46147</v>
      </c>
      <c r="F2503" s="43">
        <v>46150</v>
      </c>
      <c r="G2503" s="96" t="s">
        <v>92</v>
      </c>
      <c r="H2503" s="96" t="s">
        <v>2366</v>
      </c>
      <c r="I2503" s="96" t="s">
        <v>194</v>
      </c>
      <c r="J2503" s="96" t="s">
        <v>229</v>
      </c>
      <c r="K2503" s="96" t="s">
        <v>157</v>
      </c>
      <c r="L2503">
        <v>3</v>
      </c>
      <c r="M2503" t="s">
        <v>11</v>
      </c>
      <c r="N2503" t="s">
        <v>183</v>
      </c>
      <c r="O2503" t="s">
        <v>170</v>
      </c>
      <c r="P2503">
        <v>2026</v>
      </c>
    </row>
    <row r="2504" spans="1:16" hidden="1" x14ac:dyDescent="0.25">
      <c r="A2504" s="96" t="s">
        <v>21</v>
      </c>
      <c r="B2504" s="96" t="s">
        <v>280</v>
      </c>
      <c r="C2504" s="96" t="s">
        <v>2440</v>
      </c>
      <c r="D2504" s="96" t="s">
        <v>208</v>
      </c>
      <c r="E2504" s="43">
        <v>45789</v>
      </c>
      <c r="F2504" s="43">
        <v>45853</v>
      </c>
      <c r="G2504" s="96" t="s">
        <v>92</v>
      </c>
      <c r="H2504" s="96" t="s">
        <v>2368</v>
      </c>
      <c r="I2504" s="96" t="s">
        <v>194</v>
      </c>
      <c r="J2504" s="96" t="s">
        <v>229</v>
      </c>
      <c r="K2504" s="96" t="s">
        <v>217</v>
      </c>
      <c r="L2504">
        <v>64</v>
      </c>
      <c r="M2504" t="s">
        <v>28</v>
      </c>
      <c r="N2504" t="s">
        <v>182</v>
      </c>
      <c r="O2504" t="s">
        <v>170</v>
      </c>
      <c r="P2504">
        <v>2025</v>
      </c>
    </row>
    <row r="2505" spans="1:16" x14ac:dyDescent="0.25">
      <c r="A2505" s="96" t="s">
        <v>2</v>
      </c>
      <c r="B2505" s="96" t="s">
        <v>218</v>
      </c>
      <c r="C2505" s="96" t="s">
        <v>2442</v>
      </c>
      <c r="D2505" s="96" t="s">
        <v>10</v>
      </c>
      <c r="E2505" s="43">
        <v>46120</v>
      </c>
      <c r="F2505" s="43">
        <v>46150</v>
      </c>
      <c r="G2505" s="96" t="s">
        <v>92</v>
      </c>
      <c r="H2505" s="96" t="s">
        <v>2370</v>
      </c>
      <c r="I2505" s="96" t="s">
        <v>225</v>
      </c>
      <c r="J2505" s="96" t="s">
        <v>172</v>
      </c>
      <c r="K2505" s="96" t="s">
        <v>230</v>
      </c>
      <c r="L2505">
        <v>30</v>
      </c>
      <c r="M2505" t="s">
        <v>19</v>
      </c>
      <c r="N2505" t="s">
        <v>37</v>
      </c>
      <c r="O2505" t="s">
        <v>152</v>
      </c>
      <c r="P2505">
        <v>2026</v>
      </c>
    </row>
    <row r="2506" spans="1:16" hidden="1" x14ac:dyDescent="0.25">
      <c r="A2506" s="96" t="s">
        <v>2</v>
      </c>
      <c r="B2506" s="96" t="s">
        <v>211</v>
      </c>
      <c r="C2506" s="96" t="s">
        <v>2445</v>
      </c>
      <c r="D2506" s="96" t="s">
        <v>208</v>
      </c>
      <c r="E2506" s="43">
        <v>45773</v>
      </c>
      <c r="F2506" s="43">
        <v>45886</v>
      </c>
      <c r="G2506" s="96" t="s">
        <v>90</v>
      </c>
      <c r="H2506" s="96" t="s">
        <v>6145</v>
      </c>
      <c r="I2506" s="96" t="s">
        <v>204</v>
      </c>
      <c r="J2506" s="96" t="s">
        <v>91</v>
      </c>
      <c r="K2506" s="96" t="s">
        <v>233</v>
      </c>
      <c r="L2506">
        <v>113</v>
      </c>
      <c r="M2506" t="s">
        <v>28</v>
      </c>
      <c r="N2506" t="s">
        <v>185</v>
      </c>
      <c r="O2506" t="s">
        <v>170</v>
      </c>
      <c r="P2506">
        <v>2025</v>
      </c>
    </row>
    <row r="2507" spans="1:16" x14ac:dyDescent="0.25">
      <c r="A2507" s="96" t="s">
        <v>171</v>
      </c>
      <c r="B2507" s="96" t="s">
        <v>201</v>
      </c>
      <c r="C2507" s="96" t="s">
        <v>2446</v>
      </c>
      <c r="D2507" s="96" t="s">
        <v>215</v>
      </c>
      <c r="E2507" s="43">
        <v>46138</v>
      </c>
      <c r="F2507" s="43">
        <v>46148</v>
      </c>
      <c r="G2507" s="96" t="s">
        <v>92</v>
      </c>
      <c r="H2507" s="96" t="s">
        <v>6146</v>
      </c>
      <c r="I2507" s="96" t="s">
        <v>194</v>
      </c>
      <c r="J2507" s="96" t="s">
        <v>91</v>
      </c>
      <c r="K2507" s="96" t="s">
        <v>205</v>
      </c>
      <c r="L2507">
        <v>10</v>
      </c>
      <c r="M2507" t="s">
        <v>15</v>
      </c>
      <c r="N2507" t="s">
        <v>37</v>
      </c>
      <c r="O2507" t="s">
        <v>170</v>
      </c>
      <c r="P2507">
        <v>2026</v>
      </c>
    </row>
    <row r="2508" spans="1:16" x14ac:dyDescent="0.25">
      <c r="A2508" s="96" t="s">
        <v>175</v>
      </c>
      <c r="B2508" s="96" t="s">
        <v>219</v>
      </c>
      <c r="C2508" s="96" t="s">
        <v>2447</v>
      </c>
      <c r="D2508" s="96" t="s">
        <v>192</v>
      </c>
      <c r="E2508" s="43">
        <v>46146</v>
      </c>
      <c r="F2508" s="43">
        <v>46146</v>
      </c>
      <c r="G2508" s="96" t="s">
        <v>90</v>
      </c>
      <c r="H2508" s="96" t="s">
        <v>6147</v>
      </c>
      <c r="I2508" s="96" t="s">
        <v>225</v>
      </c>
      <c r="J2508" s="96" t="s">
        <v>283</v>
      </c>
      <c r="K2508" s="96" t="s">
        <v>210</v>
      </c>
      <c r="L2508">
        <v>0</v>
      </c>
      <c r="M2508" t="s">
        <v>11</v>
      </c>
      <c r="N2508" t="s">
        <v>183</v>
      </c>
      <c r="O2508" t="s">
        <v>149</v>
      </c>
      <c r="P2508">
        <v>2026</v>
      </c>
    </row>
    <row r="2509" spans="1:16" hidden="1" x14ac:dyDescent="0.25">
      <c r="A2509" s="96" t="s">
        <v>189</v>
      </c>
      <c r="B2509" s="96" t="s">
        <v>280</v>
      </c>
      <c r="C2509" s="96" t="s">
        <v>6148</v>
      </c>
      <c r="D2509" s="96" t="s">
        <v>14</v>
      </c>
      <c r="E2509" s="43">
        <v>45829</v>
      </c>
      <c r="F2509" s="43">
        <v>45864</v>
      </c>
      <c r="G2509" s="96" t="s">
        <v>92</v>
      </c>
      <c r="H2509" s="96" t="s">
        <v>6149</v>
      </c>
      <c r="I2509" s="96" t="s">
        <v>204</v>
      </c>
      <c r="J2509" s="96" t="s">
        <v>94</v>
      </c>
      <c r="K2509" s="96" t="s">
        <v>200</v>
      </c>
      <c r="L2509">
        <v>35</v>
      </c>
      <c r="M2509" t="s">
        <v>24</v>
      </c>
      <c r="N2509" t="s">
        <v>184</v>
      </c>
      <c r="O2509" t="s">
        <v>170</v>
      </c>
      <c r="P2509">
        <v>2025</v>
      </c>
    </row>
    <row r="2510" spans="1:16" hidden="1" x14ac:dyDescent="0.25">
      <c r="A2510" s="96" t="s">
        <v>2</v>
      </c>
      <c r="B2510" s="96" t="s">
        <v>264</v>
      </c>
      <c r="C2510" s="96" t="s">
        <v>2449</v>
      </c>
      <c r="D2510" s="96" t="s">
        <v>10</v>
      </c>
      <c r="E2510" s="43">
        <v>45679</v>
      </c>
      <c r="F2510" s="43">
        <v>45786</v>
      </c>
      <c r="G2510" s="96" t="s">
        <v>90</v>
      </c>
      <c r="H2510" s="96" t="s">
        <v>6150</v>
      </c>
      <c r="I2510" s="96" t="s">
        <v>204</v>
      </c>
      <c r="J2510" s="96" t="s">
        <v>174</v>
      </c>
      <c r="K2510" s="96" t="s">
        <v>195</v>
      </c>
      <c r="L2510">
        <v>107</v>
      </c>
      <c r="M2510" t="s">
        <v>28</v>
      </c>
      <c r="N2510" t="s">
        <v>181</v>
      </c>
      <c r="O2510" t="s">
        <v>152</v>
      </c>
      <c r="P2510">
        <v>2025</v>
      </c>
    </row>
    <row r="2511" spans="1:16" hidden="1" x14ac:dyDescent="0.25">
      <c r="A2511" s="96" t="s">
        <v>171</v>
      </c>
      <c r="B2511" s="96" t="s">
        <v>264</v>
      </c>
      <c r="C2511" s="96" t="s">
        <v>2450</v>
      </c>
      <c r="D2511" s="96" t="s">
        <v>223</v>
      </c>
      <c r="E2511" s="43">
        <v>45755</v>
      </c>
      <c r="F2511" s="43">
        <v>45858</v>
      </c>
      <c r="G2511" s="96" t="s">
        <v>92</v>
      </c>
      <c r="H2511" s="96" t="s">
        <v>6151</v>
      </c>
      <c r="I2511" s="96" t="s">
        <v>204</v>
      </c>
      <c r="J2511" s="96" t="s">
        <v>169</v>
      </c>
      <c r="K2511" s="96" t="s">
        <v>200</v>
      </c>
      <c r="L2511">
        <v>103</v>
      </c>
      <c r="M2511" t="s">
        <v>28</v>
      </c>
      <c r="N2511" t="s">
        <v>185</v>
      </c>
      <c r="O2511" t="s">
        <v>152</v>
      </c>
      <c r="P2511">
        <v>2025</v>
      </c>
    </row>
    <row r="2512" spans="1:16" hidden="1" x14ac:dyDescent="0.25">
      <c r="A2512" s="96" t="s">
        <v>175</v>
      </c>
      <c r="B2512" s="96" t="s">
        <v>206</v>
      </c>
      <c r="C2512" s="96" t="s">
        <v>2451</v>
      </c>
      <c r="D2512" s="96" t="s">
        <v>40</v>
      </c>
      <c r="E2512" s="43">
        <v>45820</v>
      </c>
      <c r="F2512" s="43">
        <v>45881</v>
      </c>
      <c r="G2512" s="96" t="s">
        <v>92</v>
      </c>
      <c r="H2512" s="96" t="s">
        <v>6152</v>
      </c>
      <c r="I2512" s="96" t="s">
        <v>157</v>
      </c>
      <c r="J2512" s="96" t="s">
        <v>177</v>
      </c>
      <c r="K2512" s="96" t="s">
        <v>217</v>
      </c>
      <c r="L2512">
        <v>61</v>
      </c>
      <c r="M2512" t="s">
        <v>28</v>
      </c>
      <c r="N2512" t="s">
        <v>184</v>
      </c>
      <c r="O2512" t="s">
        <v>152</v>
      </c>
      <c r="P2512">
        <v>2025</v>
      </c>
    </row>
    <row r="2513" spans="1:16" hidden="1" x14ac:dyDescent="0.25">
      <c r="A2513" s="96" t="s">
        <v>2</v>
      </c>
      <c r="B2513" s="96" t="s">
        <v>280</v>
      </c>
      <c r="C2513" s="96" t="s">
        <v>2453</v>
      </c>
      <c r="D2513" s="96" t="s">
        <v>40</v>
      </c>
      <c r="E2513" s="43">
        <v>45792</v>
      </c>
      <c r="F2513" s="43">
        <v>45877</v>
      </c>
      <c r="G2513" s="96" t="s">
        <v>90</v>
      </c>
      <c r="H2513" s="96" t="s">
        <v>6153</v>
      </c>
      <c r="I2513" s="96" t="s">
        <v>9</v>
      </c>
      <c r="J2513" s="96" t="s">
        <v>169</v>
      </c>
      <c r="K2513" s="96" t="s">
        <v>210</v>
      </c>
      <c r="L2513">
        <v>85</v>
      </c>
      <c r="M2513" t="s">
        <v>28</v>
      </c>
      <c r="N2513" t="s">
        <v>182</v>
      </c>
      <c r="O2513" t="s">
        <v>170</v>
      </c>
      <c r="P2513">
        <v>2025</v>
      </c>
    </row>
    <row r="2514" spans="1:16" hidden="1" x14ac:dyDescent="0.25">
      <c r="A2514" s="96" t="s">
        <v>2</v>
      </c>
      <c r="B2514" s="96" t="s">
        <v>213</v>
      </c>
      <c r="C2514" s="96" t="s">
        <v>2455</v>
      </c>
      <c r="D2514" s="96" t="s">
        <v>10</v>
      </c>
      <c r="E2514" s="43">
        <v>45913</v>
      </c>
      <c r="F2514" s="43">
        <v>45927</v>
      </c>
      <c r="G2514" s="96" t="s">
        <v>90</v>
      </c>
      <c r="H2514" s="96" t="s">
        <v>6154</v>
      </c>
      <c r="I2514" s="96" t="s">
        <v>204</v>
      </c>
      <c r="J2514" s="96" t="s">
        <v>98</v>
      </c>
      <c r="K2514" s="96" t="s">
        <v>195</v>
      </c>
      <c r="L2514">
        <v>14</v>
      </c>
      <c r="M2514" t="s">
        <v>15</v>
      </c>
      <c r="N2514" t="s">
        <v>12</v>
      </c>
      <c r="O2514" t="s">
        <v>149</v>
      </c>
      <c r="P2514">
        <v>2025</v>
      </c>
    </row>
    <row r="2515" spans="1:16" x14ac:dyDescent="0.25">
      <c r="A2515" s="96" t="s">
        <v>2</v>
      </c>
      <c r="B2515" s="96" t="s">
        <v>196</v>
      </c>
      <c r="C2515" s="96" t="s">
        <v>6155</v>
      </c>
      <c r="D2515" s="96" t="s">
        <v>223</v>
      </c>
      <c r="E2515" s="43">
        <v>46150</v>
      </c>
      <c r="F2515" s="43">
        <v>46149</v>
      </c>
      <c r="G2515" s="96" t="s">
        <v>92</v>
      </c>
      <c r="H2515" s="96" t="s">
        <v>6156</v>
      </c>
      <c r="I2515" s="96" t="s">
        <v>9</v>
      </c>
      <c r="J2515" s="96" t="s">
        <v>168</v>
      </c>
      <c r="K2515" s="96" t="s">
        <v>230</v>
      </c>
      <c r="L2515">
        <v>-1</v>
      </c>
      <c r="M2515" t="s">
        <v>11</v>
      </c>
      <c r="N2515" t="s">
        <v>183</v>
      </c>
      <c r="O2515" t="s">
        <v>152</v>
      </c>
      <c r="P2515">
        <v>2026</v>
      </c>
    </row>
    <row r="2516" spans="1:16" hidden="1" x14ac:dyDescent="0.25">
      <c r="A2516" s="96" t="s">
        <v>2</v>
      </c>
      <c r="B2516" s="96" t="s">
        <v>264</v>
      </c>
      <c r="C2516" s="96" t="s">
        <v>2457</v>
      </c>
      <c r="D2516" s="96" t="s">
        <v>237</v>
      </c>
      <c r="E2516" s="43">
        <v>45704</v>
      </c>
      <c r="F2516" s="43">
        <v>45820</v>
      </c>
      <c r="G2516" s="96" t="s">
        <v>90</v>
      </c>
      <c r="H2516" s="96" t="s">
        <v>6157</v>
      </c>
      <c r="I2516" s="96" t="s">
        <v>194</v>
      </c>
      <c r="J2516" s="96" t="s">
        <v>172</v>
      </c>
      <c r="K2516" s="96" t="s">
        <v>157</v>
      </c>
      <c r="L2516">
        <v>116</v>
      </c>
      <c r="M2516" t="s">
        <v>28</v>
      </c>
      <c r="N2516" t="s">
        <v>188</v>
      </c>
      <c r="O2516" t="s">
        <v>152</v>
      </c>
      <c r="P2516">
        <v>2025</v>
      </c>
    </row>
    <row r="2517" spans="1:16" hidden="1" x14ac:dyDescent="0.25">
      <c r="A2517" s="96" t="s">
        <v>2</v>
      </c>
      <c r="B2517" s="96" t="s">
        <v>240</v>
      </c>
      <c r="C2517" s="96" t="s">
        <v>2459</v>
      </c>
      <c r="D2517" s="96" t="s">
        <v>237</v>
      </c>
      <c r="E2517" s="43">
        <v>46016</v>
      </c>
      <c r="F2517" s="43">
        <v>46061</v>
      </c>
      <c r="G2517" s="96" t="s">
        <v>92</v>
      </c>
      <c r="H2517" s="96" t="s">
        <v>6158</v>
      </c>
      <c r="I2517" s="96" t="s">
        <v>157</v>
      </c>
      <c r="J2517" s="96" t="s">
        <v>229</v>
      </c>
      <c r="K2517" s="96" t="s">
        <v>217</v>
      </c>
      <c r="L2517">
        <v>45</v>
      </c>
      <c r="M2517" t="s">
        <v>24</v>
      </c>
      <c r="N2517" t="s">
        <v>25</v>
      </c>
      <c r="O2517" t="s">
        <v>149</v>
      </c>
      <c r="P2517">
        <v>2025</v>
      </c>
    </row>
    <row r="2518" spans="1:16" hidden="1" x14ac:dyDescent="0.25">
      <c r="A2518" s="96" t="s">
        <v>2</v>
      </c>
      <c r="B2518" s="96" t="s">
        <v>213</v>
      </c>
      <c r="C2518" s="96" t="s">
        <v>2461</v>
      </c>
      <c r="D2518" s="96" t="s">
        <v>14</v>
      </c>
      <c r="E2518" s="43">
        <v>45974</v>
      </c>
      <c r="F2518" s="43">
        <v>46031</v>
      </c>
      <c r="G2518" s="96" t="s">
        <v>92</v>
      </c>
      <c r="H2518" s="96" t="s">
        <v>6159</v>
      </c>
      <c r="I2518" s="96" t="s">
        <v>204</v>
      </c>
      <c r="J2518" s="96" t="s">
        <v>173</v>
      </c>
      <c r="K2518" s="96" t="s">
        <v>195</v>
      </c>
      <c r="L2518">
        <v>57</v>
      </c>
      <c r="M2518" t="s">
        <v>24</v>
      </c>
      <c r="N2518" t="s">
        <v>20</v>
      </c>
      <c r="O2518" t="s">
        <v>149</v>
      </c>
      <c r="P2518">
        <v>2025</v>
      </c>
    </row>
    <row r="2519" spans="1:16" hidden="1" x14ac:dyDescent="0.25">
      <c r="A2519" s="96" t="s">
        <v>2</v>
      </c>
      <c r="B2519" s="96" t="s">
        <v>221</v>
      </c>
      <c r="C2519" s="96" t="s">
        <v>2463</v>
      </c>
      <c r="D2519" s="96" t="s">
        <v>14</v>
      </c>
      <c r="E2519" s="43">
        <v>45853</v>
      </c>
      <c r="F2519" s="43">
        <v>45938</v>
      </c>
      <c r="G2519" s="96" t="s">
        <v>92</v>
      </c>
      <c r="H2519" s="96" t="s">
        <v>6160</v>
      </c>
      <c r="I2519" s="96" t="s">
        <v>204</v>
      </c>
      <c r="J2519" s="96" t="s">
        <v>94</v>
      </c>
      <c r="K2519" s="96" t="s">
        <v>217</v>
      </c>
      <c r="L2519">
        <v>85</v>
      </c>
      <c r="M2519" t="s">
        <v>28</v>
      </c>
      <c r="N2519" t="s">
        <v>187</v>
      </c>
      <c r="O2519" t="s">
        <v>170</v>
      </c>
      <c r="P2519">
        <v>2025</v>
      </c>
    </row>
    <row r="2520" spans="1:16" hidden="1" x14ac:dyDescent="0.25">
      <c r="A2520" s="96" t="s">
        <v>2</v>
      </c>
      <c r="B2520" s="96" t="s">
        <v>247</v>
      </c>
      <c r="C2520" s="96" t="s">
        <v>6161</v>
      </c>
      <c r="D2520" s="96" t="s">
        <v>223</v>
      </c>
      <c r="E2520" s="43">
        <v>45899</v>
      </c>
      <c r="F2520" s="43">
        <v>45919</v>
      </c>
      <c r="G2520" s="96" t="s">
        <v>90</v>
      </c>
      <c r="H2520" s="96" t="s">
        <v>6162</v>
      </c>
      <c r="I2520" s="96" t="s">
        <v>204</v>
      </c>
      <c r="J2520" s="96" t="s">
        <v>199</v>
      </c>
      <c r="K2520" s="96" t="s">
        <v>246</v>
      </c>
      <c r="L2520">
        <v>20</v>
      </c>
      <c r="M2520" t="s">
        <v>19</v>
      </c>
      <c r="N2520" t="s">
        <v>8</v>
      </c>
      <c r="O2520" t="s">
        <v>150</v>
      </c>
      <c r="P2520">
        <v>2025</v>
      </c>
    </row>
    <row r="2521" spans="1:16" x14ac:dyDescent="0.25">
      <c r="A2521" s="96" t="s">
        <v>2</v>
      </c>
      <c r="B2521" s="96" t="s">
        <v>201</v>
      </c>
      <c r="C2521" s="96" t="s">
        <v>2465</v>
      </c>
      <c r="D2521" s="96" t="s">
        <v>14</v>
      </c>
      <c r="E2521" s="43">
        <v>46105</v>
      </c>
      <c r="F2521" s="43">
        <v>46110</v>
      </c>
      <c r="G2521" s="96" t="s">
        <v>92</v>
      </c>
      <c r="H2521" s="96" t="s">
        <v>6163</v>
      </c>
      <c r="I2521" s="96" t="s">
        <v>209</v>
      </c>
      <c r="J2521" s="96" t="s">
        <v>98</v>
      </c>
      <c r="K2521" s="96" t="s">
        <v>195</v>
      </c>
      <c r="L2521">
        <v>5</v>
      </c>
      <c r="M2521" t="s">
        <v>11</v>
      </c>
      <c r="N2521" t="s">
        <v>35</v>
      </c>
      <c r="O2521" t="s">
        <v>170</v>
      </c>
      <c r="P2521">
        <v>2026</v>
      </c>
    </row>
    <row r="2522" spans="1:16" hidden="1" x14ac:dyDescent="0.25">
      <c r="A2522" s="96" t="s">
        <v>2</v>
      </c>
      <c r="B2522" s="96" t="s">
        <v>251</v>
      </c>
      <c r="C2522" s="96" t="s">
        <v>2466</v>
      </c>
      <c r="D2522" s="96" t="s">
        <v>34</v>
      </c>
      <c r="E2522" s="43">
        <v>45905</v>
      </c>
      <c r="F2522" s="43">
        <v>45967</v>
      </c>
      <c r="G2522" s="96" t="s">
        <v>92</v>
      </c>
      <c r="H2522" s="96" t="s">
        <v>6164</v>
      </c>
      <c r="I2522" s="96" t="s">
        <v>228</v>
      </c>
      <c r="J2522" s="96" t="s">
        <v>94</v>
      </c>
      <c r="K2522" s="96" t="s">
        <v>230</v>
      </c>
      <c r="L2522">
        <v>62</v>
      </c>
      <c r="M2522" t="s">
        <v>28</v>
      </c>
      <c r="N2522" t="s">
        <v>12</v>
      </c>
      <c r="O2522" t="s">
        <v>170</v>
      </c>
      <c r="P2522">
        <v>2025</v>
      </c>
    </row>
    <row r="2523" spans="1:16" hidden="1" x14ac:dyDescent="0.25">
      <c r="A2523" s="96" t="s">
        <v>171</v>
      </c>
      <c r="B2523" s="96" t="s">
        <v>322</v>
      </c>
      <c r="C2523" s="96" t="s">
        <v>2467</v>
      </c>
      <c r="D2523" s="96" t="s">
        <v>223</v>
      </c>
      <c r="E2523" s="43">
        <v>45718</v>
      </c>
      <c r="F2523" s="43">
        <v>45752</v>
      </c>
      <c r="G2523" s="96" t="s">
        <v>92</v>
      </c>
      <c r="H2523" s="96" t="s">
        <v>6165</v>
      </c>
      <c r="I2523" s="96" t="s">
        <v>225</v>
      </c>
      <c r="J2523" s="96" t="s">
        <v>93</v>
      </c>
      <c r="K2523" s="96" t="s">
        <v>210</v>
      </c>
      <c r="L2523">
        <v>34</v>
      </c>
      <c r="M2523" t="s">
        <v>24</v>
      </c>
      <c r="N2523" t="s">
        <v>186</v>
      </c>
      <c r="O2523" t="s">
        <v>150</v>
      </c>
      <c r="P2523">
        <v>2025</v>
      </c>
    </row>
    <row r="2524" spans="1:16" hidden="1" x14ac:dyDescent="0.25">
      <c r="A2524" s="96" t="s">
        <v>2</v>
      </c>
      <c r="B2524" s="96" t="s">
        <v>231</v>
      </c>
      <c r="C2524" s="96" t="s">
        <v>6166</v>
      </c>
      <c r="D2524" s="96" t="s">
        <v>10</v>
      </c>
      <c r="E2524" s="43">
        <v>45976</v>
      </c>
      <c r="F2524" s="43">
        <v>46039</v>
      </c>
      <c r="G2524" s="96" t="s">
        <v>95</v>
      </c>
      <c r="H2524" s="96" t="s">
        <v>6167</v>
      </c>
      <c r="I2524" s="96" t="s">
        <v>228</v>
      </c>
      <c r="J2524" s="96" t="s">
        <v>199</v>
      </c>
      <c r="K2524" s="96" t="s">
        <v>210</v>
      </c>
      <c r="L2524">
        <v>63</v>
      </c>
      <c r="M2524" t="s">
        <v>28</v>
      </c>
      <c r="N2524" t="s">
        <v>20</v>
      </c>
      <c r="O2524" t="s">
        <v>170</v>
      </c>
      <c r="P2524">
        <v>2025</v>
      </c>
    </row>
    <row r="2525" spans="1:16" hidden="1" x14ac:dyDescent="0.25">
      <c r="A2525" s="96" t="s">
        <v>175</v>
      </c>
      <c r="B2525" s="96" t="s">
        <v>238</v>
      </c>
      <c r="C2525" s="96" t="s">
        <v>2468</v>
      </c>
      <c r="D2525" s="96" t="s">
        <v>192</v>
      </c>
      <c r="E2525" s="43">
        <v>45681</v>
      </c>
      <c r="F2525" s="43">
        <v>45726</v>
      </c>
      <c r="G2525" s="96" t="s">
        <v>90</v>
      </c>
      <c r="H2525" s="96" t="s">
        <v>6168</v>
      </c>
      <c r="I2525" s="96" t="s">
        <v>209</v>
      </c>
      <c r="J2525" s="96" t="s">
        <v>98</v>
      </c>
      <c r="K2525" s="96" t="s">
        <v>157</v>
      </c>
      <c r="L2525">
        <v>45</v>
      </c>
      <c r="M2525" t="s">
        <v>24</v>
      </c>
      <c r="N2525" t="s">
        <v>181</v>
      </c>
      <c r="O2525" t="s">
        <v>170</v>
      </c>
      <c r="P2525">
        <v>2025</v>
      </c>
    </row>
    <row r="2526" spans="1:16" x14ac:dyDescent="0.25">
      <c r="A2526" s="96" t="s">
        <v>175</v>
      </c>
      <c r="B2526" s="96" t="s">
        <v>196</v>
      </c>
      <c r="C2526" s="96" t="s">
        <v>2469</v>
      </c>
      <c r="D2526" s="96" t="s">
        <v>34</v>
      </c>
      <c r="E2526" s="43">
        <v>46032</v>
      </c>
      <c r="F2526" s="43">
        <v>46052</v>
      </c>
      <c r="G2526" s="96" t="s">
        <v>92</v>
      </c>
      <c r="H2526" s="96" t="s">
        <v>2384</v>
      </c>
      <c r="I2526" s="96" t="s">
        <v>209</v>
      </c>
      <c r="J2526" s="96" t="s">
        <v>177</v>
      </c>
      <c r="K2526" s="96" t="s">
        <v>217</v>
      </c>
      <c r="L2526">
        <v>20</v>
      </c>
      <c r="M2526" t="s">
        <v>19</v>
      </c>
      <c r="N2526" t="s">
        <v>29</v>
      </c>
      <c r="O2526" t="s">
        <v>152</v>
      </c>
      <c r="P2526">
        <v>2026</v>
      </c>
    </row>
    <row r="2527" spans="1:16" hidden="1" x14ac:dyDescent="0.25">
      <c r="A2527" s="96" t="s">
        <v>189</v>
      </c>
      <c r="B2527" s="96" t="s">
        <v>255</v>
      </c>
      <c r="C2527" s="96" t="s">
        <v>6169</v>
      </c>
      <c r="D2527" s="96" t="s">
        <v>223</v>
      </c>
      <c r="E2527" s="43">
        <v>45892</v>
      </c>
      <c r="F2527" s="43">
        <v>45900</v>
      </c>
      <c r="G2527" s="96" t="s">
        <v>92</v>
      </c>
      <c r="H2527" s="96" t="s">
        <v>2386</v>
      </c>
      <c r="I2527" s="96" t="s">
        <v>9</v>
      </c>
      <c r="J2527" s="96" t="s">
        <v>176</v>
      </c>
      <c r="K2527" s="96" t="s">
        <v>246</v>
      </c>
      <c r="L2527">
        <v>8</v>
      </c>
      <c r="M2527" t="s">
        <v>15</v>
      </c>
      <c r="N2527" t="s">
        <v>8</v>
      </c>
      <c r="O2527" t="s">
        <v>150</v>
      </c>
      <c r="P2527">
        <v>2025</v>
      </c>
    </row>
    <row r="2528" spans="1:16" x14ac:dyDescent="0.25">
      <c r="A2528" s="96" t="s">
        <v>171</v>
      </c>
      <c r="B2528" s="96" t="s">
        <v>226</v>
      </c>
      <c r="C2528" s="96" t="s">
        <v>6170</v>
      </c>
      <c r="D2528" s="96" t="s">
        <v>215</v>
      </c>
      <c r="E2528" s="43">
        <v>46042</v>
      </c>
      <c r="F2528" s="43">
        <v>46098</v>
      </c>
      <c r="G2528" s="96" t="s">
        <v>92</v>
      </c>
      <c r="H2528" s="96" t="s">
        <v>2387</v>
      </c>
      <c r="I2528" s="96" t="s">
        <v>194</v>
      </c>
      <c r="J2528" s="96" t="s">
        <v>177</v>
      </c>
      <c r="K2528" s="96" t="s">
        <v>210</v>
      </c>
      <c r="L2528">
        <v>56</v>
      </c>
      <c r="M2528" t="s">
        <v>24</v>
      </c>
      <c r="N2528" t="s">
        <v>29</v>
      </c>
      <c r="O2528" t="s">
        <v>151</v>
      </c>
      <c r="P2528">
        <v>2026</v>
      </c>
    </row>
    <row r="2529" spans="1:16" x14ac:dyDescent="0.25">
      <c r="A2529" s="96" t="s">
        <v>2</v>
      </c>
      <c r="B2529" s="96" t="s">
        <v>274</v>
      </c>
      <c r="C2529" s="96" t="s">
        <v>2470</v>
      </c>
      <c r="D2529" s="96" t="s">
        <v>34</v>
      </c>
      <c r="E2529" s="43">
        <v>46085</v>
      </c>
      <c r="F2529" s="43">
        <v>46148</v>
      </c>
      <c r="G2529" s="96" t="s">
        <v>92</v>
      </c>
      <c r="H2529" s="96" t="s">
        <v>2388</v>
      </c>
      <c r="I2529" s="96" t="s">
        <v>204</v>
      </c>
      <c r="J2529" s="96" t="s">
        <v>168</v>
      </c>
      <c r="K2529" s="96" t="s">
        <v>200</v>
      </c>
      <c r="L2529">
        <v>63</v>
      </c>
      <c r="M2529" t="s">
        <v>28</v>
      </c>
      <c r="N2529" t="s">
        <v>35</v>
      </c>
      <c r="O2529" t="s">
        <v>170</v>
      </c>
      <c r="P2529">
        <v>2026</v>
      </c>
    </row>
    <row r="2530" spans="1:16" x14ac:dyDescent="0.25">
      <c r="A2530" s="96" t="s">
        <v>171</v>
      </c>
      <c r="B2530" s="96" t="s">
        <v>219</v>
      </c>
      <c r="C2530" s="96" t="s">
        <v>6171</v>
      </c>
      <c r="D2530" s="96" t="s">
        <v>223</v>
      </c>
      <c r="E2530" s="43">
        <v>46074</v>
      </c>
      <c r="F2530" s="43">
        <v>46149</v>
      </c>
      <c r="G2530" s="96" t="s">
        <v>90</v>
      </c>
      <c r="H2530" s="96" t="s">
        <v>2390</v>
      </c>
      <c r="I2530" s="96" t="s">
        <v>228</v>
      </c>
      <c r="J2530" s="96" t="s">
        <v>96</v>
      </c>
      <c r="K2530" s="96" t="s">
        <v>157</v>
      </c>
      <c r="L2530">
        <v>75</v>
      </c>
      <c r="M2530" t="s">
        <v>28</v>
      </c>
      <c r="N2530" t="s">
        <v>32</v>
      </c>
      <c r="O2530" t="s">
        <v>149</v>
      </c>
      <c r="P2530">
        <v>2026</v>
      </c>
    </row>
    <row r="2531" spans="1:16" hidden="1" x14ac:dyDescent="0.25">
      <c r="A2531" s="96" t="s">
        <v>2</v>
      </c>
      <c r="B2531" s="96" t="s">
        <v>272</v>
      </c>
      <c r="C2531" s="96" t="s">
        <v>2471</v>
      </c>
      <c r="D2531" s="96" t="s">
        <v>10</v>
      </c>
      <c r="E2531" s="43">
        <v>45739</v>
      </c>
      <c r="F2531" s="43">
        <v>45848</v>
      </c>
      <c r="G2531" s="96" t="s">
        <v>92</v>
      </c>
      <c r="H2531" s="96" t="s">
        <v>6172</v>
      </c>
      <c r="I2531" s="96" t="s">
        <v>204</v>
      </c>
      <c r="J2531" s="96" t="s">
        <v>177</v>
      </c>
      <c r="K2531" s="96" t="s">
        <v>233</v>
      </c>
      <c r="L2531">
        <v>109</v>
      </c>
      <c r="M2531" t="s">
        <v>28</v>
      </c>
      <c r="N2531" t="s">
        <v>186</v>
      </c>
      <c r="O2531" t="s">
        <v>151</v>
      </c>
      <c r="P2531">
        <v>2025</v>
      </c>
    </row>
    <row r="2532" spans="1:16" x14ac:dyDescent="0.25">
      <c r="A2532" s="96" t="s">
        <v>2</v>
      </c>
      <c r="B2532" s="96" t="s">
        <v>196</v>
      </c>
      <c r="C2532" s="96" t="s">
        <v>2473</v>
      </c>
      <c r="D2532" s="96" t="s">
        <v>203</v>
      </c>
      <c r="E2532" s="43">
        <v>46106</v>
      </c>
      <c r="F2532" s="43">
        <v>46148</v>
      </c>
      <c r="G2532" s="96" t="s">
        <v>90</v>
      </c>
      <c r="H2532" s="96" t="s">
        <v>6173</v>
      </c>
      <c r="I2532" s="96" t="s">
        <v>204</v>
      </c>
      <c r="J2532" s="96" t="s">
        <v>229</v>
      </c>
      <c r="K2532" s="96" t="s">
        <v>246</v>
      </c>
      <c r="L2532">
        <v>42</v>
      </c>
      <c r="M2532" t="s">
        <v>24</v>
      </c>
      <c r="N2532" t="s">
        <v>35</v>
      </c>
      <c r="O2532" t="s">
        <v>152</v>
      </c>
      <c r="P2532">
        <v>2026</v>
      </c>
    </row>
    <row r="2533" spans="1:16" hidden="1" x14ac:dyDescent="0.25">
      <c r="A2533" s="96" t="s">
        <v>2</v>
      </c>
      <c r="B2533" s="96" t="s">
        <v>231</v>
      </c>
      <c r="C2533" s="96" t="s">
        <v>6174</v>
      </c>
      <c r="D2533" s="96" t="s">
        <v>223</v>
      </c>
      <c r="E2533" s="43">
        <v>45853</v>
      </c>
      <c r="F2533" s="43">
        <v>45874</v>
      </c>
      <c r="G2533" s="96" t="s">
        <v>90</v>
      </c>
      <c r="H2533" s="96" t="s">
        <v>2393</v>
      </c>
      <c r="I2533" s="96" t="s">
        <v>204</v>
      </c>
      <c r="J2533" s="96" t="s">
        <v>94</v>
      </c>
      <c r="K2533" s="96" t="s">
        <v>210</v>
      </c>
      <c r="L2533">
        <v>21</v>
      </c>
      <c r="M2533" t="s">
        <v>19</v>
      </c>
      <c r="N2533" t="s">
        <v>187</v>
      </c>
      <c r="O2533" t="s">
        <v>170</v>
      </c>
      <c r="P2533">
        <v>2025</v>
      </c>
    </row>
    <row r="2534" spans="1:16" hidden="1" x14ac:dyDescent="0.25">
      <c r="A2534" s="96" t="s">
        <v>2</v>
      </c>
      <c r="B2534" s="96" t="s">
        <v>272</v>
      </c>
      <c r="C2534" s="96" t="s">
        <v>2476</v>
      </c>
      <c r="D2534" s="96" t="s">
        <v>223</v>
      </c>
      <c r="E2534" s="43">
        <v>45705</v>
      </c>
      <c r="F2534" s="43">
        <v>45808</v>
      </c>
      <c r="G2534" s="96" t="s">
        <v>95</v>
      </c>
      <c r="H2534" s="96" t="s">
        <v>2394</v>
      </c>
      <c r="I2534" s="96" t="s">
        <v>9</v>
      </c>
      <c r="J2534" s="96" t="s">
        <v>91</v>
      </c>
      <c r="K2534" s="96" t="s">
        <v>233</v>
      </c>
      <c r="L2534">
        <v>103</v>
      </c>
      <c r="M2534" t="s">
        <v>28</v>
      </c>
      <c r="N2534" t="s">
        <v>188</v>
      </c>
      <c r="O2534" t="s">
        <v>151</v>
      </c>
      <c r="P2534">
        <v>2025</v>
      </c>
    </row>
    <row r="2535" spans="1:16" x14ac:dyDescent="0.25">
      <c r="A2535" s="96" t="s">
        <v>2</v>
      </c>
      <c r="B2535" s="96" t="s">
        <v>317</v>
      </c>
      <c r="C2535" s="96" t="s">
        <v>6175</v>
      </c>
      <c r="D2535" s="96" t="s">
        <v>34</v>
      </c>
      <c r="E2535" s="43">
        <v>46091</v>
      </c>
      <c r="F2535" s="43">
        <v>46103</v>
      </c>
      <c r="G2535" s="96" t="s">
        <v>92</v>
      </c>
      <c r="H2535" s="96" t="s">
        <v>2396</v>
      </c>
      <c r="I2535" s="96" t="s">
        <v>9</v>
      </c>
      <c r="J2535" s="96" t="s">
        <v>172</v>
      </c>
      <c r="K2535" s="96" t="s">
        <v>246</v>
      </c>
      <c r="L2535">
        <v>12</v>
      </c>
      <c r="M2535" t="s">
        <v>15</v>
      </c>
      <c r="N2535" t="s">
        <v>35</v>
      </c>
      <c r="O2535" t="s">
        <v>170</v>
      </c>
      <c r="P2535">
        <v>2026</v>
      </c>
    </row>
    <row r="2536" spans="1:16" x14ac:dyDescent="0.25">
      <c r="A2536" s="96" t="s">
        <v>2</v>
      </c>
      <c r="B2536" s="96" t="s">
        <v>249</v>
      </c>
      <c r="C2536" s="96" t="s">
        <v>2477</v>
      </c>
      <c r="D2536" s="96" t="s">
        <v>10</v>
      </c>
      <c r="E2536" s="43">
        <v>46120</v>
      </c>
      <c r="F2536" s="43">
        <v>46147</v>
      </c>
      <c r="G2536" s="96" t="s">
        <v>92</v>
      </c>
      <c r="H2536" s="96" t="s">
        <v>2398</v>
      </c>
      <c r="I2536" s="96" t="s">
        <v>228</v>
      </c>
      <c r="J2536" s="96" t="s">
        <v>173</v>
      </c>
      <c r="K2536" s="96" t="s">
        <v>200</v>
      </c>
      <c r="L2536">
        <v>27</v>
      </c>
      <c r="M2536" t="s">
        <v>19</v>
      </c>
      <c r="N2536" t="s">
        <v>37</v>
      </c>
      <c r="O2536" t="s">
        <v>170</v>
      </c>
      <c r="P2536">
        <v>2026</v>
      </c>
    </row>
    <row r="2537" spans="1:16" hidden="1" x14ac:dyDescent="0.25">
      <c r="A2537" s="96" t="s">
        <v>2</v>
      </c>
      <c r="B2537" s="96" t="s">
        <v>257</v>
      </c>
      <c r="C2537" s="96" t="s">
        <v>6176</v>
      </c>
      <c r="D2537" s="96" t="s">
        <v>223</v>
      </c>
      <c r="E2537" s="43">
        <v>45721</v>
      </c>
      <c r="F2537" s="43">
        <v>45748</v>
      </c>
      <c r="G2537" s="96" t="s">
        <v>92</v>
      </c>
      <c r="H2537" s="96" t="s">
        <v>6177</v>
      </c>
      <c r="I2537" s="96" t="s">
        <v>228</v>
      </c>
      <c r="J2537" s="96" t="s">
        <v>165</v>
      </c>
      <c r="K2537" s="96" t="s">
        <v>205</v>
      </c>
      <c r="L2537">
        <v>27</v>
      </c>
      <c r="M2537" t="s">
        <v>19</v>
      </c>
      <c r="N2537" t="s">
        <v>186</v>
      </c>
      <c r="O2537" t="s">
        <v>151</v>
      </c>
      <c r="P2537">
        <v>2025</v>
      </c>
    </row>
    <row r="2538" spans="1:16" x14ac:dyDescent="0.25">
      <c r="A2538" s="96" t="s">
        <v>2</v>
      </c>
      <c r="B2538" s="96" t="s">
        <v>302</v>
      </c>
      <c r="C2538" s="96" t="s">
        <v>2478</v>
      </c>
      <c r="D2538" s="96" t="s">
        <v>14</v>
      </c>
      <c r="E2538" s="43">
        <v>46122</v>
      </c>
      <c r="F2538" s="43">
        <v>46149</v>
      </c>
      <c r="G2538" s="96" t="s">
        <v>95</v>
      </c>
      <c r="H2538" s="96" t="s">
        <v>6178</v>
      </c>
      <c r="I2538" s="96" t="s">
        <v>209</v>
      </c>
      <c r="J2538" s="96" t="s">
        <v>96</v>
      </c>
      <c r="K2538" s="96" t="s">
        <v>200</v>
      </c>
      <c r="L2538">
        <v>27</v>
      </c>
      <c r="M2538" t="s">
        <v>19</v>
      </c>
      <c r="N2538" t="s">
        <v>37</v>
      </c>
      <c r="O2538" t="s">
        <v>150</v>
      </c>
      <c r="P2538">
        <v>2026</v>
      </c>
    </row>
    <row r="2539" spans="1:16" hidden="1" x14ac:dyDescent="0.25">
      <c r="A2539" s="96" t="s">
        <v>171</v>
      </c>
      <c r="B2539" s="96" t="s">
        <v>264</v>
      </c>
      <c r="C2539" s="96" t="s">
        <v>2479</v>
      </c>
      <c r="D2539" s="96" t="s">
        <v>10</v>
      </c>
      <c r="E2539" s="43">
        <v>45963</v>
      </c>
      <c r="F2539" s="43">
        <v>46065</v>
      </c>
      <c r="G2539" s="96" t="s">
        <v>92</v>
      </c>
      <c r="H2539" s="96" t="s">
        <v>6179</v>
      </c>
      <c r="I2539" s="96" t="s">
        <v>157</v>
      </c>
      <c r="J2539" s="96" t="s">
        <v>98</v>
      </c>
      <c r="K2539" s="96" t="s">
        <v>200</v>
      </c>
      <c r="L2539">
        <v>102</v>
      </c>
      <c r="M2539" t="s">
        <v>28</v>
      </c>
      <c r="N2539" t="s">
        <v>20</v>
      </c>
      <c r="O2539" t="s">
        <v>152</v>
      </c>
      <c r="P2539">
        <v>2025</v>
      </c>
    </row>
    <row r="2540" spans="1:16" x14ac:dyDescent="0.25">
      <c r="A2540" s="96" t="s">
        <v>2</v>
      </c>
      <c r="B2540" s="96" t="s">
        <v>374</v>
      </c>
      <c r="C2540" s="96" t="s">
        <v>2480</v>
      </c>
      <c r="D2540" s="96" t="s">
        <v>237</v>
      </c>
      <c r="E2540" s="43">
        <v>46098</v>
      </c>
      <c r="F2540" s="43">
        <v>46147</v>
      </c>
      <c r="G2540" s="96" t="s">
        <v>92</v>
      </c>
      <c r="H2540" s="96" t="s">
        <v>6180</v>
      </c>
      <c r="I2540" s="96" t="s">
        <v>157</v>
      </c>
      <c r="J2540" s="96" t="s">
        <v>94</v>
      </c>
      <c r="K2540" s="96" t="s">
        <v>205</v>
      </c>
      <c r="L2540">
        <v>49</v>
      </c>
      <c r="M2540" t="s">
        <v>24</v>
      </c>
      <c r="N2540" t="s">
        <v>35</v>
      </c>
      <c r="O2540" t="s">
        <v>150</v>
      </c>
      <c r="P2540">
        <v>2026</v>
      </c>
    </row>
    <row r="2541" spans="1:16" x14ac:dyDescent="0.25">
      <c r="A2541" s="96" t="s">
        <v>2</v>
      </c>
      <c r="B2541" s="96" t="s">
        <v>374</v>
      </c>
      <c r="C2541" s="96" t="s">
        <v>2481</v>
      </c>
      <c r="D2541" s="96" t="s">
        <v>215</v>
      </c>
      <c r="E2541" s="43">
        <v>46034</v>
      </c>
      <c r="F2541" s="43">
        <v>46051</v>
      </c>
      <c r="G2541" s="96" t="s">
        <v>90</v>
      </c>
      <c r="H2541" s="96" t="s">
        <v>6181</v>
      </c>
      <c r="I2541" s="96" t="s">
        <v>209</v>
      </c>
      <c r="J2541" s="96" t="s">
        <v>169</v>
      </c>
      <c r="K2541" s="96" t="s">
        <v>157</v>
      </c>
      <c r="L2541">
        <v>17</v>
      </c>
      <c r="M2541" t="s">
        <v>19</v>
      </c>
      <c r="N2541" t="s">
        <v>29</v>
      </c>
      <c r="O2541" t="s">
        <v>150</v>
      </c>
      <c r="P2541">
        <v>2026</v>
      </c>
    </row>
    <row r="2542" spans="1:16" hidden="1" x14ac:dyDescent="0.25">
      <c r="A2542" s="96" t="s">
        <v>2</v>
      </c>
      <c r="B2542" s="96" t="s">
        <v>280</v>
      </c>
      <c r="C2542" s="96" t="s">
        <v>6182</v>
      </c>
      <c r="D2542" s="96" t="s">
        <v>208</v>
      </c>
      <c r="E2542" s="43">
        <v>45780</v>
      </c>
      <c r="F2542" s="43">
        <v>45794</v>
      </c>
      <c r="G2542" s="96" t="s">
        <v>92</v>
      </c>
      <c r="H2542" s="96" t="s">
        <v>6183</v>
      </c>
      <c r="I2542" s="96" t="s">
        <v>9</v>
      </c>
      <c r="J2542" s="96" t="s">
        <v>168</v>
      </c>
      <c r="K2542" s="96" t="s">
        <v>195</v>
      </c>
      <c r="L2542">
        <v>14</v>
      </c>
      <c r="M2542" t="s">
        <v>15</v>
      </c>
      <c r="N2542" t="s">
        <v>182</v>
      </c>
      <c r="O2542" t="s">
        <v>170</v>
      </c>
      <c r="P2542">
        <v>2025</v>
      </c>
    </row>
    <row r="2543" spans="1:16" hidden="1" x14ac:dyDescent="0.25">
      <c r="A2543" s="96" t="s">
        <v>2</v>
      </c>
      <c r="B2543" s="96" t="s">
        <v>264</v>
      </c>
      <c r="C2543" s="96" t="s">
        <v>6184</v>
      </c>
      <c r="D2543" s="96" t="s">
        <v>237</v>
      </c>
      <c r="E2543" s="43">
        <v>45740</v>
      </c>
      <c r="F2543" s="43">
        <v>45800</v>
      </c>
      <c r="G2543" s="96" t="s">
        <v>92</v>
      </c>
      <c r="H2543" s="96" t="s">
        <v>6185</v>
      </c>
      <c r="I2543" s="96" t="s">
        <v>228</v>
      </c>
      <c r="J2543" s="96" t="s">
        <v>172</v>
      </c>
      <c r="K2543" s="96" t="s">
        <v>200</v>
      </c>
      <c r="L2543">
        <v>60</v>
      </c>
      <c r="M2543" t="s">
        <v>24</v>
      </c>
      <c r="N2543" t="s">
        <v>186</v>
      </c>
      <c r="O2543" t="s">
        <v>152</v>
      </c>
      <c r="P2543">
        <v>2025</v>
      </c>
    </row>
    <row r="2544" spans="1:16" hidden="1" x14ac:dyDescent="0.25">
      <c r="A2544" s="96" t="s">
        <v>2</v>
      </c>
      <c r="B2544" s="96" t="s">
        <v>240</v>
      </c>
      <c r="C2544" s="96" t="s">
        <v>6186</v>
      </c>
      <c r="D2544" s="96" t="s">
        <v>203</v>
      </c>
      <c r="E2544" s="43">
        <v>45951</v>
      </c>
      <c r="F2544" s="43">
        <v>46001</v>
      </c>
      <c r="G2544" s="96" t="s">
        <v>90</v>
      </c>
      <c r="H2544" s="96" t="s">
        <v>6187</v>
      </c>
      <c r="I2544" s="96" t="s">
        <v>9</v>
      </c>
      <c r="J2544" s="96" t="s">
        <v>229</v>
      </c>
      <c r="K2544" s="96" t="s">
        <v>246</v>
      </c>
      <c r="L2544">
        <v>50</v>
      </c>
      <c r="M2544" t="s">
        <v>24</v>
      </c>
      <c r="N2544" t="s">
        <v>16</v>
      </c>
      <c r="O2544" t="s">
        <v>149</v>
      </c>
      <c r="P2544">
        <v>2025</v>
      </c>
    </row>
    <row r="2545" spans="1:16" hidden="1" x14ac:dyDescent="0.25">
      <c r="A2545" s="96" t="s">
        <v>2</v>
      </c>
      <c r="B2545" s="96" t="s">
        <v>255</v>
      </c>
      <c r="C2545" s="96" t="s">
        <v>6188</v>
      </c>
      <c r="D2545" s="96" t="s">
        <v>203</v>
      </c>
      <c r="E2545" s="43">
        <v>45817</v>
      </c>
      <c r="F2545" s="43">
        <v>45911</v>
      </c>
      <c r="G2545" s="96" t="s">
        <v>90</v>
      </c>
      <c r="H2545" s="96" t="s">
        <v>6189</v>
      </c>
      <c r="I2545" s="96" t="s">
        <v>9</v>
      </c>
      <c r="J2545" s="96" t="s">
        <v>283</v>
      </c>
      <c r="K2545" s="96" t="s">
        <v>157</v>
      </c>
      <c r="L2545">
        <v>94</v>
      </c>
      <c r="M2545" t="s">
        <v>28</v>
      </c>
      <c r="N2545" t="s">
        <v>184</v>
      </c>
      <c r="O2545" t="s">
        <v>150</v>
      </c>
      <c r="P2545">
        <v>2025</v>
      </c>
    </row>
    <row r="2546" spans="1:16" x14ac:dyDescent="0.25">
      <c r="A2546" s="96" t="s">
        <v>2</v>
      </c>
      <c r="B2546" s="96" t="s">
        <v>244</v>
      </c>
      <c r="C2546" s="96" t="s">
        <v>6190</v>
      </c>
      <c r="D2546" s="96" t="s">
        <v>10</v>
      </c>
      <c r="E2546" s="43">
        <v>46138</v>
      </c>
      <c r="F2546" s="43">
        <v>46150</v>
      </c>
      <c r="G2546" s="96" t="s">
        <v>92</v>
      </c>
      <c r="H2546" s="96" t="s">
        <v>6191</v>
      </c>
      <c r="I2546" s="96" t="s">
        <v>225</v>
      </c>
      <c r="J2546" s="96" t="s">
        <v>199</v>
      </c>
      <c r="K2546" s="96" t="s">
        <v>195</v>
      </c>
      <c r="L2546">
        <v>12</v>
      </c>
      <c r="M2546" t="s">
        <v>15</v>
      </c>
      <c r="N2546" t="s">
        <v>37</v>
      </c>
      <c r="O2546" t="s">
        <v>150</v>
      </c>
      <c r="P2546">
        <v>2026</v>
      </c>
    </row>
    <row r="2547" spans="1:16" hidden="1" x14ac:dyDescent="0.25">
      <c r="A2547" s="96" t="s">
        <v>2</v>
      </c>
      <c r="B2547" s="96" t="s">
        <v>253</v>
      </c>
      <c r="C2547" s="96" t="s">
        <v>2482</v>
      </c>
      <c r="D2547" s="96" t="s">
        <v>40</v>
      </c>
      <c r="E2547" s="43">
        <v>45929</v>
      </c>
      <c r="F2547" s="43">
        <v>45957</v>
      </c>
      <c r="G2547" s="96" t="s">
        <v>92</v>
      </c>
      <c r="H2547" s="96" t="s">
        <v>6192</v>
      </c>
      <c r="I2547" s="96" t="s">
        <v>228</v>
      </c>
      <c r="J2547" s="96" t="s">
        <v>93</v>
      </c>
      <c r="K2547" s="96" t="s">
        <v>157</v>
      </c>
      <c r="L2547">
        <v>28</v>
      </c>
      <c r="M2547" t="s">
        <v>19</v>
      </c>
      <c r="N2547" t="s">
        <v>12</v>
      </c>
      <c r="O2547" t="s">
        <v>152</v>
      </c>
      <c r="P2547">
        <v>2025</v>
      </c>
    </row>
    <row r="2548" spans="1:16" hidden="1" x14ac:dyDescent="0.25">
      <c r="A2548" s="96" t="s">
        <v>2</v>
      </c>
      <c r="B2548" s="96" t="s">
        <v>231</v>
      </c>
      <c r="C2548" s="96" t="s">
        <v>2483</v>
      </c>
      <c r="D2548" s="96" t="s">
        <v>208</v>
      </c>
      <c r="E2548" s="43">
        <v>45797</v>
      </c>
      <c r="F2548" s="43">
        <v>45912</v>
      </c>
      <c r="G2548" s="96" t="s">
        <v>92</v>
      </c>
      <c r="H2548" s="96" t="s">
        <v>6193</v>
      </c>
      <c r="I2548" s="96" t="s">
        <v>209</v>
      </c>
      <c r="J2548" s="96" t="s">
        <v>173</v>
      </c>
      <c r="K2548" s="96" t="s">
        <v>217</v>
      </c>
      <c r="L2548">
        <v>115</v>
      </c>
      <c r="M2548" t="s">
        <v>28</v>
      </c>
      <c r="N2548" t="s">
        <v>182</v>
      </c>
      <c r="O2548" t="s">
        <v>170</v>
      </c>
      <c r="P2548">
        <v>2025</v>
      </c>
    </row>
    <row r="2549" spans="1:16" hidden="1" x14ac:dyDescent="0.25">
      <c r="A2549" s="96" t="s">
        <v>2</v>
      </c>
      <c r="B2549" s="96" t="s">
        <v>251</v>
      </c>
      <c r="C2549" s="96" t="s">
        <v>6194</v>
      </c>
      <c r="D2549" s="96" t="s">
        <v>208</v>
      </c>
      <c r="E2549" s="43">
        <v>45813</v>
      </c>
      <c r="F2549" s="43">
        <v>45842</v>
      </c>
      <c r="G2549" s="96" t="s">
        <v>92</v>
      </c>
      <c r="H2549" s="96" t="s">
        <v>6195</v>
      </c>
      <c r="I2549" s="96" t="s">
        <v>228</v>
      </c>
      <c r="J2549" s="96" t="s">
        <v>229</v>
      </c>
      <c r="K2549" s="96" t="s">
        <v>200</v>
      </c>
      <c r="L2549">
        <v>29</v>
      </c>
      <c r="M2549" t="s">
        <v>19</v>
      </c>
      <c r="N2549" t="s">
        <v>184</v>
      </c>
      <c r="O2549" t="s">
        <v>170</v>
      </c>
      <c r="P2549">
        <v>2025</v>
      </c>
    </row>
    <row r="2550" spans="1:16" hidden="1" x14ac:dyDescent="0.25">
      <c r="A2550" s="96" t="s">
        <v>2</v>
      </c>
      <c r="B2550" s="96" t="s">
        <v>211</v>
      </c>
      <c r="C2550" s="96" t="s">
        <v>2484</v>
      </c>
      <c r="D2550" s="96" t="s">
        <v>208</v>
      </c>
      <c r="E2550" s="43">
        <v>45781</v>
      </c>
      <c r="F2550" s="43">
        <v>45838</v>
      </c>
      <c r="G2550" s="96" t="s">
        <v>90</v>
      </c>
      <c r="H2550" s="96" t="s">
        <v>6196</v>
      </c>
      <c r="I2550" s="96" t="s">
        <v>9</v>
      </c>
      <c r="J2550" s="96" t="s">
        <v>96</v>
      </c>
      <c r="K2550" s="96" t="s">
        <v>233</v>
      </c>
      <c r="L2550">
        <v>57</v>
      </c>
      <c r="M2550" t="s">
        <v>24</v>
      </c>
      <c r="N2550" t="s">
        <v>182</v>
      </c>
      <c r="O2550" t="s">
        <v>170</v>
      </c>
      <c r="P2550">
        <v>2025</v>
      </c>
    </row>
    <row r="2551" spans="1:16" hidden="1" x14ac:dyDescent="0.25">
      <c r="A2551" s="96" t="s">
        <v>2</v>
      </c>
      <c r="B2551" s="96" t="s">
        <v>221</v>
      </c>
      <c r="C2551" s="96" t="s">
        <v>2485</v>
      </c>
      <c r="D2551" s="96" t="s">
        <v>40</v>
      </c>
      <c r="E2551" s="43">
        <v>45821</v>
      </c>
      <c r="F2551" s="43">
        <v>45884</v>
      </c>
      <c r="G2551" s="96" t="s">
        <v>90</v>
      </c>
      <c r="H2551" s="96" t="s">
        <v>6197</v>
      </c>
      <c r="I2551" s="96" t="s">
        <v>157</v>
      </c>
      <c r="J2551" s="96" t="s">
        <v>229</v>
      </c>
      <c r="K2551" s="96" t="s">
        <v>233</v>
      </c>
      <c r="L2551">
        <v>63</v>
      </c>
      <c r="M2551" t="s">
        <v>28</v>
      </c>
      <c r="N2551" t="s">
        <v>184</v>
      </c>
      <c r="O2551" t="s">
        <v>170</v>
      </c>
      <c r="P2551">
        <v>2025</v>
      </c>
    </row>
    <row r="2552" spans="1:16" x14ac:dyDescent="0.25">
      <c r="A2552" s="96" t="s">
        <v>2</v>
      </c>
      <c r="B2552" s="96" t="s">
        <v>196</v>
      </c>
      <c r="C2552" s="96" t="s">
        <v>2486</v>
      </c>
      <c r="D2552" s="96" t="s">
        <v>215</v>
      </c>
      <c r="E2552" s="43">
        <v>46109</v>
      </c>
      <c r="F2552" s="43">
        <v>46150</v>
      </c>
      <c r="G2552" s="96" t="s">
        <v>92</v>
      </c>
      <c r="H2552" s="96" t="s">
        <v>6198</v>
      </c>
      <c r="I2552" s="96" t="s">
        <v>225</v>
      </c>
      <c r="J2552" s="96" t="s">
        <v>199</v>
      </c>
      <c r="K2552" s="96" t="s">
        <v>246</v>
      </c>
      <c r="L2552">
        <v>41</v>
      </c>
      <c r="M2552" t="s">
        <v>24</v>
      </c>
      <c r="N2552" t="s">
        <v>35</v>
      </c>
      <c r="O2552" t="s">
        <v>152</v>
      </c>
      <c r="P2552">
        <v>2026</v>
      </c>
    </row>
    <row r="2553" spans="1:16" x14ac:dyDescent="0.25">
      <c r="A2553" s="96" t="s">
        <v>2</v>
      </c>
      <c r="B2553" s="96" t="s">
        <v>374</v>
      </c>
      <c r="C2553" s="96" t="s">
        <v>2487</v>
      </c>
      <c r="D2553" s="96" t="s">
        <v>237</v>
      </c>
      <c r="E2553" s="43">
        <v>46063</v>
      </c>
      <c r="F2553" s="43">
        <v>46121</v>
      </c>
      <c r="G2553" s="96" t="s">
        <v>90</v>
      </c>
      <c r="H2553" s="96" t="s">
        <v>6199</v>
      </c>
      <c r="I2553" s="96" t="s">
        <v>225</v>
      </c>
      <c r="J2553" s="96" t="s">
        <v>177</v>
      </c>
      <c r="K2553" s="96" t="s">
        <v>157</v>
      </c>
      <c r="L2553">
        <v>58</v>
      </c>
      <c r="M2553" t="s">
        <v>24</v>
      </c>
      <c r="N2553" t="s">
        <v>32</v>
      </c>
      <c r="O2553" t="s">
        <v>150</v>
      </c>
      <c r="P2553">
        <v>2026</v>
      </c>
    </row>
    <row r="2554" spans="1:16" hidden="1" x14ac:dyDescent="0.25">
      <c r="A2554" s="96" t="s">
        <v>2</v>
      </c>
      <c r="B2554" s="96" t="s">
        <v>272</v>
      </c>
      <c r="C2554" s="96" t="s">
        <v>2488</v>
      </c>
      <c r="D2554" s="96" t="s">
        <v>223</v>
      </c>
      <c r="E2554" s="43">
        <v>45665</v>
      </c>
      <c r="F2554" s="43">
        <v>45783</v>
      </c>
      <c r="G2554" s="96" t="s">
        <v>92</v>
      </c>
      <c r="H2554" s="96" t="s">
        <v>6200</v>
      </c>
      <c r="I2554" s="96" t="s">
        <v>194</v>
      </c>
      <c r="J2554" s="96" t="s">
        <v>93</v>
      </c>
      <c r="K2554" s="96" t="s">
        <v>230</v>
      </c>
      <c r="L2554">
        <v>118</v>
      </c>
      <c r="M2554" t="s">
        <v>28</v>
      </c>
      <c r="N2554" t="s">
        <v>181</v>
      </c>
      <c r="O2554" t="s">
        <v>151</v>
      </c>
      <c r="P2554">
        <v>2025</v>
      </c>
    </row>
    <row r="2555" spans="1:16" hidden="1" x14ac:dyDescent="0.25">
      <c r="A2555" s="96" t="s">
        <v>2</v>
      </c>
      <c r="B2555" s="96" t="s">
        <v>251</v>
      </c>
      <c r="C2555" s="96" t="s">
        <v>2489</v>
      </c>
      <c r="D2555" s="96" t="s">
        <v>34</v>
      </c>
      <c r="E2555" s="43">
        <v>45855</v>
      </c>
      <c r="F2555" s="43">
        <v>45873</v>
      </c>
      <c r="G2555" s="96" t="s">
        <v>92</v>
      </c>
      <c r="H2555" s="96" t="s">
        <v>6201</v>
      </c>
      <c r="I2555" s="96" t="s">
        <v>204</v>
      </c>
      <c r="J2555" s="96" t="s">
        <v>174</v>
      </c>
      <c r="K2555" s="96" t="s">
        <v>230</v>
      </c>
      <c r="L2555">
        <v>18</v>
      </c>
      <c r="M2555" t="s">
        <v>19</v>
      </c>
      <c r="N2555" t="s">
        <v>187</v>
      </c>
      <c r="O2555" t="s">
        <v>170</v>
      </c>
      <c r="P2555">
        <v>2025</v>
      </c>
    </row>
    <row r="2556" spans="1:16" hidden="1" x14ac:dyDescent="0.25">
      <c r="A2556" s="96" t="s">
        <v>2</v>
      </c>
      <c r="B2556" s="96" t="s">
        <v>257</v>
      </c>
      <c r="C2556" s="96" t="s">
        <v>2490</v>
      </c>
      <c r="D2556" s="96" t="s">
        <v>215</v>
      </c>
      <c r="E2556" s="43">
        <v>45796</v>
      </c>
      <c r="F2556" s="43">
        <v>45802</v>
      </c>
      <c r="G2556" s="96" t="s">
        <v>95</v>
      </c>
      <c r="H2556" s="96" t="s">
        <v>6202</v>
      </c>
      <c r="I2556" s="96" t="s">
        <v>228</v>
      </c>
      <c r="J2556" s="96" t="s">
        <v>229</v>
      </c>
      <c r="K2556" s="96" t="s">
        <v>246</v>
      </c>
      <c r="L2556">
        <v>6</v>
      </c>
      <c r="M2556" t="s">
        <v>11</v>
      </c>
      <c r="N2556" t="s">
        <v>182</v>
      </c>
      <c r="O2556" t="s">
        <v>151</v>
      </c>
      <c r="P2556">
        <v>2025</v>
      </c>
    </row>
    <row r="2557" spans="1:16" hidden="1" x14ac:dyDescent="0.25">
      <c r="A2557" s="96" t="s">
        <v>171</v>
      </c>
      <c r="B2557" s="96" t="s">
        <v>257</v>
      </c>
      <c r="C2557" s="96" t="s">
        <v>2491</v>
      </c>
      <c r="D2557" s="96" t="s">
        <v>192</v>
      </c>
      <c r="E2557" s="43">
        <v>45777</v>
      </c>
      <c r="F2557" s="43">
        <v>45849</v>
      </c>
      <c r="G2557" s="96" t="s">
        <v>92</v>
      </c>
      <c r="H2557" s="96" t="s">
        <v>6203</v>
      </c>
      <c r="I2557" s="96" t="s">
        <v>228</v>
      </c>
      <c r="J2557" s="96" t="s">
        <v>176</v>
      </c>
      <c r="K2557" s="96" t="s">
        <v>210</v>
      </c>
      <c r="L2557">
        <v>72</v>
      </c>
      <c r="M2557" t="s">
        <v>28</v>
      </c>
      <c r="N2557" t="s">
        <v>185</v>
      </c>
      <c r="O2557" t="s">
        <v>151</v>
      </c>
      <c r="P2557">
        <v>2025</v>
      </c>
    </row>
    <row r="2558" spans="1:16" hidden="1" x14ac:dyDescent="0.25">
      <c r="A2558" s="96" t="s">
        <v>2</v>
      </c>
      <c r="B2558" s="96" t="s">
        <v>253</v>
      </c>
      <c r="C2558" s="96" t="s">
        <v>2492</v>
      </c>
      <c r="D2558" s="96" t="s">
        <v>208</v>
      </c>
      <c r="E2558" s="43">
        <v>45848</v>
      </c>
      <c r="F2558" s="43">
        <v>45912</v>
      </c>
      <c r="G2558" s="96" t="s">
        <v>92</v>
      </c>
      <c r="H2558" s="96" t="s">
        <v>6204</v>
      </c>
      <c r="I2558" s="96" t="s">
        <v>209</v>
      </c>
      <c r="J2558" s="96" t="s">
        <v>165</v>
      </c>
      <c r="K2558" s="96" t="s">
        <v>230</v>
      </c>
      <c r="L2558">
        <v>64</v>
      </c>
      <c r="M2558" t="s">
        <v>28</v>
      </c>
      <c r="N2558" t="s">
        <v>187</v>
      </c>
      <c r="O2558" t="s">
        <v>152</v>
      </c>
      <c r="P2558">
        <v>2025</v>
      </c>
    </row>
    <row r="2559" spans="1:16" x14ac:dyDescent="0.25">
      <c r="A2559" s="96" t="s">
        <v>2</v>
      </c>
      <c r="B2559" s="96" t="s">
        <v>302</v>
      </c>
      <c r="C2559" s="96" t="s">
        <v>2494</v>
      </c>
      <c r="D2559" s="96" t="s">
        <v>10</v>
      </c>
      <c r="E2559" s="43">
        <v>46064</v>
      </c>
      <c r="F2559" s="43">
        <v>46117</v>
      </c>
      <c r="G2559" s="96" t="s">
        <v>92</v>
      </c>
      <c r="H2559" s="96" t="s">
        <v>6205</v>
      </c>
      <c r="I2559" s="96" t="s">
        <v>9</v>
      </c>
      <c r="J2559" s="96" t="s">
        <v>165</v>
      </c>
      <c r="K2559" s="96" t="s">
        <v>210</v>
      </c>
      <c r="L2559">
        <v>53</v>
      </c>
      <c r="M2559" t="s">
        <v>24</v>
      </c>
      <c r="N2559" t="s">
        <v>32</v>
      </c>
      <c r="O2559" t="s">
        <v>150</v>
      </c>
      <c r="P2559">
        <v>2026</v>
      </c>
    </row>
    <row r="2560" spans="1:16" x14ac:dyDescent="0.25">
      <c r="A2560" s="96" t="s">
        <v>2</v>
      </c>
      <c r="B2560" s="96" t="s">
        <v>226</v>
      </c>
      <c r="C2560" s="96" t="s">
        <v>2495</v>
      </c>
      <c r="D2560" s="96" t="s">
        <v>192</v>
      </c>
      <c r="E2560" s="43">
        <v>46128</v>
      </c>
      <c r="F2560" s="43">
        <v>46149</v>
      </c>
      <c r="G2560" s="96" t="s">
        <v>92</v>
      </c>
      <c r="H2560" s="96" t="s">
        <v>6206</v>
      </c>
      <c r="I2560" s="96" t="s">
        <v>157</v>
      </c>
      <c r="J2560" s="96" t="s">
        <v>165</v>
      </c>
      <c r="K2560" s="96" t="s">
        <v>195</v>
      </c>
      <c r="L2560">
        <v>21</v>
      </c>
      <c r="M2560" t="s">
        <v>19</v>
      </c>
      <c r="N2560" t="s">
        <v>37</v>
      </c>
      <c r="O2560" t="s">
        <v>151</v>
      </c>
      <c r="P2560">
        <v>2026</v>
      </c>
    </row>
    <row r="2561" spans="1:16" x14ac:dyDescent="0.25">
      <c r="A2561" s="96" t="s">
        <v>2</v>
      </c>
      <c r="B2561" s="96" t="s">
        <v>244</v>
      </c>
      <c r="C2561" s="96" t="s">
        <v>6207</v>
      </c>
      <c r="D2561" s="96" t="s">
        <v>215</v>
      </c>
      <c r="E2561" s="43">
        <v>46103</v>
      </c>
      <c r="F2561" s="43">
        <v>46127</v>
      </c>
      <c r="G2561" s="96" t="s">
        <v>92</v>
      </c>
      <c r="H2561" s="96" t="s">
        <v>6208</v>
      </c>
      <c r="I2561" s="96" t="s">
        <v>9</v>
      </c>
      <c r="J2561" s="96" t="s">
        <v>216</v>
      </c>
      <c r="K2561" s="96" t="s">
        <v>205</v>
      </c>
      <c r="L2561">
        <v>24</v>
      </c>
      <c r="M2561" t="s">
        <v>19</v>
      </c>
      <c r="N2561" t="s">
        <v>35</v>
      </c>
      <c r="O2561" t="s">
        <v>150</v>
      </c>
      <c r="P2561">
        <v>2026</v>
      </c>
    </row>
    <row r="2562" spans="1:16" x14ac:dyDescent="0.25">
      <c r="A2562" s="96" t="s">
        <v>2</v>
      </c>
      <c r="B2562" s="96" t="s">
        <v>201</v>
      </c>
      <c r="C2562" s="96" t="s">
        <v>6209</v>
      </c>
      <c r="D2562" s="96" t="s">
        <v>34</v>
      </c>
      <c r="E2562" s="43">
        <v>46039</v>
      </c>
      <c r="F2562" s="43">
        <v>46150</v>
      </c>
      <c r="G2562" s="96" t="s">
        <v>90</v>
      </c>
      <c r="H2562" s="96" t="s">
        <v>6210</v>
      </c>
      <c r="I2562" s="96" t="s">
        <v>204</v>
      </c>
      <c r="J2562" s="96" t="s">
        <v>177</v>
      </c>
      <c r="K2562" s="96" t="s">
        <v>195</v>
      </c>
      <c r="L2562">
        <v>111</v>
      </c>
      <c r="M2562" t="s">
        <v>28</v>
      </c>
      <c r="N2562" t="s">
        <v>29</v>
      </c>
      <c r="O2562" t="s">
        <v>170</v>
      </c>
      <c r="P2562">
        <v>2026</v>
      </c>
    </row>
    <row r="2563" spans="1:16" hidden="1" x14ac:dyDescent="0.25">
      <c r="A2563" s="96" t="s">
        <v>21</v>
      </c>
      <c r="B2563" s="96" t="s">
        <v>272</v>
      </c>
      <c r="C2563" s="96" t="s">
        <v>2496</v>
      </c>
      <c r="D2563" s="96" t="s">
        <v>237</v>
      </c>
      <c r="E2563" s="43">
        <v>45748</v>
      </c>
      <c r="F2563" s="43">
        <v>45767</v>
      </c>
      <c r="G2563" s="96" t="s">
        <v>92</v>
      </c>
      <c r="H2563" s="96" t="s">
        <v>6211</v>
      </c>
      <c r="I2563" s="96" t="s">
        <v>204</v>
      </c>
      <c r="J2563" s="96" t="s">
        <v>173</v>
      </c>
      <c r="K2563" s="96" t="s">
        <v>217</v>
      </c>
      <c r="L2563">
        <v>19</v>
      </c>
      <c r="M2563" t="s">
        <v>19</v>
      </c>
      <c r="N2563" t="s">
        <v>185</v>
      </c>
      <c r="O2563" t="s">
        <v>151</v>
      </c>
      <c r="P2563">
        <v>2025</v>
      </c>
    </row>
    <row r="2564" spans="1:16" hidden="1" x14ac:dyDescent="0.25">
      <c r="A2564" s="96" t="s">
        <v>2</v>
      </c>
      <c r="B2564" s="96" t="s">
        <v>206</v>
      </c>
      <c r="C2564" s="96" t="s">
        <v>2497</v>
      </c>
      <c r="D2564" s="96" t="s">
        <v>14</v>
      </c>
      <c r="E2564" s="43">
        <v>45840</v>
      </c>
      <c r="F2564" s="43">
        <v>45848</v>
      </c>
      <c r="G2564" s="96" t="s">
        <v>90</v>
      </c>
      <c r="H2564" s="96" t="s">
        <v>6212</v>
      </c>
      <c r="I2564" s="96" t="s">
        <v>9</v>
      </c>
      <c r="J2564" s="96" t="s">
        <v>283</v>
      </c>
      <c r="K2564" s="96" t="s">
        <v>195</v>
      </c>
      <c r="L2564">
        <v>8</v>
      </c>
      <c r="M2564" t="s">
        <v>15</v>
      </c>
      <c r="N2564" t="s">
        <v>187</v>
      </c>
      <c r="O2564" t="s">
        <v>152</v>
      </c>
      <c r="P2564">
        <v>2025</v>
      </c>
    </row>
    <row r="2565" spans="1:16" x14ac:dyDescent="0.25">
      <c r="A2565" s="96" t="s">
        <v>2</v>
      </c>
      <c r="B2565" s="96" t="s">
        <v>269</v>
      </c>
      <c r="C2565" s="96" t="s">
        <v>2498</v>
      </c>
      <c r="D2565" s="96" t="s">
        <v>203</v>
      </c>
      <c r="E2565" s="43">
        <v>46070</v>
      </c>
      <c r="F2565" s="43">
        <v>46078</v>
      </c>
      <c r="G2565" s="96" t="s">
        <v>92</v>
      </c>
      <c r="H2565" s="96" t="s">
        <v>6213</v>
      </c>
      <c r="I2565" s="96" t="s">
        <v>209</v>
      </c>
      <c r="J2565" s="96" t="s">
        <v>229</v>
      </c>
      <c r="K2565" s="96" t="s">
        <v>205</v>
      </c>
      <c r="L2565">
        <v>8</v>
      </c>
      <c r="M2565" t="s">
        <v>15</v>
      </c>
      <c r="N2565" t="s">
        <v>32</v>
      </c>
      <c r="O2565" t="s">
        <v>152</v>
      </c>
      <c r="P2565">
        <v>2026</v>
      </c>
    </row>
    <row r="2566" spans="1:16" x14ac:dyDescent="0.25">
      <c r="A2566" s="96" t="s">
        <v>2</v>
      </c>
      <c r="B2566" s="96" t="s">
        <v>261</v>
      </c>
      <c r="C2566" s="96" t="s">
        <v>2499</v>
      </c>
      <c r="D2566" s="96" t="s">
        <v>192</v>
      </c>
      <c r="E2566" s="43">
        <v>46036</v>
      </c>
      <c r="F2566" s="43">
        <v>46074</v>
      </c>
      <c r="G2566" s="96" t="s">
        <v>90</v>
      </c>
      <c r="H2566" s="96" t="s">
        <v>6214</v>
      </c>
      <c r="I2566" s="96" t="s">
        <v>194</v>
      </c>
      <c r="J2566" s="96" t="s">
        <v>173</v>
      </c>
      <c r="K2566" s="96" t="s">
        <v>157</v>
      </c>
      <c r="L2566">
        <v>38</v>
      </c>
      <c r="M2566" t="s">
        <v>24</v>
      </c>
      <c r="N2566" t="s">
        <v>29</v>
      </c>
      <c r="O2566" t="s">
        <v>151</v>
      </c>
      <c r="P2566">
        <v>2026</v>
      </c>
    </row>
    <row r="2567" spans="1:16" hidden="1" x14ac:dyDescent="0.25">
      <c r="A2567" s="96" t="s">
        <v>2</v>
      </c>
      <c r="B2567" s="96" t="s">
        <v>221</v>
      </c>
      <c r="C2567" s="96" t="s">
        <v>2500</v>
      </c>
      <c r="D2567" s="96" t="s">
        <v>215</v>
      </c>
      <c r="E2567" s="43">
        <v>45844</v>
      </c>
      <c r="F2567" s="43">
        <v>45905</v>
      </c>
      <c r="G2567" s="96" t="s">
        <v>90</v>
      </c>
      <c r="H2567" s="96" t="s">
        <v>6215</v>
      </c>
      <c r="I2567" s="96" t="s">
        <v>204</v>
      </c>
      <c r="J2567" s="96" t="s">
        <v>97</v>
      </c>
      <c r="K2567" s="96" t="s">
        <v>217</v>
      </c>
      <c r="L2567">
        <v>61</v>
      </c>
      <c r="M2567" t="s">
        <v>28</v>
      </c>
      <c r="N2567" t="s">
        <v>187</v>
      </c>
      <c r="O2567" t="s">
        <v>170</v>
      </c>
      <c r="P2567">
        <v>2025</v>
      </c>
    </row>
    <row r="2568" spans="1:16" hidden="1" x14ac:dyDescent="0.25">
      <c r="A2568" s="96" t="s">
        <v>2</v>
      </c>
      <c r="B2568" s="96" t="s">
        <v>190</v>
      </c>
      <c r="C2568" s="96" t="s">
        <v>2501</v>
      </c>
      <c r="D2568" s="96" t="s">
        <v>208</v>
      </c>
      <c r="E2568" s="43">
        <v>45717</v>
      </c>
      <c r="F2568" s="43">
        <v>45801</v>
      </c>
      <c r="G2568" s="96" t="s">
        <v>90</v>
      </c>
      <c r="H2568" s="96" t="s">
        <v>6216</v>
      </c>
      <c r="I2568" s="96" t="s">
        <v>209</v>
      </c>
      <c r="J2568" s="96" t="s">
        <v>172</v>
      </c>
      <c r="K2568" s="96" t="s">
        <v>157</v>
      </c>
      <c r="L2568">
        <v>84</v>
      </c>
      <c r="M2568" t="s">
        <v>28</v>
      </c>
      <c r="N2568" t="s">
        <v>186</v>
      </c>
      <c r="O2568" t="s">
        <v>150</v>
      </c>
      <c r="P2568">
        <v>2025</v>
      </c>
    </row>
    <row r="2569" spans="1:16" x14ac:dyDescent="0.25">
      <c r="A2569" s="96" t="s">
        <v>189</v>
      </c>
      <c r="B2569" s="96" t="s">
        <v>374</v>
      </c>
      <c r="C2569" s="96" t="s">
        <v>2502</v>
      </c>
      <c r="D2569" s="96" t="s">
        <v>215</v>
      </c>
      <c r="E2569" s="43">
        <v>46129</v>
      </c>
      <c r="F2569" s="43">
        <v>46146</v>
      </c>
      <c r="G2569" s="96" t="s">
        <v>92</v>
      </c>
      <c r="H2569" s="96" t="s">
        <v>6217</v>
      </c>
      <c r="I2569" s="96" t="s">
        <v>204</v>
      </c>
      <c r="J2569" s="96" t="s">
        <v>93</v>
      </c>
      <c r="K2569" s="96" t="s">
        <v>157</v>
      </c>
      <c r="L2569">
        <v>17</v>
      </c>
      <c r="M2569" t="s">
        <v>19</v>
      </c>
      <c r="N2569" t="s">
        <v>37</v>
      </c>
      <c r="O2569" t="s">
        <v>150</v>
      </c>
      <c r="P2569">
        <v>2026</v>
      </c>
    </row>
    <row r="2570" spans="1:16" hidden="1" x14ac:dyDescent="0.25">
      <c r="A2570" s="96" t="s">
        <v>2</v>
      </c>
      <c r="B2570" s="96" t="s">
        <v>264</v>
      </c>
      <c r="C2570" s="96" t="s">
        <v>6218</v>
      </c>
      <c r="D2570" s="96" t="s">
        <v>34</v>
      </c>
      <c r="E2570" s="43">
        <v>45993</v>
      </c>
      <c r="F2570" s="43">
        <v>46111</v>
      </c>
      <c r="G2570" s="96" t="s">
        <v>90</v>
      </c>
      <c r="H2570" s="96" t="s">
        <v>6219</v>
      </c>
      <c r="I2570" s="96" t="s">
        <v>228</v>
      </c>
      <c r="J2570" s="96" t="s">
        <v>229</v>
      </c>
      <c r="K2570" s="96" t="s">
        <v>233</v>
      </c>
      <c r="L2570">
        <v>118</v>
      </c>
      <c r="M2570" t="s">
        <v>28</v>
      </c>
      <c r="N2570" t="s">
        <v>25</v>
      </c>
      <c r="O2570" t="s">
        <v>152</v>
      </c>
      <c r="P2570">
        <v>2025</v>
      </c>
    </row>
    <row r="2571" spans="1:16" hidden="1" x14ac:dyDescent="0.25">
      <c r="A2571" s="96" t="s">
        <v>2</v>
      </c>
      <c r="B2571" s="96" t="s">
        <v>272</v>
      </c>
      <c r="C2571" s="96" t="s">
        <v>2503</v>
      </c>
      <c r="D2571" s="96" t="s">
        <v>14</v>
      </c>
      <c r="E2571" s="43">
        <v>45694</v>
      </c>
      <c r="F2571" s="43">
        <v>45718</v>
      </c>
      <c r="G2571" s="96" t="s">
        <v>92</v>
      </c>
      <c r="H2571" s="96" t="s">
        <v>6220</v>
      </c>
      <c r="I2571" s="96" t="s">
        <v>204</v>
      </c>
      <c r="J2571" s="96" t="s">
        <v>168</v>
      </c>
      <c r="K2571" s="96" t="s">
        <v>230</v>
      </c>
      <c r="L2571">
        <v>24</v>
      </c>
      <c r="M2571" t="s">
        <v>19</v>
      </c>
      <c r="N2571" t="s">
        <v>188</v>
      </c>
      <c r="O2571" t="s">
        <v>151</v>
      </c>
      <c r="P2571">
        <v>2025</v>
      </c>
    </row>
    <row r="2572" spans="1:16" x14ac:dyDescent="0.25">
      <c r="A2572" s="96" t="s">
        <v>2</v>
      </c>
      <c r="B2572" s="96" t="s">
        <v>226</v>
      </c>
      <c r="C2572" s="96" t="s">
        <v>2504</v>
      </c>
      <c r="D2572" s="96" t="s">
        <v>10</v>
      </c>
      <c r="E2572" s="43">
        <v>46078</v>
      </c>
      <c r="F2572" s="43">
        <v>46148</v>
      </c>
      <c r="G2572" s="96" t="s">
        <v>92</v>
      </c>
      <c r="H2572" s="96" t="s">
        <v>6221</v>
      </c>
      <c r="I2572" s="96" t="s">
        <v>228</v>
      </c>
      <c r="J2572" s="96" t="s">
        <v>97</v>
      </c>
      <c r="K2572" s="96" t="s">
        <v>195</v>
      </c>
      <c r="L2572">
        <v>70</v>
      </c>
      <c r="M2572" t="s">
        <v>28</v>
      </c>
      <c r="N2572" t="s">
        <v>32</v>
      </c>
      <c r="O2572" t="s">
        <v>151</v>
      </c>
      <c r="P2572">
        <v>2026</v>
      </c>
    </row>
    <row r="2573" spans="1:16" hidden="1" x14ac:dyDescent="0.25">
      <c r="A2573" s="96" t="s">
        <v>2</v>
      </c>
      <c r="B2573" s="96" t="s">
        <v>190</v>
      </c>
      <c r="C2573" s="96" t="s">
        <v>2505</v>
      </c>
      <c r="D2573" s="96" t="s">
        <v>34</v>
      </c>
      <c r="E2573" s="43">
        <v>45724</v>
      </c>
      <c r="F2573" s="43">
        <v>45774</v>
      </c>
      <c r="G2573" s="96" t="s">
        <v>92</v>
      </c>
      <c r="H2573" s="96" t="s">
        <v>6222</v>
      </c>
      <c r="I2573" s="96" t="s">
        <v>194</v>
      </c>
      <c r="J2573" s="96" t="s">
        <v>174</v>
      </c>
      <c r="K2573" s="96" t="s">
        <v>246</v>
      </c>
      <c r="L2573">
        <v>50</v>
      </c>
      <c r="M2573" t="s">
        <v>24</v>
      </c>
      <c r="N2573" t="s">
        <v>186</v>
      </c>
      <c r="O2573" t="s">
        <v>150</v>
      </c>
      <c r="P2573">
        <v>2025</v>
      </c>
    </row>
    <row r="2574" spans="1:16" hidden="1" x14ac:dyDescent="0.25">
      <c r="A2574" s="96" t="s">
        <v>2</v>
      </c>
      <c r="B2574" s="96" t="s">
        <v>272</v>
      </c>
      <c r="C2574" s="96" t="s">
        <v>2506</v>
      </c>
      <c r="D2574" s="96" t="s">
        <v>215</v>
      </c>
      <c r="E2574" s="43">
        <v>45922</v>
      </c>
      <c r="F2574" s="43">
        <v>45986</v>
      </c>
      <c r="G2574" s="96" t="s">
        <v>95</v>
      </c>
      <c r="H2574" s="96" t="s">
        <v>6223</v>
      </c>
      <c r="I2574" s="96" t="s">
        <v>194</v>
      </c>
      <c r="J2574" s="96" t="s">
        <v>199</v>
      </c>
      <c r="K2574" s="96" t="s">
        <v>157</v>
      </c>
      <c r="L2574">
        <v>64</v>
      </c>
      <c r="M2574" t="s">
        <v>28</v>
      </c>
      <c r="N2574" t="s">
        <v>12</v>
      </c>
      <c r="O2574" t="s">
        <v>151</v>
      </c>
      <c r="P2574">
        <v>2025</v>
      </c>
    </row>
    <row r="2575" spans="1:16" hidden="1" x14ac:dyDescent="0.25">
      <c r="A2575" s="96" t="s">
        <v>171</v>
      </c>
      <c r="B2575" s="96" t="s">
        <v>211</v>
      </c>
      <c r="C2575" s="96" t="s">
        <v>2507</v>
      </c>
      <c r="D2575" s="96" t="s">
        <v>203</v>
      </c>
      <c r="E2575" s="43">
        <v>45799</v>
      </c>
      <c r="F2575" s="43">
        <v>45834</v>
      </c>
      <c r="G2575" s="96" t="s">
        <v>90</v>
      </c>
      <c r="H2575" s="96" t="s">
        <v>6224</v>
      </c>
      <c r="I2575" s="96" t="s">
        <v>225</v>
      </c>
      <c r="J2575" s="96" t="s">
        <v>176</v>
      </c>
      <c r="K2575" s="96" t="s">
        <v>210</v>
      </c>
      <c r="L2575">
        <v>35</v>
      </c>
      <c r="M2575" t="s">
        <v>24</v>
      </c>
      <c r="N2575" t="s">
        <v>182</v>
      </c>
      <c r="O2575" t="s">
        <v>170</v>
      </c>
      <c r="P2575">
        <v>2025</v>
      </c>
    </row>
    <row r="2576" spans="1:16" hidden="1" x14ac:dyDescent="0.25">
      <c r="A2576" s="96" t="s">
        <v>2</v>
      </c>
      <c r="B2576" s="96" t="s">
        <v>272</v>
      </c>
      <c r="C2576" s="96" t="s">
        <v>2508</v>
      </c>
      <c r="D2576" s="96" t="s">
        <v>34</v>
      </c>
      <c r="E2576" s="43">
        <v>45667</v>
      </c>
      <c r="F2576" s="43">
        <v>45680</v>
      </c>
      <c r="G2576" s="96" t="s">
        <v>92</v>
      </c>
      <c r="H2576" s="96" t="s">
        <v>6225</v>
      </c>
      <c r="I2576" s="96" t="s">
        <v>194</v>
      </c>
      <c r="J2576" s="96" t="s">
        <v>96</v>
      </c>
      <c r="K2576" s="96" t="s">
        <v>246</v>
      </c>
      <c r="L2576">
        <v>13</v>
      </c>
      <c r="M2576" t="s">
        <v>15</v>
      </c>
      <c r="N2576" t="s">
        <v>181</v>
      </c>
      <c r="O2576" t="s">
        <v>151</v>
      </c>
      <c r="P2576">
        <v>2025</v>
      </c>
    </row>
    <row r="2577" spans="1:16" x14ac:dyDescent="0.25">
      <c r="A2577" s="96" t="s">
        <v>2</v>
      </c>
      <c r="B2577" s="96" t="s">
        <v>269</v>
      </c>
      <c r="C2577" s="96" t="s">
        <v>2510</v>
      </c>
      <c r="D2577" s="96" t="s">
        <v>192</v>
      </c>
      <c r="E2577" s="43">
        <v>46149</v>
      </c>
      <c r="F2577" s="43">
        <v>46149</v>
      </c>
      <c r="G2577" s="96" t="s">
        <v>95</v>
      </c>
      <c r="H2577" s="96" t="s">
        <v>6226</v>
      </c>
      <c r="I2577" s="96" t="s">
        <v>157</v>
      </c>
      <c r="J2577" s="96" t="s">
        <v>94</v>
      </c>
      <c r="K2577" s="96" t="s">
        <v>233</v>
      </c>
      <c r="L2577">
        <v>0</v>
      </c>
      <c r="M2577" t="s">
        <v>11</v>
      </c>
      <c r="N2577" t="s">
        <v>183</v>
      </c>
      <c r="O2577" t="s">
        <v>152</v>
      </c>
      <c r="P2577">
        <v>2026</v>
      </c>
    </row>
    <row r="2578" spans="1:16" x14ac:dyDescent="0.25">
      <c r="A2578" s="96" t="s">
        <v>21</v>
      </c>
      <c r="B2578" s="96" t="s">
        <v>261</v>
      </c>
      <c r="C2578" s="96" t="s">
        <v>2511</v>
      </c>
      <c r="D2578" s="96" t="s">
        <v>14</v>
      </c>
      <c r="E2578" s="43">
        <v>46077</v>
      </c>
      <c r="F2578" s="43">
        <v>46149</v>
      </c>
      <c r="G2578" s="96" t="s">
        <v>90</v>
      </c>
      <c r="H2578" s="96" t="s">
        <v>6227</v>
      </c>
      <c r="I2578" s="96" t="s">
        <v>157</v>
      </c>
      <c r="J2578" s="96" t="s">
        <v>93</v>
      </c>
      <c r="K2578" s="96" t="s">
        <v>217</v>
      </c>
      <c r="L2578">
        <v>72</v>
      </c>
      <c r="M2578" t="s">
        <v>28</v>
      </c>
      <c r="N2578" t="s">
        <v>32</v>
      </c>
      <c r="O2578" t="s">
        <v>151</v>
      </c>
      <c r="P2578">
        <v>2026</v>
      </c>
    </row>
    <row r="2579" spans="1:16" hidden="1" x14ac:dyDescent="0.25">
      <c r="A2579" s="96" t="s">
        <v>175</v>
      </c>
      <c r="B2579" s="96" t="s">
        <v>240</v>
      </c>
      <c r="C2579" s="96" t="s">
        <v>2512</v>
      </c>
      <c r="D2579" s="96" t="s">
        <v>203</v>
      </c>
      <c r="E2579" s="43">
        <v>45683</v>
      </c>
      <c r="F2579" s="43">
        <v>45702</v>
      </c>
      <c r="G2579" s="96" t="s">
        <v>90</v>
      </c>
      <c r="H2579" s="96" t="s">
        <v>6228</v>
      </c>
      <c r="I2579" s="96" t="s">
        <v>194</v>
      </c>
      <c r="J2579" s="96" t="s">
        <v>96</v>
      </c>
      <c r="K2579" s="96" t="s">
        <v>200</v>
      </c>
      <c r="L2579">
        <v>19</v>
      </c>
      <c r="M2579" t="s">
        <v>19</v>
      </c>
      <c r="N2579" t="s">
        <v>181</v>
      </c>
      <c r="O2579" t="s">
        <v>149</v>
      </c>
      <c r="P2579">
        <v>2025</v>
      </c>
    </row>
    <row r="2580" spans="1:16" x14ac:dyDescent="0.25">
      <c r="A2580" s="96" t="s">
        <v>2</v>
      </c>
      <c r="B2580" s="96" t="s">
        <v>290</v>
      </c>
      <c r="C2580" s="96" t="s">
        <v>2513</v>
      </c>
      <c r="D2580" s="96" t="s">
        <v>203</v>
      </c>
      <c r="E2580" s="43">
        <v>46141</v>
      </c>
      <c r="F2580" s="43">
        <v>46149</v>
      </c>
      <c r="G2580" s="96" t="s">
        <v>92</v>
      </c>
      <c r="H2580" s="96" t="s">
        <v>6229</v>
      </c>
      <c r="I2580" s="96" t="s">
        <v>209</v>
      </c>
      <c r="J2580" s="96" t="s">
        <v>177</v>
      </c>
      <c r="K2580" s="96" t="s">
        <v>217</v>
      </c>
      <c r="L2580">
        <v>8</v>
      </c>
      <c r="M2580" t="s">
        <v>15</v>
      </c>
      <c r="N2580" t="s">
        <v>37</v>
      </c>
      <c r="O2580" t="s">
        <v>149</v>
      </c>
      <c r="P2580">
        <v>2026</v>
      </c>
    </row>
    <row r="2581" spans="1:16" hidden="1" x14ac:dyDescent="0.25">
      <c r="A2581" s="96" t="s">
        <v>2</v>
      </c>
      <c r="B2581" s="96" t="s">
        <v>272</v>
      </c>
      <c r="C2581" s="96" t="s">
        <v>2514</v>
      </c>
      <c r="D2581" s="96" t="s">
        <v>237</v>
      </c>
      <c r="E2581" s="43">
        <v>46008</v>
      </c>
      <c r="F2581" s="43">
        <v>46030</v>
      </c>
      <c r="G2581" s="96" t="s">
        <v>90</v>
      </c>
      <c r="H2581" s="96" t="s">
        <v>6230</v>
      </c>
      <c r="I2581" s="96" t="s">
        <v>228</v>
      </c>
      <c r="J2581" s="96" t="s">
        <v>216</v>
      </c>
      <c r="K2581" s="96" t="s">
        <v>200</v>
      </c>
      <c r="L2581">
        <v>22</v>
      </c>
      <c r="M2581" t="s">
        <v>19</v>
      </c>
      <c r="N2581" t="s">
        <v>25</v>
      </c>
      <c r="O2581" t="s">
        <v>151</v>
      </c>
      <c r="P2581">
        <v>2025</v>
      </c>
    </row>
    <row r="2582" spans="1:16" hidden="1" x14ac:dyDescent="0.25">
      <c r="A2582" s="96" t="s">
        <v>21</v>
      </c>
      <c r="B2582" s="96" t="s">
        <v>213</v>
      </c>
      <c r="C2582" s="96" t="s">
        <v>2515</v>
      </c>
      <c r="D2582" s="96" t="s">
        <v>14</v>
      </c>
      <c r="E2582" s="43">
        <v>45966</v>
      </c>
      <c r="F2582" s="43">
        <v>45991</v>
      </c>
      <c r="G2582" s="96" t="s">
        <v>92</v>
      </c>
      <c r="H2582" s="96" t="s">
        <v>6231</v>
      </c>
      <c r="I2582" s="96" t="s">
        <v>228</v>
      </c>
      <c r="J2582" s="96" t="s">
        <v>176</v>
      </c>
      <c r="K2582" s="96" t="s">
        <v>230</v>
      </c>
      <c r="L2582">
        <v>25</v>
      </c>
      <c r="M2582" t="s">
        <v>19</v>
      </c>
      <c r="N2582" t="s">
        <v>20</v>
      </c>
      <c r="O2582" t="s">
        <v>149</v>
      </c>
      <c r="P2582">
        <v>2025</v>
      </c>
    </row>
    <row r="2583" spans="1:16" hidden="1" x14ac:dyDescent="0.25">
      <c r="A2583" s="96" t="s">
        <v>2</v>
      </c>
      <c r="B2583" s="96" t="s">
        <v>257</v>
      </c>
      <c r="C2583" s="96" t="s">
        <v>6232</v>
      </c>
      <c r="D2583" s="96" t="s">
        <v>10</v>
      </c>
      <c r="E2583" s="43">
        <v>46005</v>
      </c>
      <c r="F2583" s="43">
        <v>46079</v>
      </c>
      <c r="G2583" s="96" t="s">
        <v>90</v>
      </c>
      <c r="H2583" s="96" t="s">
        <v>6233</v>
      </c>
      <c r="I2583" s="96" t="s">
        <v>228</v>
      </c>
      <c r="J2583" s="96" t="s">
        <v>173</v>
      </c>
      <c r="K2583" s="96" t="s">
        <v>246</v>
      </c>
      <c r="L2583">
        <v>74</v>
      </c>
      <c r="M2583" t="s">
        <v>28</v>
      </c>
      <c r="N2583" t="s">
        <v>25</v>
      </c>
      <c r="O2583" t="s">
        <v>151</v>
      </c>
      <c r="P2583">
        <v>2025</v>
      </c>
    </row>
    <row r="2584" spans="1:16" hidden="1" x14ac:dyDescent="0.25">
      <c r="A2584" s="96" t="s">
        <v>175</v>
      </c>
      <c r="B2584" s="96" t="s">
        <v>264</v>
      </c>
      <c r="C2584" s="96" t="s">
        <v>2516</v>
      </c>
      <c r="D2584" s="96" t="s">
        <v>203</v>
      </c>
      <c r="E2584" s="43">
        <v>45998</v>
      </c>
      <c r="F2584" s="43">
        <v>46008</v>
      </c>
      <c r="G2584" s="96" t="s">
        <v>92</v>
      </c>
      <c r="H2584" s="96" t="s">
        <v>6234</v>
      </c>
      <c r="I2584" s="96" t="s">
        <v>204</v>
      </c>
      <c r="J2584" s="96" t="s">
        <v>172</v>
      </c>
      <c r="K2584" s="96" t="s">
        <v>246</v>
      </c>
      <c r="L2584">
        <v>10</v>
      </c>
      <c r="M2584" t="s">
        <v>15</v>
      </c>
      <c r="N2584" t="s">
        <v>25</v>
      </c>
      <c r="O2584" t="s">
        <v>152</v>
      </c>
      <c r="P2584">
        <v>2025</v>
      </c>
    </row>
    <row r="2585" spans="1:16" hidden="1" x14ac:dyDescent="0.25">
      <c r="A2585" s="96" t="s">
        <v>2</v>
      </c>
      <c r="B2585" s="96" t="s">
        <v>253</v>
      </c>
      <c r="C2585" s="96" t="s">
        <v>2517</v>
      </c>
      <c r="D2585" s="96" t="s">
        <v>237</v>
      </c>
      <c r="E2585" s="43">
        <v>45667</v>
      </c>
      <c r="F2585" s="43">
        <v>45729</v>
      </c>
      <c r="G2585" s="96" t="s">
        <v>92</v>
      </c>
      <c r="H2585" s="96" t="s">
        <v>6235</v>
      </c>
      <c r="I2585" s="96" t="s">
        <v>194</v>
      </c>
      <c r="J2585" s="96" t="s">
        <v>165</v>
      </c>
      <c r="K2585" s="96" t="s">
        <v>217</v>
      </c>
      <c r="L2585">
        <v>62</v>
      </c>
      <c r="M2585" t="s">
        <v>28</v>
      </c>
      <c r="N2585" t="s">
        <v>181</v>
      </c>
      <c r="O2585" t="s">
        <v>152</v>
      </c>
      <c r="P2585">
        <v>2025</v>
      </c>
    </row>
    <row r="2586" spans="1:16" x14ac:dyDescent="0.25">
      <c r="A2586" s="96" t="s">
        <v>2</v>
      </c>
      <c r="B2586" s="96" t="s">
        <v>219</v>
      </c>
      <c r="C2586" s="96" t="s">
        <v>2518</v>
      </c>
      <c r="D2586" s="96" t="s">
        <v>40</v>
      </c>
      <c r="E2586" s="43">
        <v>46140</v>
      </c>
      <c r="F2586" s="43">
        <v>46148</v>
      </c>
      <c r="G2586" s="96" t="s">
        <v>92</v>
      </c>
      <c r="H2586" s="96" t="s">
        <v>6236</v>
      </c>
      <c r="I2586" s="96" t="s">
        <v>9</v>
      </c>
      <c r="J2586" s="96" t="s">
        <v>165</v>
      </c>
      <c r="K2586" s="96" t="s">
        <v>195</v>
      </c>
      <c r="L2586">
        <v>8</v>
      </c>
      <c r="M2586" t="s">
        <v>15</v>
      </c>
      <c r="N2586" t="s">
        <v>37</v>
      </c>
      <c r="O2586" t="s">
        <v>149</v>
      </c>
      <c r="P2586">
        <v>2026</v>
      </c>
    </row>
    <row r="2587" spans="1:16" x14ac:dyDescent="0.25">
      <c r="A2587" s="96" t="s">
        <v>2</v>
      </c>
      <c r="B2587" s="96" t="s">
        <v>196</v>
      </c>
      <c r="C2587" s="96" t="s">
        <v>2519</v>
      </c>
      <c r="D2587" s="96" t="s">
        <v>237</v>
      </c>
      <c r="E2587" s="43">
        <v>46123</v>
      </c>
      <c r="F2587" s="43">
        <v>46149</v>
      </c>
      <c r="G2587" s="96" t="s">
        <v>92</v>
      </c>
      <c r="H2587" s="96" t="s">
        <v>6237</v>
      </c>
      <c r="I2587" s="96" t="s">
        <v>204</v>
      </c>
      <c r="J2587" s="96" t="s">
        <v>93</v>
      </c>
      <c r="K2587" s="96" t="s">
        <v>205</v>
      </c>
      <c r="L2587">
        <v>26</v>
      </c>
      <c r="M2587" t="s">
        <v>19</v>
      </c>
      <c r="N2587" t="s">
        <v>37</v>
      </c>
      <c r="O2587" t="s">
        <v>152</v>
      </c>
      <c r="P2587">
        <v>2026</v>
      </c>
    </row>
    <row r="2588" spans="1:16" hidden="1" x14ac:dyDescent="0.25">
      <c r="A2588" s="96" t="s">
        <v>171</v>
      </c>
      <c r="B2588" s="96" t="s">
        <v>272</v>
      </c>
      <c r="C2588" s="96" t="s">
        <v>2521</v>
      </c>
      <c r="D2588" s="96" t="s">
        <v>10</v>
      </c>
      <c r="E2588" s="43">
        <v>45959</v>
      </c>
      <c r="F2588" s="43">
        <v>46042</v>
      </c>
      <c r="G2588" s="96" t="s">
        <v>92</v>
      </c>
      <c r="H2588" s="96" t="s">
        <v>2429</v>
      </c>
      <c r="I2588" s="96" t="s">
        <v>194</v>
      </c>
      <c r="J2588" s="96" t="s">
        <v>169</v>
      </c>
      <c r="K2588" s="96" t="s">
        <v>200</v>
      </c>
      <c r="L2588">
        <v>83</v>
      </c>
      <c r="M2588" t="s">
        <v>28</v>
      </c>
      <c r="N2588" t="s">
        <v>16</v>
      </c>
      <c r="O2588" t="s">
        <v>151</v>
      </c>
      <c r="P2588">
        <v>2025</v>
      </c>
    </row>
    <row r="2589" spans="1:16" hidden="1" x14ac:dyDescent="0.25">
      <c r="A2589" s="96" t="s">
        <v>2</v>
      </c>
      <c r="B2589" s="96" t="s">
        <v>322</v>
      </c>
      <c r="C2589" s="96" t="s">
        <v>2523</v>
      </c>
      <c r="D2589" s="96" t="s">
        <v>14</v>
      </c>
      <c r="E2589" s="43">
        <v>45735</v>
      </c>
      <c r="F2589" s="43">
        <v>45766</v>
      </c>
      <c r="G2589" s="96" t="s">
        <v>92</v>
      </c>
      <c r="H2589" s="96" t="s">
        <v>2431</v>
      </c>
      <c r="I2589" s="96" t="s">
        <v>204</v>
      </c>
      <c r="J2589" s="96" t="s">
        <v>216</v>
      </c>
      <c r="K2589" s="96" t="s">
        <v>195</v>
      </c>
      <c r="L2589">
        <v>31</v>
      </c>
      <c r="M2589" t="s">
        <v>24</v>
      </c>
      <c r="N2589" t="s">
        <v>186</v>
      </c>
      <c r="O2589" t="s">
        <v>150</v>
      </c>
      <c r="P2589">
        <v>2025</v>
      </c>
    </row>
    <row r="2590" spans="1:16" x14ac:dyDescent="0.25">
      <c r="A2590" s="96" t="s">
        <v>175</v>
      </c>
      <c r="B2590" s="96" t="s">
        <v>218</v>
      </c>
      <c r="C2590" s="96" t="s">
        <v>6238</v>
      </c>
      <c r="D2590" s="96" t="s">
        <v>223</v>
      </c>
      <c r="E2590" s="43">
        <v>46048</v>
      </c>
      <c r="F2590" s="43">
        <v>46148</v>
      </c>
      <c r="G2590" s="96" t="s">
        <v>90</v>
      </c>
      <c r="H2590" s="96" t="s">
        <v>2432</v>
      </c>
      <c r="I2590" s="96" t="s">
        <v>225</v>
      </c>
      <c r="J2590" s="96" t="s">
        <v>96</v>
      </c>
      <c r="K2590" s="96" t="s">
        <v>210</v>
      </c>
      <c r="L2590">
        <v>100</v>
      </c>
      <c r="M2590" t="s">
        <v>28</v>
      </c>
      <c r="N2590" t="s">
        <v>29</v>
      </c>
      <c r="O2590" t="s">
        <v>152</v>
      </c>
      <c r="P2590">
        <v>2026</v>
      </c>
    </row>
    <row r="2591" spans="1:16" hidden="1" x14ac:dyDescent="0.25">
      <c r="A2591" s="96" t="s">
        <v>2</v>
      </c>
      <c r="B2591" s="96" t="s">
        <v>221</v>
      </c>
      <c r="C2591" s="96" t="s">
        <v>2525</v>
      </c>
      <c r="D2591" s="96" t="s">
        <v>10</v>
      </c>
      <c r="E2591" s="43">
        <v>45658</v>
      </c>
      <c r="F2591" s="43">
        <v>45721</v>
      </c>
      <c r="G2591" s="96" t="s">
        <v>90</v>
      </c>
      <c r="H2591" s="96" t="s">
        <v>2434</v>
      </c>
      <c r="I2591" s="96" t="s">
        <v>228</v>
      </c>
      <c r="J2591" s="96" t="s">
        <v>176</v>
      </c>
      <c r="K2591" s="96" t="s">
        <v>233</v>
      </c>
      <c r="L2591">
        <v>63</v>
      </c>
      <c r="M2591" t="s">
        <v>28</v>
      </c>
      <c r="N2591" t="s">
        <v>181</v>
      </c>
      <c r="O2591" t="s">
        <v>170</v>
      </c>
      <c r="P2591">
        <v>2025</v>
      </c>
    </row>
    <row r="2592" spans="1:16" hidden="1" x14ac:dyDescent="0.25">
      <c r="A2592" s="96" t="s">
        <v>2</v>
      </c>
      <c r="B2592" s="96" t="s">
        <v>240</v>
      </c>
      <c r="C2592" s="96" t="s">
        <v>2527</v>
      </c>
      <c r="D2592" s="96" t="s">
        <v>215</v>
      </c>
      <c r="E2592" s="43">
        <v>45686</v>
      </c>
      <c r="F2592" s="43">
        <v>45748</v>
      </c>
      <c r="G2592" s="96" t="s">
        <v>92</v>
      </c>
      <c r="H2592" s="96" t="s">
        <v>6239</v>
      </c>
      <c r="I2592" s="96" t="s">
        <v>194</v>
      </c>
      <c r="J2592" s="96" t="s">
        <v>93</v>
      </c>
      <c r="K2592" s="96" t="s">
        <v>195</v>
      </c>
      <c r="L2592">
        <v>62</v>
      </c>
      <c r="M2592" t="s">
        <v>28</v>
      </c>
      <c r="N2592" t="s">
        <v>181</v>
      </c>
      <c r="O2592" t="s">
        <v>149</v>
      </c>
      <c r="P2592">
        <v>2025</v>
      </c>
    </row>
    <row r="2593" spans="1:16" hidden="1" x14ac:dyDescent="0.25">
      <c r="A2593" s="96" t="s">
        <v>2</v>
      </c>
      <c r="B2593" s="96" t="s">
        <v>240</v>
      </c>
      <c r="C2593" s="96" t="s">
        <v>2529</v>
      </c>
      <c r="D2593" s="96" t="s">
        <v>208</v>
      </c>
      <c r="E2593" s="43">
        <v>45688</v>
      </c>
      <c r="F2593" s="43">
        <v>45723</v>
      </c>
      <c r="G2593" s="96" t="s">
        <v>90</v>
      </c>
      <c r="H2593" s="96" t="s">
        <v>2437</v>
      </c>
      <c r="I2593" s="96" t="s">
        <v>228</v>
      </c>
      <c r="J2593" s="96" t="s">
        <v>283</v>
      </c>
      <c r="K2593" s="96" t="s">
        <v>205</v>
      </c>
      <c r="L2593">
        <v>35</v>
      </c>
      <c r="M2593" t="s">
        <v>24</v>
      </c>
      <c r="N2593" t="s">
        <v>181</v>
      </c>
      <c r="O2593" t="s">
        <v>149</v>
      </c>
      <c r="P2593">
        <v>2025</v>
      </c>
    </row>
    <row r="2594" spans="1:16" x14ac:dyDescent="0.25">
      <c r="A2594" s="96" t="s">
        <v>2</v>
      </c>
      <c r="B2594" s="96" t="s">
        <v>288</v>
      </c>
      <c r="C2594" s="96" t="s">
        <v>6240</v>
      </c>
      <c r="D2594" s="96" t="s">
        <v>40</v>
      </c>
      <c r="E2594" s="43">
        <v>46061</v>
      </c>
      <c r="F2594" s="43">
        <v>46081</v>
      </c>
      <c r="G2594" s="96" t="s">
        <v>90</v>
      </c>
      <c r="H2594" s="96" t="s">
        <v>2438</v>
      </c>
      <c r="I2594" s="96" t="s">
        <v>209</v>
      </c>
      <c r="J2594" s="96" t="s">
        <v>216</v>
      </c>
      <c r="K2594" s="96" t="s">
        <v>246</v>
      </c>
      <c r="L2594">
        <v>20</v>
      </c>
      <c r="M2594" t="s">
        <v>19</v>
      </c>
      <c r="N2594" t="s">
        <v>32</v>
      </c>
      <c r="O2594" t="s">
        <v>170</v>
      </c>
      <c r="P2594">
        <v>2026</v>
      </c>
    </row>
    <row r="2595" spans="1:16" x14ac:dyDescent="0.25">
      <c r="A2595" s="96" t="s">
        <v>2</v>
      </c>
      <c r="B2595" s="96" t="s">
        <v>302</v>
      </c>
      <c r="C2595" s="96" t="s">
        <v>2532</v>
      </c>
      <c r="D2595" s="96" t="s">
        <v>203</v>
      </c>
      <c r="E2595" s="43">
        <v>46062</v>
      </c>
      <c r="F2595" s="43">
        <v>46095</v>
      </c>
      <c r="G2595" s="96" t="s">
        <v>92</v>
      </c>
      <c r="H2595" s="96" t="s">
        <v>6241</v>
      </c>
      <c r="I2595" s="96" t="s">
        <v>209</v>
      </c>
      <c r="J2595" s="96" t="s">
        <v>283</v>
      </c>
      <c r="K2595" s="96" t="s">
        <v>210</v>
      </c>
      <c r="L2595">
        <v>33</v>
      </c>
      <c r="M2595" t="s">
        <v>24</v>
      </c>
      <c r="N2595" t="s">
        <v>32</v>
      </c>
      <c r="O2595" t="s">
        <v>150</v>
      </c>
      <c r="P2595">
        <v>2026</v>
      </c>
    </row>
    <row r="2596" spans="1:16" hidden="1" x14ac:dyDescent="0.25">
      <c r="A2596" s="96" t="s">
        <v>189</v>
      </c>
      <c r="B2596" s="96" t="s">
        <v>231</v>
      </c>
      <c r="C2596" s="96" t="s">
        <v>2534</v>
      </c>
      <c r="D2596" s="96" t="s">
        <v>14</v>
      </c>
      <c r="E2596" s="43">
        <v>45787</v>
      </c>
      <c r="F2596" s="43">
        <v>45905</v>
      </c>
      <c r="G2596" s="96" t="s">
        <v>92</v>
      </c>
      <c r="H2596" s="96" t="s">
        <v>2441</v>
      </c>
      <c r="I2596" s="96" t="s">
        <v>204</v>
      </c>
      <c r="J2596" s="96" t="s">
        <v>168</v>
      </c>
      <c r="K2596" s="96" t="s">
        <v>246</v>
      </c>
      <c r="L2596">
        <v>118</v>
      </c>
      <c r="M2596" t="s">
        <v>28</v>
      </c>
      <c r="N2596" t="s">
        <v>182</v>
      </c>
      <c r="O2596" t="s">
        <v>170</v>
      </c>
      <c r="P2596">
        <v>2025</v>
      </c>
    </row>
    <row r="2597" spans="1:16" x14ac:dyDescent="0.25">
      <c r="A2597" s="96" t="s">
        <v>175</v>
      </c>
      <c r="B2597" s="96" t="s">
        <v>305</v>
      </c>
      <c r="C2597" s="96" t="s">
        <v>2535</v>
      </c>
      <c r="D2597" s="96" t="s">
        <v>208</v>
      </c>
      <c r="E2597" s="43">
        <v>46113</v>
      </c>
      <c r="F2597" s="43">
        <v>46116</v>
      </c>
      <c r="G2597" s="96" t="s">
        <v>90</v>
      </c>
      <c r="H2597" s="96" t="s">
        <v>2443</v>
      </c>
      <c r="I2597" s="96" t="s">
        <v>157</v>
      </c>
      <c r="J2597" s="96" t="s">
        <v>173</v>
      </c>
      <c r="K2597" s="96" t="s">
        <v>233</v>
      </c>
      <c r="L2597">
        <v>3</v>
      </c>
      <c r="M2597" t="s">
        <v>11</v>
      </c>
      <c r="N2597" t="s">
        <v>37</v>
      </c>
      <c r="O2597" t="s">
        <v>170</v>
      </c>
      <c r="P2597">
        <v>2026</v>
      </c>
    </row>
    <row r="2598" spans="1:16" x14ac:dyDescent="0.25">
      <c r="A2598" s="96" t="s">
        <v>2</v>
      </c>
      <c r="B2598" s="96" t="s">
        <v>302</v>
      </c>
      <c r="C2598" s="96" t="s">
        <v>2536</v>
      </c>
      <c r="D2598" s="96" t="s">
        <v>34</v>
      </c>
      <c r="E2598" s="43">
        <v>46053</v>
      </c>
      <c r="F2598" s="43">
        <v>46136</v>
      </c>
      <c r="G2598" s="96" t="s">
        <v>90</v>
      </c>
      <c r="H2598" s="96" t="s">
        <v>6242</v>
      </c>
      <c r="I2598" s="96" t="s">
        <v>209</v>
      </c>
      <c r="J2598" s="96" t="s">
        <v>91</v>
      </c>
      <c r="K2598" s="96" t="s">
        <v>233</v>
      </c>
      <c r="L2598">
        <v>83</v>
      </c>
      <c r="M2598" t="s">
        <v>28</v>
      </c>
      <c r="N2598" t="s">
        <v>29</v>
      </c>
      <c r="O2598" t="s">
        <v>150</v>
      </c>
      <c r="P2598">
        <v>2026</v>
      </c>
    </row>
    <row r="2599" spans="1:16" hidden="1" x14ac:dyDescent="0.25">
      <c r="A2599" s="96" t="s">
        <v>171</v>
      </c>
      <c r="B2599" s="96" t="s">
        <v>247</v>
      </c>
      <c r="C2599" s="96" t="s">
        <v>2537</v>
      </c>
      <c r="D2599" s="96" t="s">
        <v>192</v>
      </c>
      <c r="E2599" s="43">
        <v>45949</v>
      </c>
      <c r="F2599" s="43">
        <v>46002</v>
      </c>
      <c r="G2599" s="96" t="s">
        <v>92</v>
      </c>
      <c r="H2599" s="96" t="s">
        <v>2444</v>
      </c>
      <c r="I2599" s="96" t="s">
        <v>9</v>
      </c>
      <c r="J2599" s="96" t="s">
        <v>97</v>
      </c>
      <c r="K2599" s="96" t="s">
        <v>233</v>
      </c>
      <c r="L2599">
        <v>53</v>
      </c>
      <c r="M2599" t="s">
        <v>24</v>
      </c>
      <c r="N2599" t="s">
        <v>16</v>
      </c>
      <c r="O2599" t="s">
        <v>150</v>
      </c>
      <c r="P2599">
        <v>2025</v>
      </c>
    </row>
    <row r="2600" spans="1:16" hidden="1" x14ac:dyDescent="0.25">
      <c r="A2600" s="96" t="s">
        <v>175</v>
      </c>
      <c r="B2600" s="96" t="s">
        <v>247</v>
      </c>
      <c r="C2600" s="96" t="s">
        <v>6243</v>
      </c>
      <c r="D2600" s="96" t="s">
        <v>208</v>
      </c>
      <c r="E2600" s="43">
        <v>45696</v>
      </c>
      <c r="F2600" s="43">
        <v>45787</v>
      </c>
      <c r="G2600" s="96" t="s">
        <v>90</v>
      </c>
      <c r="H2600" s="96" t="s">
        <v>6244</v>
      </c>
      <c r="I2600" s="96" t="s">
        <v>228</v>
      </c>
      <c r="J2600" s="96" t="s">
        <v>177</v>
      </c>
      <c r="K2600" s="96" t="s">
        <v>230</v>
      </c>
      <c r="L2600">
        <v>91</v>
      </c>
      <c r="M2600" t="s">
        <v>28</v>
      </c>
      <c r="N2600" t="s">
        <v>188</v>
      </c>
      <c r="O2600" t="s">
        <v>150</v>
      </c>
      <c r="P2600">
        <v>2025</v>
      </c>
    </row>
    <row r="2601" spans="1:16" hidden="1" x14ac:dyDescent="0.25">
      <c r="A2601" s="96" t="s">
        <v>2</v>
      </c>
      <c r="B2601" s="96" t="s">
        <v>238</v>
      </c>
      <c r="C2601" s="96" t="s">
        <v>2538</v>
      </c>
      <c r="D2601" s="96" t="s">
        <v>223</v>
      </c>
      <c r="E2601" s="43">
        <v>45814</v>
      </c>
      <c r="F2601" s="43">
        <v>45851</v>
      </c>
      <c r="G2601" s="96" t="s">
        <v>92</v>
      </c>
      <c r="H2601" s="96" t="s">
        <v>6245</v>
      </c>
      <c r="I2601" s="96" t="s">
        <v>9</v>
      </c>
      <c r="J2601" s="96" t="s">
        <v>94</v>
      </c>
      <c r="K2601" s="96" t="s">
        <v>230</v>
      </c>
      <c r="L2601">
        <v>37</v>
      </c>
      <c r="M2601" t="s">
        <v>24</v>
      </c>
      <c r="N2601" t="s">
        <v>184</v>
      </c>
      <c r="O2601" t="s">
        <v>170</v>
      </c>
      <c r="P2601">
        <v>2025</v>
      </c>
    </row>
    <row r="2602" spans="1:16" x14ac:dyDescent="0.25">
      <c r="A2602" s="96" t="s">
        <v>2</v>
      </c>
      <c r="B2602" s="96" t="s">
        <v>219</v>
      </c>
      <c r="C2602" s="96" t="s">
        <v>2539</v>
      </c>
      <c r="D2602" s="96" t="s">
        <v>192</v>
      </c>
      <c r="E2602" s="43">
        <v>46149</v>
      </c>
      <c r="F2602" s="43">
        <v>46147</v>
      </c>
      <c r="G2602" s="96" t="s">
        <v>90</v>
      </c>
      <c r="H2602" s="96" t="s">
        <v>6246</v>
      </c>
      <c r="I2602" s="96" t="s">
        <v>9</v>
      </c>
      <c r="J2602" s="96" t="s">
        <v>172</v>
      </c>
      <c r="K2602" s="96" t="s">
        <v>157</v>
      </c>
      <c r="L2602">
        <v>-2</v>
      </c>
      <c r="M2602" t="s">
        <v>11</v>
      </c>
      <c r="N2602" t="s">
        <v>183</v>
      </c>
      <c r="O2602" t="s">
        <v>149</v>
      </c>
      <c r="P2602">
        <v>2026</v>
      </c>
    </row>
    <row r="2603" spans="1:16" x14ac:dyDescent="0.25">
      <c r="A2603" s="96" t="s">
        <v>21</v>
      </c>
      <c r="B2603" s="96" t="s">
        <v>226</v>
      </c>
      <c r="C2603" s="96" t="s">
        <v>6247</v>
      </c>
      <c r="D2603" s="96" t="s">
        <v>237</v>
      </c>
      <c r="E2603" s="43">
        <v>46132</v>
      </c>
      <c r="F2603" s="43">
        <v>46151</v>
      </c>
      <c r="G2603" s="96" t="s">
        <v>90</v>
      </c>
      <c r="H2603" s="96" t="s">
        <v>2448</v>
      </c>
      <c r="I2603" s="96" t="s">
        <v>209</v>
      </c>
      <c r="J2603" s="96" t="s">
        <v>283</v>
      </c>
      <c r="K2603" s="96" t="s">
        <v>217</v>
      </c>
      <c r="L2603">
        <v>19</v>
      </c>
      <c r="M2603" t="s">
        <v>19</v>
      </c>
      <c r="N2603" t="s">
        <v>37</v>
      </c>
      <c r="O2603" t="s">
        <v>151</v>
      </c>
      <c r="P2603">
        <v>2026</v>
      </c>
    </row>
    <row r="2604" spans="1:16" hidden="1" x14ac:dyDescent="0.25">
      <c r="A2604" s="96" t="s">
        <v>2</v>
      </c>
      <c r="B2604" s="96" t="s">
        <v>253</v>
      </c>
      <c r="C2604" s="96" t="s">
        <v>6248</v>
      </c>
      <c r="D2604" s="96" t="s">
        <v>192</v>
      </c>
      <c r="E2604" s="43">
        <v>45923</v>
      </c>
      <c r="F2604" s="43">
        <v>46019</v>
      </c>
      <c r="G2604" s="96" t="s">
        <v>95</v>
      </c>
      <c r="H2604" s="96" t="s">
        <v>6249</v>
      </c>
      <c r="I2604" s="96" t="s">
        <v>209</v>
      </c>
      <c r="J2604" s="96" t="s">
        <v>216</v>
      </c>
      <c r="K2604" s="96" t="s">
        <v>246</v>
      </c>
      <c r="L2604">
        <v>96</v>
      </c>
      <c r="M2604" t="s">
        <v>28</v>
      </c>
      <c r="N2604" t="s">
        <v>12</v>
      </c>
      <c r="O2604" t="s">
        <v>152</v>
      </c>
      <c r="P2604">
        <v>2025</v>
      </c>
    </row>
    <row r="2605" spans="1:16" hidden="1" x14ac:dyDescent="0.25">
      <c r="A2605" s="96" t="s">
        <v>2</v>
      </c>
      <c r="B2605" s="96" t="s">
        <v>253</v>
      </c>
      <c r="C2605" s="96" t="s">
        <v>2540</v>
      </c>
      <c r="D2605" s="96" t="s">
        <v>215</v>
      </c>
      <c r="E2605" s="43">
        <v>45959</v>
      </c>
      <c r="F2605" s="43">
        <v>46049</v>
      </c>
      <c r="G2605" s="96" t="s">
        <v>92</v>
      </c>
      <c r="H2605" s="96" t="s">
        <v>6250</v>
      </c>
      <c r="I2605" s="96" t="s">
        <v>9</v>
      </c>
      <c r="J2605" s="96" t="s">
        <v>91</v>
      </c>
      <c r="K2605" s="96" t="s">
        <v>233</v>
      </c>
      <c r="L2605">
        <v>90</v>
      </c>
      <c r="M2605" t="s">
        <v>28</v>
      </c>
      <c r="N2605" t="s">
        <v>16</v>
      </c>
      <c r="O2605" t="s">
        <v>152</v>
      </c>
      <c r="P2605">
        <v>2025</v>
      </c>
    </row>
    <row r="2606" spans="1:16" hidden="1" x14ac:dyDescent="0.25">
      <c r="A2606" s="96" t="s">
        <v>2</v>
      </c>
      <c r="B2606" s="96" t="s">
        <v>257</v>
      </c>
      <c r="C2606" s="96" t="s">
        <v>2542</v>
      </c>
      <c r="D2606" s="96" t="s">
        <v>34</v>
      </c>
      <c r="E2606" s="43">
        <v>45924</v>
      </c>
      <c r="F2606" s="43">
        <v>46035</v>
      </c>
      <c r="G2606" s="96" t="s">
        <v>92</v>
      </c>
      <c r="H2606" s="96" t="s">
        <v>6251</v>
      </c>
      <c r="I2606" s="96" t="s">
        <v>157</v>
      </c>
      <c r="J2606" s="96" t="s">
        <v>173</v>
      </c>
      <c r="K2606" s="96" t="s">
        <v>230</v>
      </c>
      <c r="L2606">
        <v>111</v>
      </c>
      <c r="M2606" t="s">
        <v>28</v>
      </c>
      <c r="N2606" t="s">
        <v>12</v>
      </c>
      <c r="O2606" t="s">
        <v>151</v>
      </c>
      <c r="P2606">
        <v>2025</v>
      </c>
    </row>
    <row r="2607" spans="1:16" hidden="1" x14ac:dyDescent="0.25">
      <c r="A2607" s="96" t="s">
        <v>2</v>
      </c>
      <c r="B2607" s="96" t="s">
        <v>272</v>
      </c>
      <c r="C2607" s="96" t="s">
        <v>6252</v>
      </c>
      <c r="D2607" s="96" t="s">
        <v>192</v>
      </c>
      <c r="E2607" s="43">
        <v>45982</v>
      </c>
      <c r="F2607" s="43">
        <v>46102</v>
      </c>
      <c r="G2607" s="96" t="s">
        <v>95</v>
      </c>
      <c r="H2607" s="96" t="s">
        <v>6253</v>
      </c>
      <c r="I2607" s="96" t="s">
        <v>157</v>
      </c>
      <c r="J2607" s="96" t="s">
        <v>97</v>
      </c>
      <c r="K2607" s="96" t="s">
        <v>157</v>
      </c>
      <c r="L2607">
        <v>120</v>
      </c>
      <c r="M2607" t="s">
        <v>28</v>
      </c>
      <c r="N2607" t="s">
        <v>20</v>
      </c>
      <c r="O2607" t="s">
        <v>151</v>
      </c>
      <c r="P2607">
        <v>2025</v>
      </c>
    </row>
    <row r="2608" spans="1:16" x14ac:dyDescent="0.25">
      <c r="A2608" s="96" t="s">
        <v>2</v>
      </c>
      <c r="B2608" s="96" t="s">
        <v>219</v>
      </c>
      <c r="C2608" s="96" t="s">
        <v>2543</v>
      </c>
      <c r="D2608" s="96" t="s">
        <v>215</v>
      </c>
      <c r="E2608" s="43">
        <v>46069</v>
      </c>
      <c r="F2608" s="43">
        <v>46116</v>
      </c>
      <c r="G2608" s="96" t="s">
        <v>92</v>
      </c>
      <c r="H2608" s="96" t="s">
        <v>2452</v>
      </c>
      <c r="I2608" s="96" t="s">
        <v>204</v>
      </c>
      <c r="J2608" s="96" t="s">
        <v>173</v>
      </c>
      <c r="K2608" s="96" t="s">
        <v>210</v>
      </c>
      <c r="L2608">
        <v>47</v>
      </c>
      <c r="M2608" t="s">
        <v>24</v>
      </c>
      <c r="N2608" t="s">
        <v>32</v>
      </c>
      <c r="O2608" t="s">
        <v>149</v>
      </c>
      <c r="P2608">
        <v>2026</v>
      </c>
    </row>
    <row r="2609" spans="1:16" hidden="1" x14ac:dyDescent="0.25">
      <c r="A2609" s="96" t="s">
        <v>2</v>
      </c>
      <c r="B2609" s="96" t="s">
        <v>257</v>
      </c>
      <c r="C2609" s="96" t="s">
        <v>6254</v>
      </c>
      <c r="D2609" s="96" t="s">
        <v>237</v>
      </c>
      <c r="E2609" s="43">
        <v>45906</v>
      </c>
      <c r="F2609" s="43">
        <v>45996</v>
      </c>
      <c r="G2609" s="96" t="s">
        <v>92</v>
      </c>
      <c r="H2609" s="96" t="s">
        <v>2454</v>
      </c>
      <c r="I2609" s="96" t="s">
        <v>228</v>
      </c>
      <c r="J2609" s="96" t="s">
        <v>229</v>
      </c>
      <c r="K2609" s="96" t="s">
        <v>205</v>
      </c>
      <c r="L2609">
        <v>90</v>
      </c>
      <c r="M2609" t="s">
        <v>28</v>
      </c>
      <c r="N2609" t="s">
        <v>12</v>
      </c>
      <c r="O2609" t="s">
        <v>151</v>
      </c>
      <c r="P2609">
        <v>2025</v>
      </c>
    </row>
    <row r="2610" spans="1:16" hidden="1" x14ac:dyDescent="0.25">
      <c r="A2610" s="96" t="s">
        <v>2</v>
      </c>
      <c r="B2610" s="96" t="s">
        <v>264</v>
      </c>
      <c r="C2610" s="96" t="s">
        <v>2545</v>
      </c>
      <c r="D2610" s="96" t="s">
        <v>14</v>
      </c>
      <c r="E2610" s="43">
        <v>45842</v>
      </c>
      <c r="F2610" s="43">
        <v>45937</v>
      </c>
      <c r="G2610" s="96" t="s">
        <v>92</v>
      </c>
      <c r="H2610" s="96" t="s">
        <v>2456</v>
      </c>
      <c r="I2610" s="96" t="s">
        <v>225</v>
      </c>
      <c r="J2610" s="96" t="s">
        <v>169</v>
      </c>
      <c r="K2610" s="96" t="s">
        <v>195</v>
      </c>
      <c r="L2610">
        <v>95</v>
      </c>
      <c r="M2610" t="s">
        <v>28</v>
      </c>
      <c r="N2610" t="s">
        <v>187</v>
      </c>
      <c r="O2610" t="s">
        <v>152</v>
      </c>
      <c r="P2610">
        <v>2025</v>
      </c>
    </row>
    <row r="2611" spans="1:16" x14ac:dyDescent="0.25">
      <c r="A2611" s="96" t="s">
        <v>2</v>
      </c>
      <c r="B2611" s="96" t="s">
        <v>302</v>
      </c>
      <c r="C2611" s="96" t="s">
        <v>2546</v>
      </c>
      <c r="D2611" s="96" t="s">
        <v>215</v>
      </c>
      <c r="E2611" s="43">
        <v>46086</v>
      </c>
      <c r="F2611" s="43">
        <v>46107</v>
      </c>
      <c r="G2611" s="96" t="s">
        <v>92</v>
      </c>
      <c r="H2611" s="96" t="s">
        <v>2458</v>
      </c>
      <c r="I2611" s="96" t="s">
        <v>9</v>
      </c>
      <c r="J2611" s="96" t="s">
        <v>93</v>
      </c>
      <c r="K2611" s="96" t="s">
        <v>200</v>
      </c>
      <c r="L2611">
        <v>21</v>
      </c>
      <c r="M2611" t="s">
        <v>19</v>
      </c>
      <c r="N2611" t="s">
        <v>35</v>
      </c>
      <c r="O2611" t="s">
        <v>150</v>
      </c>
      <c r="P2611">
        <v>2026</v>
      </c>
    </row>
    <row r="2612" spans="1:16" x14ac:dyDescent="0.25">
      <c r="A2612" s="96" t="s">
        <v>2</v>
      </c>
      <c r="B2612" s="96" t="s">
        <v>234</v>
      </c>
      <c r="C2612" s="96" t="s">
        <v>6255</v>
      </c>
      <c r="D2612" s="96" t="s">
        <v>215</v>
      </c>
      <c r="E2612" s="43">
        <v>46104</v>
      </c>
      <c r="F2612" s="43">
        <v>46124</v>
      </c>
      <c r="G2612" s="96" t="s">
        <v>92</v>
      </c>
      <c r="H2612" s="96" t="s">
        <v>2460</v>
      </c>
      <c r="I2612" s="96" t="s">
        <v>228</v>
      </c>
      <c r="J2612" s="96" t="s">
        <v>97</v>
      </c>
      <c r="K2612" s="96" t="s">
        <v>246</v>
      </c>
      <c r="L2612">
        <v>20</v>
      </c>
      <c r="M2612" t="s">
        <v>19</v>
      </c>
      <c r="N2612" t="s">
        <v>35</v>
      </c>
      <c r="O2612" t="s">
        <v>150</v>
      </c>
      <c r="P2612">
        <v>2026</v>
      </c>
    </row>
    <row r="2613" spans="1:16" x14ac:dyDescent="0.25">
      <c r="A2613" s="96" t="s">
        <v>2</v>
      </c>
      <c r="B2613" s="96" t="s">
        <v>374</v>
      </c>
      <c r="C2613" s="96" t="s">
        <v>2547</v>
      </c>
      <c r="D2613" s="96" t="s">
        <v>10</v>
      </c>
      <c r="E2613" s="43">
        <v>46133</v>
      </c>
      <c r="F2613" s="43">
        <v>46148</v>
      </c>
      <c r="G2613" s="96" t="s">
        <v>90</v>
      </c>
      <c r="H2613" s="96" t="s">
        <v>2462</v>
      </c>
      <c r="I2613" s="96" t="s">
        <v>194</v>
      </c>
      <c r="J2613" s="96" t="s">
        <v>168</v>
      </c>
      <c r="K2613" s="96" t="s">
        <v>200</v>
      </c>
      <c r="L2613">
        <v>15</v>
      </c>
      <c r="M2613" t="s">
        <v>19</v>
      </c>
      <c r="N2613" t="s">
        <v>37</v>
      </c>
      <c r="O2613" t="s">
        <v>150</v>
      </c>
      <c r="P2613">
        <v>2026</v>
      </c>
    </row>
    <row r="2614" spans="1:16" x14ac:dyDescent="0.25">
      <c r="A2614" s="96" t="s">
        <v>2</v>
      </c>
      <c r="B2614" s="96" t="s">
        <v>269</v>
      </c>
      <c r="C2614" s="96" t="s">
        <v>2548</v>
      </c>
      <c r="D2614" s="96" t="s">
        <v>203</v>
      </c>
      <c r="E2614" s="43">
        <v>46034</v>
      </c>
      <c r="F2614" s="43">
        <v>46149</v>
      </c>
      <c r="G2614" s="96" t="s">
        <v>90</v>
      </c>
      <c r="H2614" s="96" t="s">
        <v>2464</v>
      </c>
      <c r="I2614" s="96" t="s">
        <v>225</v>
      </c>
      <c r="J2614" s="96" t="s">
        <v>169</v>
      </c>
      <c r="K2614" s="96" t="s">
        <v>217</v>
      </c>
      <c r="L2614">
        <v>115</v>
      </c>
      <c r="M2614" t="s">
        <v>28</v>
      </c>
      <c r="N2614" t="s">
        <v>29</v>
      </c>
      <c r="O2614" t="s">
        <v>152</v>
      </c>
      <c r="P2614">
        <v>2026</v>
      </c>
    </row>
    <row r="2615" spans="1:16" hidden="1" x14ac:dyDescent="0.25">
      <c r="A2615" s="96" t="s">
        <v>2</v>
      </c>
      <c r="B2615" s="96" t="s">
        <v>280</v>
      </c>
      <c r="C2615" s="96" t="s">
        <v>2549</v>
      </c>
      <c r="D2615" s="96" t="s">
        <v>223</v>
      </c>
      <c r="E2615" s="43">
        <v>45842</v>
      </c>
      <c r="F2615" s="43">
        <v>45954</v>
      </c>
      <c r="G2615" s="96" t="s">
        <v>92</v>
      </c>
      <c r="H2615" s="96" t="s">
        <v>6256</v>
      </c>
      <c r="I2615" s="96" t="s">
        <v>204</v>
      </c>
      <c r="J2615" s="96" t="s">
        <v>98</v>
      </c>
      <c r="K2615" s="96" t="s">
        <v>210</v>
      </c>
      <c r="L2615">
        <v>112</v>
      </c>
      <c r="M2615" t="s">
        <v>28</v>
      </c>
      <c r="N2615" t="s">
        <v>187</v>
      </c>
      <c r="O2615" t="s">
        <v>170</v>
      </c>
      <c r="P2615">
        <v>2025</v>
      </c>
    </row>
    <row r="2616" spans="1:16" x14ac:dyDescent="0.25">
      <c r="A2616" s="96" t="s">
        <v>189</v>
      </c>
      <c r="B2616" s="96" t="s">
        <v>234</v>
      </c>
      <c r="C2616" s="96" t="s">
        <v>6257</v>
      </c>
      <c r="D2616" s="96" t="s">
        <v>223</v>
      </c>
      <c r="E2616" s="43">
        <v>46057</v>
      </c>
      <c r="F2616" s="43">
        <v>46111</v>
      </c>
      <c r="G2616" s="96" t="s">
        <v>90</v>
      </c>
      <c r="H2616" s="96" t="s">
        <v>6258</v>
      </c>
      <c r="I2616" s="96" t="s">
        <v>157</v>
      </c>
      <c r="J2616" s="96" t="s">
        <v>172</v>
      </c>
      <c r="K2616" s="96" t="s">
        <v>233</v>
      </c>
      <c r="L2616">
        <v>54</v>
      </c>
      <c r="M2616" t="s">
        <v>24</v>
      </c>
      <c r="N2616" t="s">
        <v>32</v>
      </c>
      <c r="O2616" t="s">
        <v>150</v>
      </c>
      <c r="P2616">
        <v>2026</v>
      </c>
    </row>
    <row r="2617" spans="1:16" hidden="1" x14ac:dyDescent="0.25">
      <c r="A2617" s="96" t="s">
        <v>2</v>
      </c>
      <c r="B2617" s="96" t="s">
        <v>272</v>
      </c>
      <c r="C2617" s="96" t="s">
        <v>2551</v>
      </c>
      <c r="D2617" s="96" t="s">
        <v>192</v>
      </c>
      <c r="E2617" s="43">
        <v>45830</v>
      </c>
      <c r="F2617" s="43">
        <v>45927</v>
      </c>
      <c r="G2617" s="96" t="s">
        <v>92</v>
      </c>
      <c r="H2617" s="96" t="s">
        <v>6259</v>
      </c>
      <c r="I2617" s="96" t="s">
        <v>228</v>
      </c>
      <c r="J2617" s="96" t="s">
        <v>98</v>
      </c>
      <c r="K2617" s="96" t="s">
        <v>246</v>
      </c>
      <c r="L2617">
        <v>97</v>
      </c>
      <c r="M2617" t="s">
        <v>28</v>
      </c>
      <c r="N2617" t="s">
        <v>184</v>
      </c>
      <c r="O2617" t="s">
        <v>151</v>
      </c>
      <c r="P2617">
        <v>2025</v>
      </c>
    </row>
    <row r="2618" spans="1:16" x14ac:dyDescent="0.25">
      <c r="A2618" s="96" t="s">
        <v>175</v>
      </c>
      <c r="B2618" s="96" t="s">
        <v>261</v>
      </c>
      <c r="C2618" s="96" t="s">
        <v>6260</v>
      </c>
      <c r="D2618" s="96" t="s">
        <v>40</v>
      </c>
      <c r="E2618" s="43">
        <v>46122</v>
      </c>
      <c r="F2618" s="43">
        <v>46149</v>
      </c>
      <c r="G2618" s="96" t="s">
        <v>90</v>
      </c>
      <c r="H2618" s="96" t="s">
        <v>6261</v>
      </c>
      <c r="I2618" s="96" t="s">
        <v>157</v>
      </c>
      <c r="J2618" s="96" t="s">
        <v>96</v>
      </c>
      <c r="K2618" s="96" t="s">
        <v>200</v>
      </c>
      <c r="L2618">
        <v>27</v>
      </c>
      <c r="M2618" t="s">
        <v>19</v>
      </c>
      <c r="N2618" t="s">
        <v>37</v>
      </c>
      <c r="O2618" t="s">
        <v>151</v>
      </c>
      <c r="P2618">
        <v>2026</v>
      </c>
    </row>
    <row r="2619" spans="1:16" hidden="1" x14ac:dyDescent="0.25">
      <c r="A2619" s="96" t="s">
        <v>2</v>
      </c>
      <c r="B2619" s="96" t="s">
        <v>280</v>
      </c>
      <c r="C2619" s="96" t="s">
        <v>2552</v>
      </c>
      <c r="D2619" s="96" t="s">
        <v>203</v>
      </c>
      <c r="E2619" s="43">
        <v>45725</v>
      </c>
      <c r="F2619" s="43">
        <v>45801</v>
      </c>
      <c r="G2619" s="96" t="s">
        <v>92</v>
      </c>
      <c r="H2619" s="96" t="s">
        <v>6262</v>
      </c>
      <c r="I2619" s="96" t="s">
        <v>209</v>
      </c>
      <c r="J2619" s="96" t="s">
        <v>176</v>
      </c>
      <c r="K2619" s="96" t="s">
        <v>195</v>
      </c>
      <c r="L2619">
        <v>76</v>
      </c>
      <c r="M2619" t="s">
        <v>28</v>
      </c>
      <c r="N2619" t="s">
        <v>186</v>
      </c>
      <c r="O2619" t="s">
        <v>170</v>
      </c>
      <c r="P2619">
        <v>2025</v>
      </c>
    </row>
    <row r="2620" spans="1:16" x14ac:dyDescent="0.25">
      <c r="A2620" s="96" t="s">
        <v>2</v>
      </c>
      <c r="B2620" s="96" t="s">
        <v>244</v>
      </c>
      <c r="C2620" s="96" t="s">
        <v>2553</v>
      </c>
      <c r="D2620" s="96" t="s">
        <v>215</v>
      </c>
      <c r="E2620" s="43">
        <v>46133</v>
      </c>
      <c r="F2620" s="43">
        <v>46147</v>
      </c>
      <c r="G2620" s="96" t="s">
        <v>92</v>
      </c>
      <c r="H2620" s="96" t="s">
        <v>6263</v>
      </c>
      <c r="I2620" s="96" t="s">
        <v>228</v>
      </c>
      <c r="J2620" s="96" t="s">
        <v>173</v>
      </c>
      <c r="K2620" s="96" t="s">
        <v>210</v>
      </c>
      <c r="L2620">
        <v>14</v>
      </c>
      <c r="M2620" t="s">
        <v>15</v>
      </c>
      <c r="N2620" t="s">
        <v>37</v>
      </c>
      <c r="O2620" t="s">
        <v>150</v>
      </c>
      <c r="P2620">
        <v>2026</v>
      </c>
    </row>
    <row r="2621" spans="1:16" x14ac:dyDescent="0.25">
      <c r="A2621" s="96" t="s">
        <v>2</v>
      </c>
      <c r="B2621" s="96" t="s">
        <v>374</v>
      </c>
      <c r="C2621" s="96" t="s">
        <v>2554</v>
      </c>
      <c r="D2621" s="96" t="s">
        <v>34</v>
      </c>
      <c r="E2621" s="43">
        <v>46085</v>
      </c>
      <c r="F2621" s="43">
        <v>46139</v>
      </c>
      <c r="G2621" s="96" t="s">
        <v>92</v>
      </c>
      <c r="H2621" s="96" t="s">
        <v>6264</v>
      </c>
      <c r="I2621" s="96" t="s">
        <v>204</v>
      </c>
      <c r="J2621" s="96" t="s">
        <v>177</v>
      </c>
      <c r="K2621" s="96" t="s">
        <v>217</v>
      </c>
      <c r="L2621">
        <v>54</v>
      </c>
      <c r="M2621" t="s">
        <v>24</v>
      </c>
      <c r="N2621" t="s">
        <v>35</v>
      </c>
      <c r="O2621" t="s">
        <v>150</v>
      </c>
      <c r="P2621">
        <v>2026</v>
      </c>
    </row>
    <row r="2622" spans="1:16" hidden="1" x14ac:dyDescent="0.25">
      <c r="A2622" s="96" t="s">
        <v>2</v>
      </c>
      <c r="B2622" s="96" t="s">
        <v>255</v>
      </c>
      <c r="C2622" s="96" t="s">
        <v>2555</v>
      </c>
      <c r="D2622" s="96" t="s">
        <v>203</v>
      </c>
      <c r="E2622" s="43">
        <v>45695</v>
      </c>
      <c r="F2622" s="43">
        <v>45713</v>
      </c>
      <c r="G2622" s="96" t="s">
        <v>92</v>
      </c>
      <c r="H2622" s="96" t="s">
        <v>6265</v>
      </c>
      <c r="I2622" s="96" t="s">
        <v>228</v>
      </c>
      <c r="J2622" s="96" t="s">
        <v>169</v>
      </c>
      <c r="K2622" s="96" t="s">
        <v>217</v>
      </c>
      <c r="L2622">
        <v>18</v>
      </c>
      <c r="M2622" t="s">
        <v>19</v>
      </c>
      <c r="N2622" t="s">
        <v>188</v>
      </c>
      <c r="O2622" t="s">
        <v>150</v>
      </c>
      <c r="P2622">
        <v>2025</v>
      </c>
    </row>
    <row r="2623" spans="1:16" x14ac:dyDescent="0.25">
      <c r="A2623" s="96" t="s">
        <v>2</v>
      </c>
      <c r="B2623" s="96" t="s">
        <v>201</v>
      </c>
      <c r="C2623" s="96" t="s">
        <v>6266</v>
      </c>
      <c r="D2623" s="96" t="s">
        <v>237</v>
      </c>
      <c r="E2623" s="43">
        <v>46040</v>
      </c>
      <c r="F2623" s="43">
        <v>46052</v>
      </c>
      <c r="G2623" s="96" t="s">
        <v>92</v>
      </c>
      <c r="H2623" s="96" t="s">
        <v>6267</v>
      </c>
      <c r="I2623" s="96" t="s">
        <v>9</v>
      </c>
      <c r="J2623" s="96" t="s">
        <v>94</v>
      </c>
      <c r="K2623" s="96" t="s">
        <v>217</v>
      </c>
      <c r="L2623">
        <v>12</v>
      </c>
      <c r="M2623" t="s">
        <v>15</v>
      </c>
      <c r="N2623" t="s">
        <v>29</v>
      </c>
      <c r="O2623" t="s">
        <v>170</v>
      </c>
      <c r="P2623">
        <v>2026</v>
      </c>
    </row>
    <row r="2624" spans="1:16" hidden="1" x14ac:dyDescent="0.25">
      <c r="A2624" s="96" t="s">
        <v>2</v>
      </c>
      <c r="B2624" s="96" t="s">
        <v>253</v>
      </c>
      <c r="C2624" s="96" t="s">
        <v>6268</v>
      </c>
      <c r="D2624" s="96" t="s">
        <v>208</v>
      </c>
      <c r="E2624" s="43">
        <v>45917</v>
      </c>
      <c r="F2624" s="43">
        <v>46001</v>
      </c>
      <c r="G2624" s="96" t="s">
        <v>92</v>
      </c>
      <c r="H2624" s="96" t="s">
        <v>6269</v>
      </c>
      <c r="I2624" s="96" t="s">
        <v>225</v>
      </c>
      <c r="J2624" s="96" t="s">
        <v>199</v>
      </c>
      <c r="K2624" s="96" t="s">
        <v>205</v>
      </c>
      <c r="L2624">
        <v>84</v>
      </c>
      <c r="M2624" t="s">
        <v>28</v>
      </c>
      <c r="N2624" t="s">
        <v>12</v>
      </c>
      <c r="O2624" t="s">
        <v>152</v>
      </c>
      <c r="P2624">
        <v>2025</v>
      </c>
    </row>
    <row r="2625" spans="1:16" hidden="1" x14ac:dyDescent="0.25">
      <c r="A2625" s="96" t="s">
        <v>2</v>
      </c>
      <c r="B2625" s="96" t="s">
        <v>240</v>
      </c>
      <c r="C2625" s="96" t="s">
        <v>2556</v>
      </c>
      <c r="D2625" s="96" t="s">
        <v>208</v>
      </c>
      <c r="E2625" s="43">
        <v>45791</v>
      </c>
      <c r="F2625" s="43">
        <v>45814</v>
      </c>
      <c r="G2625" s="96" t="s">
        <v>95</v>
      </c>
      <c r="H2625" s="96" t="s">
        <v>2472</v>
      </c>
      <c r="I2625" s="96" t="s">
        <v>204</v>
      </c>
      <c r="J2625" s="96" t="s">
        <v>93</v>
      </c>
      <c r="K2625" s="96" t="s">
        <v>210</v>
      </c>
      <c r="L2625">
        <v>23</v>
      </c>
      <c r="M2625" t="s">
        <v>19</v>
      </c>
      <c r="N2625" t="s">
        <v>182</v>
      </c>
      <c r="O2625" t="s">
        <v>149</v>
      </c>
      <c r="P2625">
        <v>2025</v>
      </c>
    </row>
    <row r="2626" spans="1:16" hidden="1" x14ac:dyDescent="0.25">
      <c r="A2626" s="96" t="s">
        <v>2</v>
      </c>
      <c r="B2626" s="96" t="s">
        <v>322</v>
      </c>
      <c r="C2626" s="96" t="s">
        <v>6270</v>
      </c>
      <c r="D2626" s="96" t="s">
        <v>40</v>
      </c>
      <c r="E2626" s="43">
        <v>46012</v>
      </c>
      <c r="F2626" s="43">
        <v>46127</v>
      </c>
      <c r="G2626" s="96" t="s">
        <v>95</v>
      </c>
      <c r="H2626" s="96" t="s">
        <v>2474</v>
      </c>
      <c r="I2626" s="96" t="s">
        <v>194</v>
      </c>
      <c r="J2626" s="96" t="s">
        <v>172</v>
      </c>
      <c r="K2626" s="96" t="s">
        <v>205</v>
      </c>
      <c r="L2626">
        <v>115</v>
      </c>
      <c r="M2626" t="s">
        <v>28</v>
      </c>
      <c r="N2626" t="s">
        <v>25</v>
      </c>
      <c r="O2626" t="s">
        <v>150</v>
      </c>
      <c r="P2626">
        <v>2025</v>
      </c>
    </row>
    <row r="2627" spans="1:16" hidden="1" x14ac:dyDescent="0.25">
      <c r="A2627" s="96" t="s">
        <v>21</v>
      </c>
      <c r="B2627" s="96" t="s">
        <v>221</v>
      </c>
      <c r="C2627" s="96" t="s">
        <v>2557</v>
      </c>
      <c r="D2627" s="96" t="s">
        <v>10</v>
      </c>
      <c r="E2627" s="43">
        <v>45819</v>
      </c>
      <c r="F2627" s="43">
        <v>45887</v>
      </c>
      <c r="G2627" s="96" t="s">
        <v>92</v>
      </c>
      <c r="H2627" s="96" t="s">
        <v>2475</v>
      </c>
      <c r="I2627" s="96" t="s">
        <v>194</v>
      </c>
      <c r="J2627" s="96" t="s">
        <v>91</v>
      </c>
      <c r="K2627" s="96" t="s">
        <v>195</v>
      </c>
      <c r="L2627">
        <v>68</v>
      </c>
      <c r="M2627" t="s">
        <v>28</v>
      </c>
      <c r="N2627" t="s">
        <v>184</v>
      </c>
      <c r="O2627" t="s">
        <v>170</v>
      </c>
      <c r="P2627">
        <v>2025</v>
      </c>
    </row>
    <row r="2628" spans="1:16" x14ac:dyDescent="0.25">
      <c r="A2628" s="96" t="s">
        <v>21</v>
      </c>
      <c r="B2628" s="96" t="s">
        <v>218</v>
      </c>
      <c r="C2628" s="96" t="s">
        <v>6271</v>
      </c>
      <c r="D2628" s="96" t="s">
        <v>203</v>
      </c>
      <c r="E2628" s="43">
        <v>46052</v>
      </c>
      <c r="F2628" s="43">
        <v>46101</v>
      </c>
      <c r="G2628" s="96" t="s">
        <v>92</v>
      </c>
      <c r="H2628" s="96" t="s">
        <v>6272</v>
      </c>
      <c r="I2628" s="96" t="s">
        <v>228</v>
      </c>
      <c r="J2628" s="96" t="s">
        <v>199</v>
      </c>
      <c r="K2628" s="96" t="s">
        <v>195</v>
      </c>
      <c r="L2628">
        <v>49</v>
      </c>
      <c r="M2628" t="s">
        <v>24</v>
      </c>
      <c r="N2628" t="s">
        <v>29</v>
      </c>
      <c r="O2628" t="s">
        <v>152</v>
      </c>
      <c r="P2628">
        <v>2026</v>
      </c>
    </row>
    <row r="2629" spans="1:16" hidden="1" x14ac:dyDescent="0.25">
      <c r="A2629" s="96" t="s">
        <v>171</v>
      </c>
      <c r="B2629" s="96" t="s">
        <v>240</v>
      </c>
      <c r="C2629" s="96" t="s">
        <v>2558</v>
      </c>
      <c r="D2629" s="96" t="s">
        <v>223</v>
      </c>
      <c r="E2629" s="43">
        <v>45773</v>
      </c>
      <c r="F2629" s="43">
        <v>45786</v>
      </c>
      <c r="G2629" s="96" t="s">
        <v>90</v>
      </c>
      <c r="H2629" s="96" t="s">
        <v>6273</v>
      </c>
      <c r="I2629" s="96" t="s">
        <v>9</v>
      </c>
      <c r="J2629" s="96" t="s">
        <v>94</v>
      </c>
      <c r="K2629" s="96" t="s">
        <v>217</v>
      </c>
      <c r="L2629">
        <v>13</v>
      </c>
      <c r="M2629" t="s">
        <v>15</v>
      </c>
      <c r="N2629" t="s">
        <v>185</v>
      </c>
      <c r="O2629" t="s">
        <v>149</v>
      </c>
      <c r="P2629">
        <v>2025</v>
      </c>
    </row>
    <row r="2630" spans="1:16" x14ac:dyDescent="0.25">
      <c r="A2630" s="96" t="s">
        <v>2</v>
      </c>
      <c r="B2630" s="96" t="s">
        <v>374</v>
      </c>
      <c r="C2630" s="96" t="s">
        <v>2559</v>
      </c>
      <c r="D2630" s="96" t="s">
        <v>10</v>
      </c>
      <c r="E2630" s="43">
        <v>46066</v>
      </c>
      <c r="F2630" s="43">
        <v>46086</v>
      </c>
      <c r="G2630" s="96" t="s">
        <v>90</v>
      </c>
      <c r="H2630" s="96" t="s">
        <v>6274</v>
      </c>
      <c r="I2630" s="96" t="s">
        <v>157</v>
      </c>
      <c r="J2630" s="96" t="s">
        <v>98</v>
      </c>
      <c r="K2630" s="96" t="s">
        <v>233</v>
      </c>
      <c r="L2630">
        <v>20</v>
      </c>
      <c r="M2630" t="s">
        <v>19</v>
      </c>
      <c r="N2630" t="s">
        <v>32</v>
      </c>
      <c r="O2630" t="s">
        <v>150</v>
      </c>
      <c r="P2630">
        <v>2026</v>
      </c>
    </row>
    <row r="2631" spans="1:16" x14ac:dyDescent="0.25">
      <c r="A2631" s="96" t="s">
        <v>2</v>
      </c>
      <c r="B2631" s="96" t="s">
        <v>290</v>
      </c>
      <c r="C2631" s="96" t="s">
        <v>2560</v>
      </c>
      <c r="D2631" s="96" t="s">
        <v>237</v>
      </c>
      <c r="E2631" s="43">
        <v>46102</v>
      </c>
      <c r="F2631" s="43">
        <v>46103</v>
      </c>
      <c r="G2631" s="96" t="s">
        <v>92</v>
      </c>
      <c r="H2631" s="96" t="s">
        <v>6275</v>
      </c>
      <c r="I2631" s="96" t="s">
        <v>9</v>
      </c>
      <c r="J2631" s="96" t="s">
        <v>93</v>
      </c>
      <c r="K2631" s="96" t="s">
        <v>246</v>
      </c>
      <c r="L2631">
        <v>1</v>
      </c>
      <c r="M2631" t="s">
        <v>11</v>
      </c>
      <c r="N2631" t="s">
        <v>35</v>
      </c>
      <c r="O2631" t="s">
        <v>149</v>
      </c>
      <c r="P2631">
        <v>2026</v>
      </c>
    </row>
    <row r="2632" spans="1:16" x14ac:dyDescent="0.25">
      <c r="A2632" s="96" t="s">
        <v>2</v>
      </c>
      <c r="B2632" s="96" t="s">
        <v>201</v>
      </c>
      <c r="C2632" s="96" t="s">
        <v>6276</v>
      </c>
      <c r="D2632" s="96" t="s">
        <v>223</v>
      </c>
      <c r="E2632" s="43">
        <v>46092</v>
      </c>
      <c r="F2632" s="43">
        <v>46141</v>
      </c>
      <c r="G2632" s="96" t="s">
        <v>90</v>
      </c>
      <c r="H2632" s="96" t="s">
        <v>6277</v>
      </c>
      <c r="I2632" s="96" t="s">
        <v>9</v>
      </c>
      <c r="J2632" s="96" t="s">
        <v>91</v>
      </c>
      <c r="K2632" s="96" t="s">
        <v>205</v>
      </c>
      <c r="L2632">
        <v>49</v>
      </c>
      <c r="M2632" t="s">
        <v>24</v>
      </c>
      <c r="N2632" t="s">
        <v>35</v>
      </c>
      <c r="O2632" t="s">
        <v>170</v>
      </c>
      <c r="P2632">
        <v>2026</v>
      </c>
    </row>
    <row r="2633" spans="1:16" hidden="1" x14ac:dyDescent="0.25">
      <c r="A2633" s="96" t="s">
        <v>2</v>
      </c>
      <c r="B2633" s="96" t="s">
        <v>272</v>
      </c>
      <c r="C2633" s="96" t="s">
        <v>6278</v>
      </c>
      <c r="D2633" s="96" t="s">
        <v>40</v>
      </c>
      <c r="E2633" s="43">
        <v>45673</v>
      </c>
      <c r="F2633" s="43">
        <v>45749</v>
      </c>
      <c r="G2633" s="96" t="s">
        <v>90</v>
      </c>
      <c r="H2633" s="96" t="s">
        <v>6279</v>
      </c>
      <c r="I2633" s="96" t="s">
        <v>9</v>
      </c>
      <c r="J2633" s="96" t="s">
        <v>216</v>
      </c>
      <c r="K2633" s="96" t="s">
        <v>230</v>
      </c>
      <c r="L2633">
        <v>76</v>
      </c>
      <c r="M2633" t="s">
        <v>28</v>
      </c>
      <c r="N2633" t="s">
        <v>181</v>
      </c>
      <c r="O2633" t="s">
        <v>151</v>
      </c>
      <c r="P2633">
        <v>2025</v>
      </c>
    </row>
    <row r="2634" spans="1:16" hidden="1" x14ac:dyDescent="0.25">
      <c r="A2634" s="96" t="s">
        <v>2</v>
      </c>
      <c r="B2634" s="96" t="s">
        <v>272</v>
      </c>
      <c r="C2634" s="96" t="s">
        <v>2561</v>
      </c>
      <c r="D2634" s="96" t="s">
        <v>203</v>
      </c>
      <c r="E2634" s="43">
        <v>45922</v>
      </c>
      <c r="F2634" s="43">
        <v>45969</v>
      </c>
      <c r="G2634" s="96" t="s">
        <v>92</v>
      </c>
      <c r="H2634" s="96" t="s">
        <v>6280</v>
      </c>
      <c r="I2634" s="96" t="s">
        <v>9</v>
      </c>
      <c r="J2634" s="96" t="s">
        <v>172</v>
      </c>
      <c r="K2634" s="96" t="s">
        <v>195</v>
      </c>
      <c r="L2634">
        <v>47</v>
      </c>
      <c r="M2634" t="s">
        <v>24</v>
      </c>
      <c r="N2634" t="s">
        <v>12</v>
      </c>
      <c r="O2634" t="s">
        <v>151</v>
      </c>
      <c r="P2634">
        <v>2025</v>
      </c>
    </row>
    <row r="2635" spans="1:16" x14ac:dyDescent="0.25">
      <c r="A2635" s="96" t="s">
        <v>2</v>
      </c>
      <c r="B2635" s="96" t="s">
        <v>226</v>
      </c>
      <c r="C2635" s="96" t="s">
        <v>6281</v>
      </c>
      <c r="D2635" s="96" t="s">
        <v>40</v>
      </c>
      <c r="E2635" s="43">
        <v>46099</v>
      </c>
      <c r="F2635" s="43">
        <v>46113</v>
      </c>
      <c r="G2635" s="96" t="s">
        <v>92</v>
      </c>
      <c r="H2635" s="96" t="s">
        <v>6282</v>
      </c>
      <c r="I2635" s="96" t="s">
        <v>194</v>
      </c>
      <c r="J2635" s="96" t="s">
        <v>169</v>
      </c>
      <c r="K2635" s="96" t="s">
        <v>205</v>
      </c>
      <c r="L2635">
        <v>14</v>
      </c>
      <c r="M2635" t="s">
        <v>15</v>
      </c>
      <c r="N2635" t="s">
        <v>35</v>
      </c>
      <c r="O2635" t="s">
        <v>151</v>
      </c>
      <c r="P2635">
        <v>2026</v>
      </c>
    </row>
    <row r="2636" spans="1:16" hidden="1" x14ac:dyDescent="0.25">
      <c r="A2636" s="96" t="s">
        <v>171</v>
      </c>
      <c r="B2636" s="96" t="s">
        <v>206</v>
      </c>
      <c r="C2636" s="96" t="s">
        <v>2562</v>
      </c>
      <c r="D2636" s="96" t="s">
        <v>223</v>
      </c>
      <c r="E2636" s="43">
        <v>45795</v>
      </c>
      <c r="F2636" s="43">
        <v>45846</v>
      </c>
      <c r="G2636" s="96" t="s">
        <v>90</v>
      </c>
      <c r="H2636" s="96" t="s">
        <v>6283</v>
      </c>
      <c r="I2636" s="96" t="s">
        <v>157</v>
      </c>
      <c r="J2636" s="96" t="s">
        <v>97</v>
      </c>
      <c r="K2636" s="96" t="s">
        <v>157</v>
      </c>
      <c r="L2636">
        <v>51</v>
      </c>
      <c r="M2636" t="s">
        <v>24</v>
      </c>
      <c r="N2636" t="s">
        <v>182</v>
      </c>
      <c r="O2636" t="s">
        <v>152</v>
      </c>
      <c r="P2636">
        <v>2025</v>
      </c>
    </row>
    <row r="2637" spans="1:16" hidden="1" x14ac:dyDescent="0.25">
      <c r="A2637" s="96" t="s">
        <v>2</v>
      </c>
      <c r="B2637" s="96" t="s">
        <v>253</v>
      </c>
      <c r="C2637" s="96" t="s">
        <v>2563</v>
      </c>
      <c r="D2637" s="96" t="s">
        <v>34</v>
      </c>
      <c r="E2637" s="43">
        <v>45806</v>
      </c>
      <c r="F2637" s="43">
        <v>45856</v>
      </c>
      <c r="G2637" s="96" t="s">
        <v>92</v>
      </c>
      <c r="H2637" s="96" t="s">
        <v>6284</v>
      </c>
      <c r="I2637" s="96" t="s">
        <v>225</v>
      </c>
      <c r="J2637" s="96" t="s">
        <v>229</v>
      </c>
      <c r="K2637" s="96" t="s">
        <v>195</v>
      </c>
      <c r="L2637">
        <v>50</v>
      </c>
      <c r="M2637" t="s">
        <v>24</v>
      </c>
      <c r="N2637" t="s">
        <v>182</v>
      </c>
      <c r="O2637" t="s">
        <v>152</v>
      </c>
      <c r="P2637">
        <v>2025</v>
      </c>
    </row>
    <row r="2638" spans="1:16" hidden="1" x14ac:dyDescent="0.25">
      <c r="A2638" s="96" t="s">
        <v>2</v>
      </c>
      <c r="B2638" s="96" t="s">
        <v>231</v>
      </c>
      <c r="C2638" s="96" t="s">
        <v>2564</v>
      </c>
      <c r="D2638" s="96" t="s">
        <v>10</v>
      </c>
      <c r="E2638" s="43">
        <v>45833</v>
      </c>
      <c r="F2638" s="43">
        <v>45849</v>
      </c>
      <c r="G2638" s="96" t="s">
        <v>90</v>
      </c>
      <c r="H2638" s="96" t="s">
        <v>6285</v>
      </c>
      <c r="I2638" s="96" t="s">
        <v>204</v>
      </c>
      <c r="J2638" s="96" t="s">
        <v>176</v>
      </c>
      <c r="K2638" s="96" t="s">
        <v>233</v>
      </c>
      <c r="L2638">
        <v>16</v>
      </c>
      <c r="M2638" t="s">
        <v>19</v>
      </c>
      <c r="N2638" t="s">
        <v>184</v>
      </c>
      <c r="O2638" t="s">
        <v>170</v>
      </c>
      <c r="P2638">
        <v>2025</v>
      </c>
    </row>
    <row r="2639" spans="1:16" x14ac:dyDescent="0.25">
      <c r="A2639" s="96" t="s">
        <v>171</v>
      </c>
      <c r="B2639" s="96" t="s">
        <v>244</v>
      </c>
      <c r="C2639" s="96" t="s">
        <v>6286</v>
      </c>
      <c r="D2639" s="96" t="s">
        <v>223</v>
      </c>
      <c r="E2639" s="43">
        <v>46063</v>
      </c>
      <c r="F2639" s="43">
        <v>46148</v>
      </c>
      <c r="G2639" s="96" t="s">
        <v>90</v>
      </c>
      <c r="H2639" s="96" t="s">
        <v>6287</v>
      </c>
      <c r="I2639" s="96" t="s">
        <v>194</v>
      </c>
      <c r="J2639" s="96" t="s">
        <v>98</v>
      </c>
      <c r="K2639" s="96" t="s">
        <v>157</v>
      </c>
      <c r="L2639">
        <v>85</v>
      </c>
      <c r="M2639" t="s">
        <v>28</v>
      </c>
      <c r="N2639" t="s">
        <v>32</v>
      </c>
      <c r="O2639" t="s">
        <v>150</v>
      </c>
      <c r="P2639">
        <v>2026</v>
      </c>
    </row>
    <row r="2640" spans="1:16" x14ac:dyDescent="0.25">
      <c r="A2640" s="96" t="s">
        <v>21</v>
      </c>
      <c r="B2640" s="96" t="s">
        <v>305</v>
      </c>
      <c r="C2640" s="96" t="s">
        <v>2565</v>
      </c>
      <c r="D2640" s="96" t="s">
        <v>14</v>
      </c>
      <c r="E2640" s="43">
        <v>46150</v>
      </c>
      <c r="F2640" s="43">
        <v>46150</v>
      </c>
      <c r="G2640" s="96" t="s">
        <v>92</v>
      </c>
      <c r="H2640" s="96" t="s">
        <v>6288</v>
      </c>
      <c r="I2640" s="96" t="s">
        <v>9</v>
      </c>
      <c r="J2640" s="96" t="s">
        <v>94</v>
      </c>
      <c r="K2640" s="96" t="s">
        <v>217</v>
      </c>
      <c r="L2640">
        <v>0</v>
      </c>
      <c r="M2640" t="s">
        <v>11</v>
      </c>
      <c r="N2640" t="s">
        <v>183</v>
      </c>
      <c r="O2640" t="s">
        <v>170</v>
      </c>
      <c r="P2640">
        <v>2026</v>
      </c>
    </row>
    <row r="2641" spans="1:16" x14ac:dyDescent="0.25">
      <c r="A2641" s="96" t="s">
        <v>2</v>
      </c>
      <c r="B2641" s="96" t="s">
        <v>196</v>
      </c>
      <c r="C2641" s="96" t="s">
        <v>2566</v>
      </c>
      <c r="D2641" s="96" t="s">
        <v>34</v>
      </c>
      <c r="E2641" s="43">
        <v>46109</v>
      </c>
      <c r="F2641" s="43">
        <v>46139</v>
      </c>
      <c r="G2641" s="96" t="s">
        <v>92</v>
      </c>
      <c r="H2641" s="96" t="s">
        <v>6289</v>
      </c>
      <c r="I2641" s="96" t="s">
        <v>209</v>
      </c>
      <c r="J2641" s="96" t="s">
        <v>216</v>
      </c>
      <c r="K2641" s="96" t="s">
        <v>233</v>
      </c>
      <c r="L2641">
        <v>30</v>
      </c>
      <c r="M2641" t="s">
        <v>19</v>
      </c>
      <c r="N2641" t="s">
        <v>35</v>
      </c>
      <c r="O2641" t="s">
        <v>152</v>
      </c>
      <c r="P2641">
        <v>2026</v>
      </c>
    </row>
    <row r="2642" spans="1:16" hidden="1" x14ac:dyDescent="0.25">
      <c r="A2642" s="96" t="s">
        <v>2</v>
      </c>
      <c r="B2642" s="96" t="s">
        <v>272</v>
      </c>
      <c r="C2642" s="96" t="s">
        <v>6290</v>
      </c>
      <c r="D2642" s="96" t="s">
        <v>192</v>
      </c>
      <c r="E2642" s="43">
        <v>45956</v>
      </c>
      <c r="F2642" s="43">
        <v>46076</v>
      </c>
      <c r="G2642" s="96" t="s">
        <v>92</v>
      </c>
      <c r="H2642" s="96" t="s">
        <v>6291</v>
      </c>
      <c r="I2642" s="96" t="s">
        <v>204</v>
      </c>
      <c r="J2642" s="96" t="s">
        <v>97</v>
      </c>
      <c r="K2642" s="96" t="s">
        <v>195</v>
      </c>
      <c r="L2642">
        <v>120</v>
      </c>
      <c r="M2642" t="s">
        <v>28</v>
      </c>
      <c r="N2642" t="s">
        <v>16</v>
      </c>
      <c r="O2642" t="s">
        <v>151</v>
      </c>
      <c r="P2642">
        <v>2025</v>
      </c>
    </row>
    <row r="2643" spans="1:16" x14ac:dyDescent="0.25">
      <c r="A2643" s="96" t="s">
        <v>171</v>
      </c>
      <c r="B2643" s="96" t="s">
        <v>374</v>
      </c>
      <c r="C2643" s="96" t="s">
        <v>6292</v>
      </c>
      <c r="D2643" s="96" t="s">
        <v>208</v>
      </c>
      <c r="E2643" s="43">
        <v>46036</v>
      </c>
      <c r="F2643" s="43">
        <v>46043</v>
      </c>
      <c r="G2643" s="96" t="s">
        <v>90</v>
      </c>
      <c r="H2643" s="96" t="s">
        <v>6293</v>
      </c>
      <c r="I2643" s="96" t="s">
        <v>225</v>
      </c>
      <c r="J2643" s="96" t="s">
        <v>174</v>
      </c>
      <c r="K2643" s="96" t="s">
        <v>217</v>
      </c>
      <c r="L2643">
        <v>7</v>
      </c>
      <c r="M2643" t="s">
        <v>11</v>
      </c>
      <c r="N2643" t="s">
        <v>29</v>
      </c>
      <c r="O2643" t="s">
        <v>150</v>
      </c>
      <c r="P2643">
        <v>2026</v>
      </c>
    </row>
    <row r="2644" spans="1:16" x14ac:dyDescent="0.25">
      <c r="A2644" s="96" t="s">
        <v>2</v>
      </c>
      <c r="B2644" s="96" t="s">
        <v>226</v>
      </c>
      <c r="C2644" s="96" t="s">
        <v>2567</v>
      </c>
      <c r="D2644" s="96" t="s">
        <v>10</v>
      </c>
      <c r="E2644" s="43">
        <v>46088</v>
      </c>
      <c r="F2644" s="43">
        <v>46106</v>
      </c>
      <c r="G2644" s="96" t="s">
        <v>92</v>
      </c>
      <c r="H2644" s="96" t="s">
        <v>6294</v>
      </c>
      <c r="I2644" s="96" t="s">
        <v>157</v>
      </c>
      <c r="J2644" s="96" t="s">
        <v>172</v>
      </c>
      <c r="K2644" s="96" t="s">
        <v>157</v>
      </c>
      <c r="L2644">
        <v>18</v>
      </c>
      <c r="M2644" t="s">
        <v>19</v>
      </c>
      <c r="N2644" t="s">
        <v>35</v>
      </c>
      <c r="O2644" t="s">
        <v>151</v>
      </c>
      <c r="P2644">
        <v>2026</v>
      </c>
    </row>
    <row r="2645" spans="1:16" x14ac:dyDescent="0.25">
      <c r="A2645" s="96" t="s">
        <v>2</v>
      </c>
      <c r="B2645" s="96" t="s">
        <v>219</v>
      </c>
      <c r="C2645" s="96" t="s">
        <v>6295</v>
      </c>
      <c r="D2645" s="96" t="s">
        <v>10</v>
      </c>
      <c r="E2645" s="43">
        <v>46089</v>
      </c>
      <c r="F2645" s="43">
        <v>46131</v>
      </c>
      <c r="G2645" s="96" t="s">
        <v>92</v>
      </c>
      <c r="H2645" s="96" t="s">
        <v>6296</v>
      </c>
      <c r="I2645" s="96" t="s">
        <v>225</v>
      </c>
      <c r="J2645" s="96" t="s">
        <v>91</v>
      </c>
      <c r="K2645" s="96" t="s">
        <v>217</v>
      </c>
      <c r="L2645">
        <v>42</v>
      </c>
      <c r="M2645" t="s">
        <v>24</v>
      </c>
      <c r="N2645" t="s">
        <v>35</v>
      </c>
      <c r="O2645" t="s">
        <v>149</v>
      </c>
      <c r="P2645">
        <v>2026</v>
      </c>
    </row>
    <row r="2646" spans="1:16" hidden="1" x14ac:dyDescent="0.25">
      <c r="A2646" s="96" t="s">
        <v>2</v>
      </c>
      <c r="B2646" s="96" t="s">
        <v>253</v>
      </c>
      <c r="C2646" s="96" t="s">
        <v>6297</v>
      </c>
      <c r="D2646" s="96" t="s">
        <v>192</v>
      </c>
      <c r="E2646" s="43">
        <v>45699</v>
      </c>
      <c r="F2646" s="43">
        <v>45724</v>
      </c>
      <c r="G2646" s="96" t="s">
        <v>92</v>
      </c>
      <c r="H2646" s="96" t="s">
        <v>6298</v>
      </c>
      <c r="I2646" s="96" t="s">
        <v>204</v>
      </c>
      <c r="J2646" s="96" t="s">
        <v>96</v>
      </c>
      <c r="K2646" s="96" t="s">
        <v>233</v>
      </c>
      <c r="L2646">
        <v>25</v>
      </c>
      <c r="M2646" t="s">
        <v>19</v>
      </c>
      <c r="N2646" t="s">
        <v>188</v>
      </c>
      <c r="O2646" t="s">
        <v>152</v>
      </c>
      <c r="P2646">
        <v>2025</v>
      </c>
    </row>
    <row r="2647" spans="1:16" hidden="1" x14ac:dyDescent="0.25">
      <c r="A2647" s="96" t="s">
        <v>2</v>
      </c>
      <c r="B2647" s="96" t="s">
        <v>240</v>
      </c>
      <c r="C2647" s="96" t="s">
        <v>2568</v>
      </c>
      <c r="D2647" s="96" t="s">
        <v>223</v>
      </c>
      <c r="E2647" s="43">
        <v>45794</v>
      </c>
      <c r="F2647" s="43">
        <v>45881</v>
      </c>
      <c r="G2647" s="96" t="s">
        <v>95</v>
      </c>
      <c r="H2647" s="96" t="s">
        <v>6299</v>
      </c>
      <c r="I2647" s="96" t="s">
        <v>157</v>
      </c>
      <c r="J2647" s="96" t="s">
        <v>98</v>
      </c>
      <c r="K2647" s="96" t="s">
        <v>230</v>
      </c>
      <c r="L2647">
        <v>87</v>
      </c>
      <c r="M2647" t="s">
        <v>28</v>
      </c>
      <c r="N2647" t="s">
        <v>182</v>
      </c>
      <c r="O2647" t="s">
        <v>149</v>
      </c>
      <c r="P2647">
        <v>2025</v>
      </c>
    </row>
    <row r="2648" spans="1:16" hidden="1" x14ac:dyDescent="0.25">
      <c r="A2648" s="96" t="s">
        <v>2</v>
      </c>
      <c r="B2648" s="96" t="s">
        <v>257</v>
      </c>
      <c r="C2648" s="96" t="s">
        <v>6300</v>
      </c>
      <c r="D2648" s="96" t="s">
        <v>192</v>
      </c>
      <c r="E2648" s="43">
        <v>45941</v>
      </c>
      <c r="F2648" s="43">
        <v>45956</v>
      </c>
      <c r="G2648" s="96" t="s">
        <v>92</v>
      </c>
      <c r="H2648" s="96" t="s">
        <v>6301</v>
      </c>
      <c r="I2648" s="96" t="s">
        <v>209</v>
      </c>
      <c r="J2648" s="96" t="s">
        <v>199</v>
      </c>
      <c r="K2648" s="96" t="s">
        <v>195</v>
      </c>
      <c r="L2648">
        <v>15</v>
      </c>
      <c r="M2648" t="s">
        <v>19</v>
      </c>
      <c r="N2648" t="s">
        <v>16</v>
      </c>
      <c r="O2648" t="s">
        <v>151</v>
      </c>
      <c r="P2648">
        <v>2025</v>
      </c>
    </row>
    <row r="2649" spans="1:16" x14ac:dyDescent="0.25">
      <c r="A2649" s="96" t="s">
        <v>2</v>
      </c>
      <c r="B2649" s="96" t="s">
        <v>261</v>
      </c>
      <c r="C2649" s="96" t="s">
        <v>2569</v>
      </c>
      <c r="D2649" s="96" t="s">
        <v>40</v>
      </c>
      <c r="E2649" s="43">
        <v>46064</v>
      </c>
      <c r="F2649" s="43">
        <v>46147</v>
      </c>
      <c r="G2649" s="96" t="s">
        <v>92</v>
      </c>
      <c r="H2649" s="96" t="s">
        <v>6302</v>
      </c>
      <c r="I2649" s="96" t="s">
        <v>194</v>
      </c>
      <c r="J2649" s="96" t="s">
        <v>168</v>
      </c>
      <c r="K2649" s="96" t="s">
        <v>217</v>
      </c>
      <c r="L2649">
        <v>83</v>
      </c>
      <c r="M2649" t="s">
        <v>28</v>
      </c>
      <c r="N2649" t="s">
        <v>32</v>
      </c>
      <c r="O2649" t="s">
        <v>151</v>
      </c>
      <c r="P2649">
        <v>2026</v>
      </c>
    </row>
    <row r="2650" spans="1:16" x14ac:dyDescent="0.25">
      <c r="A2650" s="96" t="s">
        <v>2</v>
      </c>
      <c r="B2650" s="96" t="s">
        <v>261</v>
      </c>
      <c r="C2650" s="96" t="s">
        <v>6303</v>
      </c>
      <c r="D2650" s="96" t="s">
        <v>223</v>
      </c>
      <c r="E2650" s="43">
        <v>46145</v>
      </c>
      <c r="F2650" s="43">
        <v>46149</v>
      </c>
      <c r="G2650" s="96" t="s">
        <v>92</v>
      </c>
      <c r="H2650" s="96" t="s">
        <v>6304</v>
      </c>
      <c r="I2650" s="96" t="s">
        <v>9</v>
      </c>
      <c r="J2650" s="96" t="s">
        <v>165</v>
      </c>
      <c r="K2650" s="96" t="s">
        <v>230</v>
      </c>
      <c r="L2650">
        <v>4</v>
      </c>
      <c r="M2650" t="s">
        <v>11</v>
      </c>
      <c r="N2650" t="s">
        <v>183</v>
      </c>
      <c r="O2650" t="s">
        <v>151</v>
      </c>
      <c r="P2650">
        <v>2026</v>
      </c>
    </row>
    <row r="2651" spans="1:16" x14ac:dyDescent="0.25">
      <c r="A2651" s="96" t="s">
        <v>175</v>
      </c>
      <c r="B2651" s="96" t="s">
        <v>374</v>
      </c>
      <c r="C2651" s="96" t="s">
        <v>2571</v>
      </c>
      <c r="D2651" s="96" t="s">
        <v>208</v>
      </c>
      <c r="E2651" s="43">
        <v>46070</v>
      </c>
      <c r="F2651" s="43">
        <v>46138</v>
      </c>
      <c r="G2651" s="96" t="s">
        <v>92</v>
      </c>
      <c r="H2651" s="96" t="s">
        <v>6305</v>
      </c>
      <c r="I2651" s="96" t="s">
        <v>225</v>
      </c>
      <c r="J2651" s="96" t="s">
        <v>172</v>
      </c>
      <c r="K2651" s="96" t="s">
        <v>157</v>
      </c>
      <c r="L2651">
        <v>68</v>
      </c>
      <c r="M2651" t="s">
        <v>28</v>
      </c>
      <c r="N2651" t="s">
        <v>32</v>
      </c>
      <c r="O2651" t="s">
        <v>150</v>
      </c>
      <c r="P2651">
        <v>2026</v>
      </c>
    </row>
    <row r="2652" spans="1:16" hidden="1" x14ac:dyDescent="0.25">
      <c r="A2652" s="96" t="s">
        <v>2</v>
      </c>
      <c r="B2652" s="96" t="s">
        <v>240</v>
      </c>
      <c r="C2652" s="96" t="s">
        <v>6306</v>
      </c>
      <c r="D2652" s="96" t="s">
        <v>10</v>
      </c>
      <c r="E2652" s="43">
        <v>45691</v>
      </c>
      <c r="F2652" s="43">
        <v>45766</v>
      </c>
      <c r="G2652" s="96" t="s">
        <v>90</v>
      </c>
      <c r="H2652" s="96" t="s">
        <v>6307</v>
      </c>
      <c r="I2652" s="96" t="s">
        <v>228</v>
      </c>
      <c r="J2652" s="96" t="s">
        <v>97</v>
      </c>
      <c r="K2652" s="96" t="s">
        <v>246</v>
      </c>
      <c r="L2652">
        <v>75</v>
      </c>
      <c r="M2652" t="s">
        <v>28</v>
      </c>
      <c r="N2652" t="s">
        <v>188</v>
      </c>
      <c r="O2652" t="s">
        <v>149</v>
      </c>
      <c r="P2652">
        <v>2025</v>
      </c>
    </row>
    <row r="2653" spans="1:16" hidden="1" x14ac:dyDescent="0.25">
      <c r="A2653" s="96" t="s">
        <v>2</v>
      </c>
      <c r="B2653" s="96" t="s">
        <v>206</v>
      </c>
      <c r="C2653" s="96" t="s">
        <v>2573</v>
      </c>
      <c r="D2653" s="96" t="s">
        <v>223</v>
      </c>
      <c r="E2653" s="43">
        <v>45940</v>
      </c>
      <c r="F2653" s="43">
        <v>46023</v>
      </c>
      <c r="G2653" s="96" t="s">
        <v>90</v>
      </c>
      <c r="H2653" s="96" t="s">
        <v>2493</v>
      </c>
      <c r="I2653" s="96" t="s">
        <v>194</v>
      </c>
      <c r="J2653" s="96" t="s">
        <v>216</v>
      </c>
      <c r="K2653" s="96" t="s">
        <v>217</v>
      </c>
      <c r="L2653">
        <v>83</v>
      </c>
      <c r="M2653" t="s">
        <v>28</v>
      </c>
      <c r="N2653" t="s">
        <v>16</v>
      </c>
      <c r="O2653" t="s">
        <v>152</v>
      </c>
      <c r="P2653">
        <v>2025</v>
      </c>
    </row>
    <row r="2654" spans="1:16" hidden="1" x14ac:dyDescent="0.25">
      <c r="A2654" s="96" t="s">
        <v>2</v>
      </c>
      <c r="B2654" s="96" t="s">
        <v>257</v>
      </c>
      <c r="C2654" s="96" t="s">
        <v>2574</v>
      </c>
      <c r="D2654" s="96" t="s">
        <v>34</v>
      </c>
      <c r="E2654" s="43">
        <v>45964</v>
      </c>
      <c r="F2654" s="43">
        <v>46082</v>
      </c>
      <c r="G2654" s="96" t="s">
        <v>92</v>
      </c>
      <c r="H2654" s="96" t="s">
        <v>6308</v>
      </c>
      <c r="I2654" s="96" t="s">
        <v>209</v>
      </c>
      <c r="J2654" s="96" t="s">
        <v>216</v>
      </c>
      <c r="K2654" s="96" t="s">
        <v>205</v>
      </c>
      <c r="L2654">
        <v>118</v>
      </c>
      <c r="M2654" t="s">
        <v>28</v>
      </c>
      <c r="N2654" t="s">
        <v>20</v>
      </c>
      <c r="O2654" t="s">
        <v>151</v>
      </c>
      <c r="P2654">
        <v>2025</v>
      </c>
    </row>
    <row r="2655" spans="1:16" hidden="1" x14ac:dyDescent="0.25">
      <c r="A2655" s="96" t="s">
        <v>2</v>
      </c>
      <c r="B2655" s="96" t="s">
        <v>213</v>
      </c>
      <c r="C2655" s="96" t="s">
        <v>6309</v>
      </c>
      <c r="D2655" s="96" t="s">
        <v>208</v>
      </c>
      <c r="E2655" s="43">
        <v>45822</v>
      </c>
      <c r="F2655" s="43">
        <v>45910</v>
      </c>
      <c r="G2655" s="96" t="s">
        <v>92</v>
      </c>
      <c r="H2655" s="96" t="s">
        <v>6310</v>
      </c>
      <c r="I2655" s="96" t="s">
        <v>194</v>
      </c>
      <c r="J2655" s="96" t="s">
        <v>169</v>
      </c>
      <c r="K2655" s="96" t="s">
        <v>205</v>
      </c>
      <c r="L2655">
        <v>88</v>
      </c>
      <c r="M2655" t="s">
        <v>28</v>
      </c>
      <c r="N2655" t="s">
        <v>184</v>
      </c>
      <c r="O2655" t="s">
        <v>149</v>
      </c>
      <c r="P2655">
        <v>2025</v>
      </c>
    </row>
    <row r="2656" spans="1:16" hidden="1" x14ac:dyDescent="0.25">
      <c r="A2656" s="96" t="s">
        <v>21</v>
      </c>
      <c r="B2656" s="96" t="s">
        <v>206</v>
      </c>
      <c r="C2656" s="96" t="s">
        <v>2575</v>
      </c>
      <c r="D2656" s="96" t="s">
        <v>40</v>
      </c>
      <c r="E2656" s="43">
        <v>45661</v>
      </c>
      <c r="F2656" s="43">
        <v>45682</v>
      </c>
      <c r="G2656" s="96" t="s">
        <v>92</v>
      </c>
      <c r="H2656" s="96" t="s">
        <v>6311</v>
      </c>
      <c r="I2656" s="96" t="s">
        <v>209</v>
      </c>
      <c r="J2656" s="96" t="s">
        <v>91</v>
      </c>
      <c r="K2656" s="96" t="s">
        <v>246</v>
      </c>
      <c r="L2656">
        <v>21</v>
      </c>
      <c r="M2656" t="s">
        <v>19</v>
      </c>
      <c r="N2656" t="s">
        <v>181</v>
      </c>
      <c r="O2656" t="s">
        <v>152</v>
      </c>
      <c r="P2656">
        <v>2025</v>
      </c>
    </row>
    <row r="2657" spans="1:16" x14ac:dyDescent="0.25">
      <c r="A2657" s="96" t="s">
        <v>2</v>
      </c>
      <c r="B2657" s="96" t="s">
        <v>219</v>
      </c>
      <c r="C2657" s="96" t="s">
        <v>2576</v>
      </c>
      <c r="D2657" s="96" t="s">
        <v>34</v>
      </c>
      <c r="E2657" s="43">
        <v>46059</v>
      </c>
      <c r="F2657" s="43">
        <v>46112</v>
      </c>
      <c r="G2657" s="96" t="s">
        <v>95</v>
      </c>
      <c r="H2657" s="96" t="s">
        <v>6312</v>
      </c>
      <c r="I2657" s="96" t="s">
        <v>9</v>
      </c>
      <c r="J2657" s="96" t="s">
        <v>93</v>
      </c>
      <c r="K2657" s="96" t="s">
        <v>205</v>
      </c>
      <c r="L2657">
        <v>53</v>
      </c>
      <c r="M2657" t="s">
        <v>24</v>
      </c>
      <c r="N2657" t="s">
        <v>32</v>
      </c>
      <c r="O2657" t="s">
        <v>149</v>
      </c>
      <c r="P2657">
        <v>2026</v>
      </c>
    </row>
    <row r="2658" spans="1:16" x14ac:dyDescent="0.25">
      <c r="A2658" s="96" t="s">
        <v>2</v>
      </c>
      <c r="B2658" s="96" t="s">
        <v>201</v>
      </c>
      <c r="C2658" s="96" t="s">
        <v>2577</v>
      </c>
      <c r="D2658" s="96" t="s">
        <v>237</v>
      </c>
      <c r="E2658" s="43">
        <v>46072</v>
      </c>
      <c r="F2658" s="43">
        <v>46081</v>
      </c>
      <c r="G2658" s="96" t="s">
        <v>92</v>
      </c>
      <c r="H2658" s="96" t="s">
        <v>6313</v>
      </c>
      <c r="I2658" s="96" t="s">
        <v>225</v>
      </c>
      <c r="J2658" s="96" t="s">
        <v>216</v>
      </c>
      <c r="K2658" s="96" t="s">
        <v>195</v>
      </c>
      <c r="L2658">
        <v>9</v>
      </c>
      <c r="M2658" t="s">
        <v>15</v>
      </c>
      <c r="N2658" t="s">
        <v>32</v>
      </c>
      <c r="O2658" t="s">
        <v>170</v>
      </c>
      <c r="P2658">
        <v>2026</v>
      </c>
    </row>
    <row r="2659" spans="1:16" hidden="1" x14ac:dyDescent="0.25">
      <c r="A2659" s="96" t="s">
        <v>2</v>
      </c>
      <c r="B2659" s="96" t="s">
        <v>264</v>
      </c>
      <c r="C2659" s="96" t="s">
        <v>6314</v>
      </c>
      <c r="D2659" s="96" t="s">
        <v>14</v>
      </c>
      <c r="E2659" s="43">
        <v>45711</v>
      </c>
      <c r="F2659" s="43">
        <v>45763</v>
      </c>
      <c r="G2659" s="96" t="s">
        <v>92</v>
      </c>
      <c r="H2659" s="96" t="s">
        <v>6315</v>
      </c>
      <c r="I2659" s="96" t="s">
        <v>228</v>
      </c>
      <c r="J2659" s="96" t="s">
        <v>177</v>
      </c>
      <c r="K2659" s="96" t="s">
        <v>210</v>
      </c>
      <c r="L2659">
        <v>52</v>
      </c>
      <c r="M2659" t="s">
        <v>24</v>
      </c>
      <c r="N2659" t="s">
        <v>188</v>
      </c>
      <c r="O2659" t="s">
        <v>152</v>
      </c>
      <c r="P2659">
        <v>2025</v>
      </c>
    </row>
    <row r="2660" spans="1:16" x14ac:dyDescent="0.25">
      <c r="A2660" s="96" t="s">
        <v>2</v>
      </c>
      <c r="B2660" s="96" t="s">
        <v>290</v>
      </c>
      <c r="C2660" s="96" t="s">
        <v>2579</v>
      </c>
      <c r="D2660" s="96" t="s">
        <v>215</v>
      </c>
      <c r="E2660" s="43">
        <v>46074</v>
      </c>
      <c r="F2660" s="43">
        <v>46141</v>
      </c>
      <c r="G2660" s="96" t="s">
        <v>90</v>
      </c>
      <c r="H2660" s="96" t="s">
        <v>6316</v>
      </c>
      <c r="I2660" s="96" t="s">
        <v>204</v>
      </c>
      <c r="J2660" s="96" t="s">
        <v>199</v>
      </c>
      <c r="K2660" s="96" t="s">
        <v>233</v>
      </c>
      <c r="L2660">
        <v>67</v>
      </c>
      <c r="M2660" t="s">
        <v>28</v>
      </c>
      <c r="N2660" t="s">
        <v>32</v>
      </c>
      <c r="O2660" t="s">
        <v>149</v>
      </c>
      <c r="P2660">
        <v>2026</v>
      </c>
    </row>
    <row r="2661" spans="1:16" hidden="1" x14ac:dyDescent="0.25">
      <c r="A2661" s="96" t="s">
        <v>2</v>
      </c>
      <c r="B2661" s="96" t="s">
        <v>253</v>
      </c>
      <c r="C2661" s="96" t="s">
        <v>2580</v>
      </c>
      <c r="D2661" s="96" t="s">
        <v>203</v>
      </c>
      <c r="E2661" s="43">
        <v>45908</v>
      </c>
      <c r="F2661" s="43">
        <v>45961</v>
      </c>
      <c r="G2661" s="96" t="s">
        <v>92</v>
      </c>
      <c r="H2661" s="96" t="s">
        <v>6317</v>
      </c>
      <c r="I2661" s="96" t="s">
        <v>157</v>
      </c>
      <c r="J2661" s="96" t="s">
        <v>199</v>
      </c>
      <c r="K2661" s="96" t="s">
        <v>205</v>
      </c>
      <c r="L2661">
        <v>53</v>
      </c>
      <c r="M2661" t="s">
        <v>24</v>
      </c>
      <c r="N2661" t="s">
        <v>12</v>
      </c>
      <c r="O2661" t="s">
        <v>152</v>
      </c>
      <c r="P2661">
        <v>2025</v>
      </c>
    </row>
    <row r="2662" spans="1:16" x14ac:dyDescent="0.25">
      <c r="A2662" s="96" t="s">
        <v>175</v>
      </c>
      <c r="B2662" s="96" t="s">
        <v>302</v>
      </c>
      <c r="C2662" s="96" t="s">
        <v>2581</v>
      </c>
      <c r="D2662" s="96" t="s">
        <v>223</v>
      </c>
      <c r="E2662" s="43">
        <v>46144</v>
      </c>
      <c r="F2662" s="43">
        <v>46150</v>
      </c>
      <c r="G2662" s="96" t="s">
        <v>90</v>
      </c>
      <c r="H2662" s="96" t="s">
        <v>6318</v>
      </c>
      <c r="I2662" s="96" t="s">
        <v>204</v>
      </c>
      <c r="J2662" s="96" t="s">
        <v>91</v>
      </c>
      <c r="K2662" s="96" t="s">
        <v>210</v>
      </c>
      <c r="L2662">
        <v>6</v>
      </c>
      <c r="M2662" t="s">
        <v>11</v>
      </c>
      <c r="N2662" t="s">
        <v>183</v>
      </c>
      <c r="O2662" t="s">
        <v>150</v>
      </c>
      <c r="P2662">
        <v>2026</v>
      </c>
    </row>
    <row r="2663" spans="1:16" hidden="1" x14ac:dyDescent="0.25">
      <c r="A2663" s="96" t="s">
        <v>189</v>
      </c>
      <c r="B2663" s="96" t="s">
        <v>322</v>
      </c>
      <c r="C2663" s="96" t="s">
        <v>6319</v>
      </c>
      <c r="D2663" s="96" t="s">
        <v>14</v>
      </c>
      <c r="E2663" s="43">
        <v>45915</v>
      </c>
      <c r="F2663" s="43">
        <v>45984</v>
      </c>
      <c r="G2663" s="96" t="s">
        <v>92</v>
      </c>
      <c r="H2663" s="96" t="s">
        <v>6320</v>
      </c>
      <c r="I2663" s="96" t="s">
        <v>194</v>
      </c>
      <c r="J2663" s="96" t="s">
        <v>177</v>
      </c>
      <c r="K2663" s="96" t="s">
        <v>205</v>
      </c>
      <c r="L2663">
        <v>69</v>
      </c>
      <c r="M2663" t="s">
        <v>28</v>
      </c>
      <c r="N2663" t="s">
        <v>12</v>
      </c>
      <c r="O2663" t="s">
        <v>150</v>
      </c>
      <c r="P2663">
        <v>2025</v>
      </c>
    </row>
    <row r="2664" spans="1:16" hidden="1" x14ac:dyDescent="0.25">
      <c r="A2664" s="96" t="s">
        <v>2</v>
      </c>
      <c r="B2664" s="96" t="s">
        <v>253</v>
      </c>
      <c r="C2664" s="96" t="s">
        <v>2582</v>
      </c>
      <c r="D2664" s="96" t="s">
        <v>215</v>
      </c>
      <c r="E2664" s="43">
        <v>46011</v>
      </c>
      <c r="F2664" s="43">
        <v>46099</v>
      </c>
      <c r="G2664" s="96" t="s">
        <v>92</v>
      </c>
      <c r="H2664" s="96" t="s">
        <v>6321</v>
      </c>
      <c r="I2664" s="96" t="s">
        <v>228</v>
      </c>
      <c r="J2664" s="96" t="s">
        <v>165</v>
      </c>
      <c r="K2664" s="96" t="s">
        <v>217</v>
      </c>
      <c r="L2664">
        <v>88</v>
      </c>
      <c r="M2664" t="s">
        <v>28</v>
      </c>
      <c r="N2664" t="s">
        <v>25</v>
      </c>
      <c r="O2664" t="s">
        <v>152</v>
      </c>
      <c r="P2664">
        <v>2025</v>
      </c>
    </row>
    <row r="2665" spans="1:16" hidden="1" x14ac:dyDescent="0.25">
      <c r="A2665" s="96" t="s">
        <v>2</v>
      </c>
      <c r="B2665" s="96" t="s">
        <v>231</v>
      </c>
      <c r="C2665" s="96" t="s">
        <v>2583</v>
      </c>
      <c r="D2665" s="96" t="s">
        <v>192</v>
      </c>
      <c r="E2665" s="43">
        <v>45696</v>
      </c>
      <c r="F2665" s="43">
        <v>45719</v>
      </c>
      <c r="G2665" s="96" t="s">
        <v>90</v>
      </c>
      <c r="H2665" s="96" t="s">
        <v>6322</v>
      </c>
      <c r="I2665" s="96" t="s">
        <v>225</v>
      </c>
      <c r="J2665" s="96" t="s">
        <v>177</v>
      </c>
      <c r="K2665" s="96" t="s">
        <v>157</v>
      </c>
      <c r="L2665">
        <v>23</v>
      </c>
      <c r="M2665" t="s">
        <v>19</v>
      </c>
      <c r="N2665" t="s">
        <v>188</v>
      </c>
      <c r="O2665" t="s">
        <v>170</v>
      </c>
      <c r="P2665">
        <v>2025</v>
      </c>
    </row>
    <row r="2666" spans="1:16" x14ac:dyDescent="0.25">
      <c r="A2666" s="96" t="s">
        <v>2</v>
      </c>
      <c r="B2666" s="96" t="s">
        <v>317</v>
      </c>
      <c r="C2666" s="96" t="s">
        <v>6323</v>
      </c>
      <c r="D2666" s="96" t="s">
        <v>215</v>
      </c>
      <c r="E2666" s="43">
        <v>46070</v>
      </c>
      <c r="F2666" s="43">
        <v>46148</v>
      </c>
      <c r="G2666" s="96" t="s">
        <v>92</v>
      </c>
      <c r="H2666" s="96" t="s">
        <v>6324</v>
      </c>
      <c r="I2666" s="96" t="s">
        <v>157</v>
      </c>
      <c r="J2666" s="96" t="s">
        <v>283</v>
      </c>
      <c r="K2666" s="96" t="s">
        <v>157</v>
      </c>
      <c r="L2666">
        <v>78</v>
      </c>
      <c r="M2666" t="s">
        <v>28</v>
      </c>
      <c r="N2666" t="s">
        <v>32</v>
      </c>
      <c r="O2666" t="s">
        <v>170</v>
      </c>
      <c r="P2666">
        <v>2026</v>
      </c>
    </row>
    <row r="2667" spans="1:16" hidden="1" x14ac:dyDescent="0.25">
      <c r="A2667" s="96" t="s">
        <v>2</v>
      </c>
      <c r="B2667" s="96" t="s">
        <v>322</v>
      </c>
      <c r="C2667" s="96" t="s">
        <v>6325</v>
      </c>
      <c r="D2667" s="96" t="s">
        <v>14</v>
      </c>
      <c r="E2667" s="43">
        <v>45782</v>
      </c>
      <c r="F2667" s="43">
        <v>45882</v>
      </c>
      <c r="G2667" s="96" t="s">
        <v>90</v>
      </c>
      <c r="H2667" s="96" t="s">
        <v>6326</v>
      </c>
      <c r="I2667" s="96" t="s">
        <v>157</v>
      </c>
      <c r="J2667" s="96" t="s">
        <v>165</v>
      </c>
      <c r="K2667" s="96" t="s">
        <v>200</v>
      </c>
      <c r="L2667">
        <v>100</v>
      </c>
      <c r="M2667" t="s">
        <v>28</v>
      </c>
      <c r="N2667" t="s">
        <v>182</v>
      </c>
      <c r="O2667" t="s">
        <v>150</v>
      </c>
      <c r="P2667">
        <v>2025</v>
      </c>
    </row>
    <row r="2668" spans="1:16" hidden="1" x14ac:dyDescent="0.25">
      <c r="A2668" s="96" t="s">
        <v>171</v>
      </c>
      <c r="B2668" s="96" t="s">
        <v>190</v>
      </c>
      <c r="C2668" s="96" t="s">
        <v>2584</v>
      </c>
      <c r="D2668" s="96" t="s">
        <v>203</v>
      </c>
      <c r="E2668" s="43">
        <v>46002</v>
      </c>
      <c r="F2668" s="43">
        <v>46109</v>
      </c>
      <c r="G2668" s="96" t="s">
        <v>90</v>
      </c>
      <c r="H2668" s="96" t="s">
        <v>6327</v>
      </c>
      <c r="I2668" s="96" t="s">
        <v>9</v>
      </c>
      <c r="J2668" s="96" t="s">
        <v>165</v>
      </c>
      <c r="K2668" s="96" t="s">
        <v>230</v>
      </c>
      <c r="L2668">
        <v>107</v>
      </c>
      <c r="M2668" t="s">
        <v>28</v>
      </c>
      <c r="N2668" t="s">
        <v>25</v>
      </c>
      <c r="O2668" t="s">
        <v>150</v>
      </c>
      <c r="P2668">
        <v>2025</v>
      </c>
    </row>
    <row r="2669" spans="1:16" hidden="1" x14ac:dyDescent="0.25">
      <c r="A2669" s="96" t="s">
        <v>171</v>
      </c>
      <c r="B2669" s="96" t="s">
        <v>253</v>
      </c>
      <c r="C2669" s="96" t="s">
        <v>2586</v>
      </c>
      <c r="D2669" s="96" t="s">
        <v>40</v>
      </c>
      <c r="E2669" s="43">
        <v>45677</v>
      </c>
      <c r="F2669" s="43">
        <v>45688</v>
      </c>
      <c r="G2669" s="96" t="s">
        <v>90</v>
      </c>
      <c r="H2669" s="96" t="s">
        <v>6328</v>
      </c>
      <c r="I2669" s="96" t="s">
        <v>204</v>
      </c>
      <c r="J2669" s="96" t="s">
        <v>93</v>
      </c>
      <c r="K2669" s="96" t="s">
        <v>233</v>
      </c>
      <c r="L2669">
        <v>11</v>
      </c>
      <c r="M2669" t="s">
        <v>15</v>
      </c>
      <c r="N2669" t="s">
        <v>181</v>
      </c>
      <c r="O2669" t="s">
        <v>152</v>
      </c>
      <c r="P2669">
        <v>2025</v>
      </c>
    </row>
    <row r="2670" spans="1:16" x14ac:dyDescent="0.25">
      <c r="A2670" s="96" t="s">
        <v>2</v>
      </c>
      <c r="B2670" s="96" t="s">
        <v>288</v>
      </c>
      <c r="C2670" s="96" t="s">
        <v>6329</v>
      </c>
      <c r="D2670" s="96" t="s">
        <v>40</v>
      </c>
      <c r="E2670" s="43">
        <v>46063</v>
      </c>
      <c r="F2670" s="43">
        <v>46068</v>
      </c>
      <c r="G2670" s="96" t="s">
        <v>92</v>
      </c>
      <c r="H2670" s="96" t="s">
        <v>6330</v>
      </c>
      <c r="I2670" s="96" t="s">
        <v>228</v>
      </c>
      <c r="J2670" s="96" t="s">
        <v>174</v>
      </c>
      <c r="K2670" s="96" t="s">
        <v>217</v>
      </c>
      <c r="L2670">
        <v>5</v>
      </c>
      <c r="M2670" t="s">
        <v>11</v>
      </c>
      <c r="N2670" t="s">
        <v>32</v>
      </c>
      <c r="O2670" t="s">
        <v>170</v>
      </c>
      <c r="P2670">
        <v>2026</v>
      </c>
    </row>
    <row r="2671" spans="1:16" hidden="1" x14ac:dyDescent="0.25">
      <c r="A2671" s="96" t="s">
        <v>2</v>
      </c>
      <c r="B2671" s="96" t="s">
        <v>253</v>
      </c>
      <c r="C2671" s="96" t="s">
        <v>6331</v>
      </c>
      <c r="D2671" s="96" t="s">
        <v>237</v>
      </c>
      <c r="E2671" s="43">
        <v>45754</v>
      </c>
      <c r="F2671" s="43">
        <v>45833</v>
      </c>
      <c r="G2671" s="96" t="s">
        <v>92</v>
      </c>
      <c r="H2671" s="96" t="s">
        <v>6332</v>
      </c>
      <c r="I2671" s="96" t="s">
        <v>204</v>
      </c>
      <c r="J2671" s="96" t="s">
        <v>216</v>
      </c>
      <c r="K2671" s="96" t="s">
        <v>230</v>
      </c>
      <c r="L2671">
        <v>79</v>
      </c>
      <c r="M2671" t="s">
        <v>28</v>
      </c>
      <c r="N2671" t="s">
        <v>185</v>
      </c>
      <c r="O2671" t="s">
        <v>152</v>
      </c>
      <c r="P2671">
        <v>2025</v>
      </c>
    </row>
    <row r="2672" spans="1:16" hidden="1" x14ac:dyDescent="0.25">
      <c r="A2672" s="96" t="s">
        <v>2</v>
      </c>
      <c r="B2672" s="96" t="s">
        <v>213</v>
      </c>
      <c r="C2672" s="96" t="s">
        <v>2587</v>
      </c>
      <c r="D2672" s="96" t="s">
        <v>208</v>
      </c>
      <c r="E2672" s="43">
        <v>45848</v>
      </c>
      <c r="F2672" s="43">
        <v>45902</v>
      </c>
      <c r="G2672" s="96" t="s">
        <v>92</v>
      </c>
      <c r="H2672" s="96" t="s">
        <v>2509</v>
      </c>
      <c r="I2672" s="96" t="s">
        <v>228</v>
      </c>
      <c r="J2672" s="96" t="s">
        <v>97</v>
      </c>
      <c r="K2672" s="96" t="s">
        <v>210</v>
      </c>
      <c r="L2672">
        <v>54</v>
      </c>
      <c r="M2672" t="s">
        <v>24</v>
      </c>
      <c r="N2672" t="s">
        <v>187</v>
      </c>
      <c r="O2672" t="s">
        <v>149</v>
      </c>
      <c r="P2672">
        <v>2025</v>
      </c>
    </row>
    <row r="2673" spans="1:16" hidden="1" x14ac:dyDescent="0.25">
      <c r="A2673" s="96" t="s">
        <v>2</v>
      </c>
      <c r="B2673" s="96" t="s">
        <v>231</v>
      </c>
      <c r="C2673" s="96" t="s">
        <v>2588</v>
      </c>
      <c r="D2673" s="96" t="s">
        <v>215</v>
      </c>
      <c r="E2673" s="43">
        <v>45799</v>
      </c>
      <c r="F2673" s="43">
        <v>45843</v>
      </c>
      <c r="G2673" s="96" t="s">
        <v>92</v>
      </c>
      <c r="H2673" s="96" t="s">
        <v>6333</v>
      </c>
      <c r="I2673" s="96" t="s">
        <v>194</v>
      </c>
      <c r="J2673" s="96" t="s">
        <v>96</v>
      </c>
      <c r="K2673" s="96" t="s">
        <v>230</v>
      </c>
      <c r="L2673">
        <v>44</v>
      </c>
      <c r="M2673" t="s">
        <v>24</v>
      </c>
      <c r="N2673" t="s">
        <v>182</v>
      </c>
      <c r="O2673" t="s">
        <v>170</v>
      </c>
      <c r="P2673">
        <v>2025</v>
      </c>
    </row>
    <row r="2674" spans="1:16" hidden="1" x14ac:dyDescent="0.25">
      <c r="A2674" s="96" t="s">
        <v>2</v>
      </c>
      <c r="B2674" s="96" t="s">
        <v>190</v>
      </c>
      <c r="C2674" s="96" t="s">
        <v>2589</v>
      </c>
      <c r="D2674" s="96" t="s">
        <v>40</v>
      </c>
      <c r="E2674" s="43">
        <v>45947</v>
      </c>
      <c r="F2674" s="43">
        <v>46063</v>
      </c>
      <c r="G2674" s="96" t="s">
        <v>90</v>
      </c>
      <c r="H2674" s="96" t="s">
        <v>6334</v>
      </c>
      <c r="I2674" s="96" t="s">
        <v>225</v>
      </c>
      <c r="J2674" s="96" t="s">
        <v>168</v>
      </c>
      <c r="K2674" s="96" t="s">
        <v>230</v>
      </c>
      <c r="L2674">
        <v>116</v>
      </c>
      <c r="M2674" t="s">
        <v>28</v>
      </c>
      <c r="N2674" t="s">
        <v>16</v>
      </c>
      <c r="O2674" t="s">
        <v>150</v>
      </c>
      <c r="P2674">
        <v>2025</v>
      </c>
    </row>
    <row r="2675" spans="1:16" hidden="1" x14ac:dyDescent="0.25">
      <c r="A2675" s="96" t="s">
        <v>2</v>
      </c>
      <c r="B2675" s="96" t="s">
        <v>272</v>
      </c>
      <c r="C2675" s="96" t="s">
        <v>2590</v>
      </c>
      <c r="D2675" s="96" t="s">
        <v>34</v>
      </c>
      <c r="E2675" s="43">
        <v>45751</v>
      </c>
      <c r="F2675" s="43">
        <v>45796</v>
      </c>
      <c r="G2675" s="96" t="s">
        <v>92</v>
      </c>
      <c r="H2675" s="96" t="s">
        <v>6335</v>
      </c>
      <c r="I2675" s="96" t="s">
        <v>228</v>
      </c>
      <c r="J2675" s="96" t="s">
        <v>174</v>
      </c>
      <c r="K2675" s="96" t="s">
        <v>157</v>
      </c>
      <c r="L2675">
        <v>45</v>
      </c>
      <c r="M2675" t="s">
        <v>24</v>
      </c>
      <c r="N2675" t="s">
        <v>185</v>
      </c>
      <c r="O2675" t="s">
        <v>151</v>
      </c>
      <c r="P2675">
        <v>2025</v>
      </c>
    </row>
    <row r="2676" spans="1:16" hidden="1" x14ac:dyDescent="0.25">
      <c r="A2676" s="96" t="s">
        <v>2</v>
      </c>
      <c r="B2676" s="96" t="s">
        <v>257</v>
      </c>
      <c r="C2676" s="96" t="s">
        <v>2591</v>
      </c>
      <c r="D2676" s="96" t="s">
        <v>215</v>
      </c>
      <c r="E2676" s="43">
        <v>45694</v>
      </c>
      <c r="F2676" s="43">
        <v>45811</v>
      </c>
      <c r="G2676" s="96" t="s">
        <v>95</v>
      </c>
      <c r="H2676" s="96" t="s">
        <v>6336</v>
      </c>
      <c r="I2676" s="96" t="s">
        <v>157</v>
      </c>
      <c r="J2676" s="96" t="s">
        <v>229</v>
      </c>
      <c r="K2676" s="96" t="s">
        <v>230</v>
      </c>
      <c r="L2676">
        <v>117</v>
      </c>
      <c r="M2676" t="s">
        <v>28</v>
      </c>
      <c r="N2676" t="s">
        <v>188</v>
      </c>
      <c r="O2676" t="s">
        <v>151</v>
      </c>
      <c r="P2676">
        <v>2025</v>
      </c>
    </row>
    <row r="2677" spans="1:16" hidden="1" x14ac:dyDescent="0.25">
      <c r="A2677" s="96" t="s">
        <v>2</v>
      </c>
      <c r="B2677" s="96" t="s">
        <v>206</v>
      </c>
      <c r="C2677" s="96" t="s">
        <v>6337</v>
      </c>
      <c r="D2677" s="96" t="s">
        <v>10</v>
      </c>
      <c r="E2677" s="43">
        <v>45850</v>
      </c>
      <c r="F2677" s="43">
        <v>45891</v>
      </c>
      <c r="G2677" s="96" t="s">
        <v>92</v>
      </c>
      <c r="H2677" s="96" t="s">
        <v>6338</v>
      </c>
      <c r="I2677" s="96" t="s">
        <v>157</v>
      </c>
      <c r="J2677" s="96" t="s">
        <v>216</v>
      </c>
      <c r="K2677" s="96" t="s">
        <v>157</v>
      </c>
      <c r="L2677">
        <v>41</v>
      </c>
      <c r="M2677" t="s">
        <v>24</v>
      </c>
      <c r="N2677" t="s">
        <v>187</v>
      </c>
      <c r="O2677" t="s">
        <v>152</v>
      </c>
      <c r="P2677">
        <v>2025</v>
      </c>
    </row>
    <row r="2678" spans="1:16" hidden="1" x14ac:dyDescent="0.25">
      <c r="A2678" s="96" t="s">
        <v>2</v>
      </c>
      <c r="B2678" s="96" t="s">
        <v>272</v>
      </c>
      <c r="C2678" s="96" t="s">
        <v>2593</v>
      </c>
      <c r="D2678" s="96" t="s">
        <v>203</v>
      </c>
      <c r="E2678" s="43">
        <v>45679</v>
      </c>
      <c r="F2678" s="43">
        <v>45688</v>
      </c>
      <c r="G2678" s="96" t="s">
        <v>92</v>
      </c>
      <c r="H2678" s="96" t="s">
        <v>6339</v>
      </c>
      <c r="I2678" s="96" t="s">
        <v>194</v>
      </c>
      <c r="J2678" s="96" t="s">
        <v>91</v>
      </c>
      <c r="K2678" s="96" t="s">
        <v>210</v>
      </c>
      <c r="L2678">
        <v>9</v>
      </c>
      <c r="M2678" t="s">
        <v>15</v>
      </c>
      <c r="N2678" t="s">
        <v>181</v>
      </c>
      <c r="O2678" t="s">
        <v>151</v>
      </c>
      <c r="P2678">
        <v>2025</v>
      </c>
    </row>
    <row r="2679" spans="1:16" hidden="1" x14ac:dyDescent="0.25">
      <c r="A2679" s="96" t="s">
        <v>175</v>
      </c>
      <c r="B2679" s="96" t="s">
        <v>257</v>
      </c>
      <c r="C2679" s="96" t="s">
        <v>2594</v>
      </c>
      <c r="D2679" s="96" t="s">
        <v>208</v>
      </c>
      <c r="E2679" s="43">
        <v>45663</v>
      </c>
      <c r="F2679" s="43">
        <v>45751</v>
      </c>
      <c r="G2679" s="96" t="s">
        <v>92</v>
      </c>
      <c r="H2679" s="96" t="s">
        <v>6340</v>
      </c>
      <c r="I2679" s="96" t="s">
        <v>225</v>
      </c>
      <c r="J2679" s="96" t="s">
        <v>169</v>
      </c>
      <c r="K2679" s="96" t="s">
        <v>230</v>
      </c>
      <c r="L2679">
        <v>88</v>
      </c>
      <c r="M2679" t="s">
        <v>28</v>
      </c>
      <c r="N2679" t="s">
        <v>181</v>
      </c>
      <c r="O2679" t="s">
        <v>151</v>
      </c>
      <c r="P2679">
        <v>2025</v>
      </c>
    </row>
    <row r="2680" spans="1:16" x14ac:dyDescent="0.25">
      <c r="A2680" s="96" t="s">
        <v>2</v>
      </c>
      <c r="B2680" s="96" t="s">
        <v>305</v>
      </c>
      <c r="C2680" s="96" t="s">
        <v>2595</v>
      </c>
      <c r="D2680" s="96" t="s">
        <v>192</v>
      </c>
      <c r="E2680" s="43">
        <v>46135</v>
      </c>
      <c r="F2680" s="43">
        <v>46148</v>
      </c>
      <c r="G2680" s="96" t="s">
        <v>90</v>
      </c>
      <c r="H2680" s="96" t="s">
        <v>6341</v>
      </c>
      <c r="I2680" s="96" t="s">
        <v>9</v>
      </c>
      <c r="J2680" s="96" t="s">
        <v>169</v>
      </c>
      <c r="K2680" s="96" t="s">
        <v>233</v>
      </c>
      <c r="L2680">
        <v>13</v>
      </c>
      <c r="M2680" t="s">
        <v>15</v>
      </c>
      <c r="N2680" t="s">
        <v>37</v>
      </c>
      <c r="O2680" t="s">
        <v>170</v>
      </c>
      <c r="P2680">
        <v>2026</v>
      </c>
    </row>
    <row r="2681" spans="1:16" hidden="1" x14ac:dyDescent="0.25">
      <c r="A2681" s="96" t="s">
        <v>2</v>
      </c>
      <c r="B2681" s="96" t="s">
        <v>247</v>
      </c>
      <c r="C2681" s="96" t="s">
        <v>6342</v>
      </c>
      <c r="D2681" s="96" t="s">
        <v>40</v>
      </c>
      <c r="E2681" s="43">
        <v>45795</v>
      </c>
      <c r="F2681" s="43">
        <v>45895</v>
      </c>
      <c r="G2681" s="96" t="s">
        <v>92</v>
      </c>
      <c r="H2681" s="96" t="s">
        <v>6343</v>
      </c>
      <c r="I2681" s="96" t="s">
        <v>228</v>
      </c>
      <c r="J2681" s="96" t="s">
        <v>283</v>
      </c>
      <c r="K2681" s="96" t="s">
        <v>217</v>
      </c>
      <c r="L2681">
        <v>100</v>
      </c>
      <c r="M2681" t="s">
        <v>28</v>
      </c>
      <c r="N2681" t="s">
        <v>182</v>
      </c>
      <c r="O2681" t="s">
        <v>150</v>
      </c>
      <c r="P2681">
        <v>2025</v>
      </c>
    </row>
    <row r="2682" spans="1:16" hidden="1" x14ac:dyDescent="0.25">
      <c r="A2682" s="96" t="s">
        <v>2</v>
      </c>
      <c r="B2682" s="96" t="s">
        <v>251</v>
      </c>
      <c r="C2682" s="96" t="s">
        <v>2596</v>
      </c>
      <c r="D2682" s="96" t="s">
        <v>14</v>
      </c>
      <c r="E2682" s="43">
        <v>45683</v>
      </c>
      <c r="F2682" s="43">
        <v>45753</v>
      </c>
      <c r="G2682" s="96" t="s">
        <v>92</v>
      </c>
      <c r="H2682" s="96" t="s">
        <v>2520</v>
      </c>
      <c r="I2682" s="96" t="s">
        <v>204</v>
      </c>
      <c r="J2682" s="96" t="s">
        <v>172</v>
      </c>
      <c r="K2682" s="96" t="s">
        <v>205</v>
      </c>
      <c r="L2682">
        <v>70</v>
      </c>
      <c r="M2682" t="s">
        <v>28</v>
      </c>
      <c r="N2682" t="s">
        <v>181</v>
      </c>
      <c r="O2682" t="s">
        <v>170</v>
      </c>
      <c r="P2682">
        <v>2025</v>
      </c>
    </row>
    <row r="2683" spans="1:16" hidden="1" x14ac:dyDescent="0.25">
      <c r="A2683" s="96" t="s">
        <v>2</v>
      </c>
      <c r="B2683" s="96" t="s">
        <v>280</v>
      </c>
      <c r="C2683" s="96" t="s">
        <v>2597</v>
      </c>
      <c r="D2683" s="96" t="s">
        <v>14</v>
      </c>
      <c r="E2683" s="43">
        <v>45772</v>
      </c>
      <c r="F2683" s="43">
        <v>45812</v>
      </c>
      <c r="G2683" s="96" t="s">
        <v>92</v>
      </c>
      <c r="H2683" s="96" t="s">
        <v>2522</v>
      </c>
      <c r="I2683" s="96" t="s">
        <v>228</v>
      </c>
      <c r="J2683" s="96" t="s">
        <v>94</v>
      </c>
      <c r="K2683" s="96" t="s">
        <v>246</v>
      </c>
      <c r="L2683">
        <v>40</v>
      </c>
      <c r="M2683" t="s">
        <v>24</v>
      </c>
      <c r="N2683" t="s">
        <v>185</v>
      </c>
      <c r="O2683" t="s">
        <v>170</v>
      </c>
      <c r="P2683">
        <v>2025</v>
      </c>
    </row>
    <row r="2684" spans="1:16" hidden="1" x14ac:dyDescent="0.25">
      <c r="A2684" s="96" t="s">
        <v>21</v>
      </c>
      <c r="B2684" s="96" t="s">
        <v>231</v>
      </c>
      <c r="C2684" s="96" t="s">
        <v>2598</v>
      </c>
      <c r="D2684" s="96" t="s">
        <v>40</v>
      </c>
      <c r="E2684" s="43">
        <v>45742</v>
      </c>
      <c r="F2684" s="43">
        <v>45763</v>
      </c>
      <c r="G2684" s="96" t="s">
        <v>92</v>
      </c>
      <c r="H2684" s="96" t="s">
        <v>2524</v>
      </c>
      <c r="I2684" s="96" t="s">
        <v>225</v>
      </c>
      <c r="J2684" s="96" t="s">
        <v>165</v>
      </c>
      <c r="K2684" s="96" t="s">
        <v>210</v>
      </c>
      <c r="L2684">
        <v>21</v>
      </c>
      <c r="M2684" t="s">
        <v>19</v>
      </c>
      <c r="N2684" t="s">
        <v>186</v>
      </c>
      <c r="O2684" t="s">
        <v>170</v>
      </c>
      <c r="P2684">
        <v>2025</v>
      </c>
    </row>
    <row r="2685" spans="1:16" hidden="1" x14ac:dyDescent="0.25">
      <c r="A2685" s="96" t="s">
        <v>2</v>
      </c>
      <c r="B2685" s="96" t="s">
        <v>190</v>
      </c>
      <c r="C2685" s="96" t="s">
        <v>2599</v>
      </c>
      <c r="D2685" s="96" t="s">
        <v>208</v>
      </c>
      <c r="E2685" s="43">
        <v>45943</v>
      </c>
      <c r="F2685" s="43">
        <v>46006</v>
      </c>
      <c r="G2685" s="96" t="s">
        <v>90</v>
      </c>
      <c r="H2685" s="96" t="s">
        <v>2526</v>
      </c>
      <c r="I2685" s="96" t="s">
        <v>157</v>
      </c>
      <c r="J2685" s="96" t="s">
        <v>169</v>
      </c>
      <c r="K2685" s="96" t="s">
        <v>205</v>
      </c>
      <c r="L2685">
        <v>63</v>
      </c>
      <c r="M2685" t="s">
        <v>28</v>
      </c>
      <c r="N2685" t="s">
        <v>16</v>
      </c>
      <c r="O2685" t="s">
        <v>150</v>
      </c>
      <c r="P2685">
        <v>2025</v>
      </c>
    </row>
    <row r="2686" spans="1:16" hidden="1" x14ac:dyDescent="0.25">
      <c r="A2686" s="96" t="s">
        <v>171</v>
      </c>
      <c r="B2686" s="96" t="s">
        <v>206</v>
      </c>
      <c r="C2686" s="96" t="s">
        <v>2601</v>
      </c>
      <c r="D2686" s="96" t="s">
        <v>237</v>
      </c>
      <c r="E2686" s="43">
        <v>45695</v>
      </c>
      <c r="F2686" s="43">
        <v>45778</v>
      </c>
      <c r="G2686" s="96" t="s">
        <v>92</v>
      </c>
      <c r="H2686" s="96" t="s">
        <v>2528</v>
      </c>
      <c r="I2686" s="96" t="s">
        <v>194</v>
      </c>
      <c r="J2686" s="96" t="s">
        <v>93</v>
      </c>
      <c r="K2686" s="96" t="s">
        <v>246</v>
      </c>
      <c r="L2686">
        <v>83</v>
      </c>
      <c r="M2686" t="s">
        <v>28</v>
      </c>
      <c r="N2686" t="s">
        <v>188</v>
      </c>
      <c r="O2686" t="s">
        <v>152</v>
      </c>
      <c r="P2686">
        <v>2025</v>
      </c>
    </row>
    <row r="2687" spans="1:16" x14ac:dyDescent="0.25">
      <c r="A2687" s="96" t="s">
        <v>2</v>
      </c>
      <c r="B2687" s="96" t="s">
        <v>288</v>
      </c>
      <c r="C2687" s="96" t="s">
        <v>2602</v>
      </c>
      <c r="D2687" s="96" t="s">
        <v>192</v>
      </c>
      <c r="E2687" s="43">
        <v>46147</v>
      </c>
      <c r="F2687" s="43">
        <v>46149</v>
      </c>
      <c r="G2687" s="96" t="s">
        <v>90</v>
      </c>
      <c r="H2687" s="96" t="s">
        <v>2530</v>
      </c>
      <c r="I2687" s="96" t="s">
        <v>194</v>
      </c>
      <c r="J2687" s="96" t="s">
        <v>216</v>
      </c>
      <c r="K2687" s="96" t="s">
        <v>205</v>
      </c>
      <c r="L2687">
        <v>2</v>
      </c>
      <c r="M2687" t="s">
        <v>11</v>
      </c>
      <c r="N2687" t="s">
        <v>183</v>
      </c>
      <c r="O2687" t="s">
        <v>170</v>
      </c>
      <c r="P2687">
        <v>2026</v>
      </c>
    </row>
    <row r="2688" spans="1:16" hidden="1" x14ac:dyDescent="0.25">
      <c r="A2688" s="96" t="s">
        <v>2</v>
      </c>
      <c r="B2688" s="96" t="s">
        <v>272</v>
      </c>
      <c r="C2688" s="96" t="s">
        <v>2603</v>
      </c>
      <c r="D2688" s="96" t="s">
        <v>10</v>
      </c>
      <c r="E2688" s="43">
        <v>45959</v>
      </c>
      <c r="F2688" s="43">
        <v>46013</v>
      </c>
      <c r="G2688" s="96" t="s">
        <v>92</v>
      </c>
      <c r="H2688" s="96" t="s">
        <v>2531</v>
      </c>
      <c r="I2688" s="96" t="s">
        <v>157</v>
      </c>
      <c r="J2688" s="96" t="s">
        <v>96</v>
      </c>
      <c r="K2688" s="96" t="s">
        <v>200</v>
      </c>
      <c r="L2688">
        <v>54</v>
      </c>
      <c r="M2688" t="s">
        <v>24</v>
      </c>
      <c r="N2688" t="s">
        <v>16</v>
      </c>
      <c r="O2688" t="s">
        <v>151</v>
      </c>
      <c r="P2688">
        <v>2025</v>
      </c>
    </row>
    <row r="2689" spans="1:16" hidden="1" x14ac:dyDescent="0.25">
      <c r="A2689" s="96" t="s">
        <v>2</v>
      </c>
      <c r="B2689" s="96" t="s">
        <v>272</v>
      </c>
      <c r="C2689" s="96" t="s">
        <v>6344</v>
      </c>
      <c r="D2689" s="96" t="s">
        <v>203</v>
      </c>
      <c r="E2689" s="43">
        <v>45719</v>
      </c>
      <c r="F2689" s="43">
        <v>45750</v>
      </c>
      <c r="G2689" s="96" t="s">
        <v>90</v>
      </c>
      <c r="H2689" s="96" t="s">
        <v>2533</v>
      </c>
      <c r="I2689" s="96" t="s">
        <v>228</v>
      </c>
      <c r="J2689" s="96" t="s">
        <v>176</v>
      </c>
      <c r="K2689" s="96" t="s">
        <v>195</v>
      </c>
      <c r="L2689">
        <v>31</v>
      </c>
      <c r="M2689" t="s">
        <v>24</v>
      </c>
      <c r="N2689" t="s">
        <v>186</v>
      </c>
      <c r="O2689" t="s">
        <v>151</v>
      </c>
      <c r="P2689">
        <v>2025</v>
      </c>
    </row>
    <row r="2690" spans="1:16" hidden="1" x14ac:dyDescent="0.25">
      <c r="A2690" s="96" t="s">
        <v>2</v>
      </c>
      <c r="B2690" s="96" t="s">
        <v>257</v>
      </c>
      <c r="C2690" s="96" t="s">
        <v>2604</v>
      </c>
      <c r="D2690" s="96" t="s">
        <v>203</v>
      </c>
      <c r="E2690" s="43">
        <v>45903</v>
      </c>
      <c r="F2690" s="43">
        <v>45970</v>
      </c>
      <c r="G2690" s="96" t="s">
        <v>92</v>
      </c>
      <c r="H2690" s="96" t="s">
        <v>6345</v>
      </c>
      <c r="I2690" s="96" t="s">
        <v>209</v>
      </c>
      <c r="J2690" s="96" t="s">
        <v>94</v>
      </c>
      <c r="K2690" s="96" t="s">
        <v>200</v>
      </c>
      <c r="L2690">
        <v>67</v>
      </c>
      <c r="M2690" t="s">
        <v>28</v>
      </c>
      <c r="N2690" t="s">
        <v>12</v>
      </c>
      <c r="O2690" t="s">
        <v>151</v>
      </c>
      <c r="P2690">
        <v>2025</v>
      </c>
    </row>
    <row r="2691" spans="1:16" hidden="1" x14ac:dyDescent="0.25">
      <c r="A2691" s="96" t="s">
        <v>2</v>
      </c>
      <c r="B2691" s="96" t="s">
        <v>221</v>
      </c>
      <c r="C2691" s="96" t="s">
        <v>2605</v>
      </c>
      <c r="D2691" s="96" t="s">
        <v>40</v>
      </c>
      <c r="E2691" s="43">
        <v>45977</v>
      </c>
      <c r="F2691" s="43">
        <v>46014</v>
      </c>
      <c r="G2691" s="96" t="s">
        <v>90</v>
      </c>
      <c r="H2691" s="96" t="s">
        <v>6346</v>
      </c>
      <c r="I2691" s="96" t="s">
        <v>225</v>
      </c>
      <c r="J2691" s="96" t="s">
        <v>93</v>
      </c>
      <c r="K2691" s="96" t="s">
        <v>195</v>
      </c>
      <c r="L2691">
        <v>37</v>
      </c>
      <c r="M2691" t="s">
        <v>24</v>
      </c>
      <c r="N2691" t="s">
        <v>20</v>
      </c>
      <c r="O2691" t="s">
        <v>170</v>
      </c>
      <c r="P2691">
        <v>2025</v>
      </c>
    </row>
    <row r="2692" spans="1:16" hidden="1" x14ac:dyDescent="0.25">
      <c r="A2692" s="96" t="s">
        <v>2</v>
      </c>
      <c r="B2692" s="96" t="s">
        <v>264</v>
      </c>
      <c r="C2692" s="96" t="s">
        <v>6347</v>
      </c>
      <c r="D2692" s="96" t="s">
        <v>10</v>
      </c>
      <c r="E2692" s="43">
        <v>45843</v>
      </c>
      <c r="F2692" s="43">
        <v>45882</v>
      </c>
      <c r="G2692" s="96" t="s">
        <v>92</v>
      </c>
      <c r="H2692" s="96" t="s">
        <v>6348</v>
      </c>
      <c r="I2692" s="96" t="s">
        <v>228</v>
      </c>
      <c r="J2692" s="96" t="s">
        <v>174</v>
      </c>
      <c r="K2692" s="96" t="s">
        <v>230</v>
      </c>
      <c r="L2692">
        <v>39</v>
      </c>
      <c r="M2692" t="s">
        <v>24</v>
      </c>
      <c r="N2692" t="s">
        <v>187</v>
      </c>
      <c r="O2692" t="s">
        <v>152</v>
      </c>
      <c r="P2692">
        <v>2025</v>
      </c>
    </row>
    <row r="2693" spans="1:16" hidden="1" x14ac:dyDescent="0.25">
      <c r="A2693" s="96" t="s">
        <v>2</v>
      </c>
      <c r="B2693" s="96" t="s">
        <v>280</v>
      </c>
      <c r="C2693" s="96" t="s">
        <v>6349</v>
      </c>
      <c r="D2693" s="96" t="s">
        <v>192</v>
      </c>
      <c r="E2693" s="43">
        <v>45990</v>
      </c>
      <c r="F2693" s="43">
        <v>46011</v>
      </c>
      <c r="G2693" s="96" t="s">
        <v>92</v>
      </c>
      <c r="H2693" s="96" t="s">
        <v>6350</v>
      </c>
      <c r="I2693" s="96" t="s">
        <v>225</v>
      </c>
      <c r="J2693" s="96" t="s">
        <v>199</v>
      </c>
      <c r="K2693" s="96" t="s">
        <v>230</v>
      </c>
      <c r="L2693">
        <v>21</v>
      </c>
      <c r="M2693" t="s">
        <v>19</v>
      </c>
      <c r="N2693" t="s">
        <v>20</v>
      </c>
      <c r="O2693" t="s">
        <v>170</v>
      </c>
      <c r="P2693">
        <v>2025</v>
      </c>
    </row>
    <row r="2694" spans="1:16" hidden="1" x14ac:dyDescent="0.25">
      <c r="A2694" s="96" t="s">
        <v>171</v>
      </c>
      <c r="B2694" s="96" t="s">
        <v>257</v>
      </c>
      <c r="C2694" s="96" t="s">
        <v>6351</v>
      </c>
      <c r="D2694" s="96" t="s">
        <v>223</v>
      </c>
      <c r="E2694" s="43">
        <v>45661</v>
      </c>
      <c r="F2694" s="43">
        <v>45692</v>
      </c>
      <c r="G2694" s="96" t="s">
        <v>95</v>
      </c>
      <c r="H2694" s="96" t="s">
        <v>6352</v>
      </c>
      <c r="I2694" s="96" t="s">
        <v>194</v>
      </c>
      <c r="J2694" s="96" t="s">
        <v>169</v>
      </c>
      <c r="K2694" s="96" t="s">
        <v>233</v>
      </c>
      <c r="L2694">
        <v>31</v>
      </c>
      <c r="M2694" t="s">
        <v>24</v>
      </c>
      <c r="N2694" t="s">
        <v>181</v>
      </c>
      <c r="O2694" t="s">
        <v>151</v>
      </c>
      <c r="P2694">
        <v>2025</v>
      </c>
    </row>
    <row r="2695" spans="1:16" hidden="1" x14ac:dyDescent="0.25">
      <c r="A2695" s="96" t="s">
        <v>2</v>
      </c>
      <c r="B2695" s="96" t="s">
        <v>253</v>
      </c>
      <c r="C2695" s="96" t="s">
        <v>2606</v>
      </c>
      <c r="D2695" s="96" t="s">
        <v>223</v>
      </c>
      <c r="E2695" s="43">
        <v>45667</v>
      </c>
      <c r="F2695" s="43">
        <v>45739</v>
      </c>
      <c r="G2695" s="96" t="s">
        <v>92</v>
      </c>
      <c r="H2695" s="96" t="s">
        <v>6353</v>
      </c>
      <c r="I2695" s="96" t="s">
        <v>9</v>
      </c>
      <c r="J2695" s="96" t="s">
        <v>199</v>
      </c>
      <c r="K2695" s="96" t="s">
        <v>205</v>
      </c>
      <c r="L2695">
        <v>72</v>
      </c>
      <c r="M2695" t="s">
        <v>28</v>
      </c>
      <c r="N2695" t="s">
        <v>181</v>
      </c>
      <c r="O2695" t="s">
        <v>152</v>
      </c>
      <c r="P2695">
        <v>2025</v>
      </c>
    </row>
    <row r="2696" spans="1:16" hidden="1" x14ac:dyDescent="0.25">
      <c r="A2696" s="96" t="s">
        <v>171</v>
      </c>
      <c r="B2696" s="96" t="s">
        <v>190</v>
      </c>
      <c r="C2696" s="96" t="s">
        <v>2607</v>
      </c>
      <c r="D2696" s="96" t="s">
        <v>40</v>
      </c>
      <c r="E2696" s="43">
        <v>46002</v>
      </c>
      <c r="F2696" s="43">
        <v>46082</v>
      </c>
      <c r="G2696" s="96" t="s">
        <v>92</v>
      </c>
      <c r="H2696" s="96" t="s">
        <v>6354</v>
      </c>
      <c r="I2696" s="96" t="s">
        <v>157</v>
      </c>
      <c r="J2696" s="96" t="s">
        <v>176</v>
      </c>
      <c r="K2696" s="96" t="s">
        <v>205</v>
      </c>
      <c r="L2696">
        <v>80</v>
      </c>
      <c r="M2696" t="s">
        <v>28</v>
      </c>
      <c r="N2696" t="s">
        <v>25</v>
      </c>
      <c r="O2696" t="s">
        <v>150</v>
      </c>
      <c r="P2696">
        <v>2025</v>
      </c>
    </row>
    <row r="2697" spans="1:16" x14ac:dyDescent="0.25">
      <c r="A2697" s="96" t="s">
        <v>175</v>
      </c>
      <c r="B2697" s="96" t="s">
        <v>226</v>
      </c>
      <c r="C2697" s="96" t="s">
        <v>6355</v>
      </c>
      <c r="D2697" s="96" t="s">
        <v>34</v>
      </c>
      <c r="E2697" s="43">
        <v>46080</v>
      </c>
      <c r="F2697" s="43">
        <v>46147</v>
      </c>
      <c r="G2697" s="96" t="s">
        <v>92</v>
      </c>
      <c r="H2697" s="96" t="s">
        <v>6356</v>
      </c>
      <c r="I2697" s="96" t="s">
        <v>209</v>
      </c>
      <c r="J2697" s="96" t="s">
        <v>283</v>
      </c>
      <c r="K2697" s="96" t="s">
        <v>210</v>
      </c>
      <c r="L2697">
        <v>67</v>
      </c>
      <c r="M2697" t="s">
        <v>28</v>
      </c>
      <c r="N2697" t="s">
        <v>32</v>
      </c>
      <c r="O2697" t="s">
        <v>151</v>
      </c>
      <c r="P2697">
        <v>2026</v>
      </c>
    </row>
    <row r="2698" spans="1:16" hidden="1" x14ac:dyDescent="0.25">
      <c r="A2698" s="96" t="s">
        <v>2</v>
      </c>
      <c r="B2698" s="96" t="s">
        <v>272</v>
      </c>
      <c r="C2698" s="96" t="s">
        <v>6357</v>
      </c>
      <c r="D2698" s="96" t="s">
        <v>40</v>
      </c>
      <c r="E2698" s="43">
        <v>45972</v>
      </c>
      <c r="F2698" s="43">
        <v>46039</v>
      </c>
      <c r="G2698" s="96" t="s">
        <v>92</v>
      </c>
      <c r="H2698" s="96" t="s">
        <v>6358</v>
      </c>
      <c r="I2698" s="96" t="s">
        <v>228</v>
      </c>
      <c r="J2698" s="96" t="s">
        <v>216</v>
      </c>
      <c r="K2698" s="96" t="s">
        <v>246</v>
      </c>
      <c r="L2698">
        <v>67</v>
      </c>
      <c r="M2698" t="s">
        <v>28</v>
      </c>
      <c r="N2698" t="s">
        <v>20</v>
      </c>
      <c r="O2698" t="s">
        <v>151</v>
      </c>
      <c r="P2698">
        <v>2025</v>
      </c>
    </row>
    <row r="2699" spans="1:16" hidden="1" x14ac:dyDescent="0.25">
      <c r="A2699" s="96" t="s">
        <v>2</v>
      </c>
      <c r="B2699" s="96" t="s">
        <v>231</v>
      </c>
      <c r="C2699" s="96" t="s">
        <v>2610</v>
      </c>
      <c r="D2699" s="96" t="s">
        <v>10</v>
      </c>
      <c r="E2699" s="43">
        <v>45788</v>
      </c>
      <c r="F2699" s="43">
        <v>45906</v>
      </c>
      <c r="G2699" s="96" t="s">
        <v>90</v>
      </c>
      <c r="H2699" s="96" t="s">
        <v>2541</v>
      </c>
      <c r="I2699" s="96" t="s">
        <v>204</v>
      </c>
      <c r="J2699" s="96" t="s">
        <v>94</v>
      </c>
      <c r="K2699" s="96" t="s">
        <v>217</v>
      </c>
      <c r="L2699">
        <v>118</v>
      </c>
      <c r="M2699" t="s">
        <v>28</v>
      </c>
      <c r="N2699" t="s">
        <v>182</v>
      </c>
      <c r="O2699" t="s">
        <v>170</v>
      </c>
      <c r="P2699">
        <v>2025</v>
      </c>
    </row>
    <row r="2700" spans="1:16" hidden="1" x14ac:dyDescent="0.25">
      <c r="A2700" s="96" t="s">
        <v>2</v>
      </c>
      <c r="B2700" s="96" t="s">
        <v>264</v>
      </c>
      <c r="C2700" s="96" t="s">
        <v>2612</v>
      </c>
      <c r="D2700" s="96" t="s">
        <v>10</v>
      </c>
      <c r="E2700" s="43">
        <v>45805</v>
      </c>
      <c r="F2700" s="43">
        <v>45887</v>
      </c>
      <c r="G2700" s="96" t="s">
        <v>92</v>
      </c>
      <c r="H2700" s="96" t="s">
        <v>6359</v>
      </c>
      <c r="I2700" s="96" t="s">
        <v>9</v>
      </c>
      <c r="J2700" s="96" t="s">
        <v>229</v>
      </c>
      <c r="K2700" s="96" t="s">
        <v>205</v>
      </c>
      <c r="L2700">
        <v>82</v>
      </c>
      <c r="M2700" t="s">
        <v>28</v>
      </c>
      <c r="N2700" t="s">
        <v>182</v>
      </c>
      <c r="O2700" t="s">
        <v>152</v>
      </c>
      <c r="P2700">
        <v>2025</v>
      </c>
    </row>
    <row r="2701" spans="1:16" hidden="1" x14ac:dyDescent="0.25">
      <c r="A2701" s="96" t="s">
        <v>171</v>
      </c>
      <c r="B2701" s="96" t="s">
        <v>272</v>
      </c>
      <c r="C2701" s="96" t="s">
        <v>2613</v>
      </c>
      <c r="D2701" s="96" t="s">
        <v>208</v>
      </c>
      <c r="E2701" s="43">
        <v>45732</v>
      </c>
      <c r="F2701" s="43">
        <v>45792</v>
      </c>
      <c r="G2701" s="96" t="s">
        <v>92</v>
      </c>
      <c r="H2701" s="96" t="s">
        <v>2544</v>
      </c>
      <c r="I2701" s="96" t="s">
        <v>157</v>
      </c>
      <c r="J2701" s="96" t="s">
        <v>91</v>
      </c>
      <c r="K2701" s="96" t="s">
        <v>205</v>
      </c>
      <c r="L2701">
        <v>60</v>
      </c>
      <c r="M2701" t="s">
        <v>24</v>
      </c>
      <c r="N2701" t="s">
        <v>186</v>
      </c>
      <c r="O2701" t="s">
        <v>151</v>
      </c>
      <c r="P2701">
        <v>2025</v>
      </c>
    </row>
    <row r="2702" spans="1:16" hidden="1" x14ac:dyDescent="0.25">
      <c r="A2702" s="96" t="s">
        <v>21</v>
      </c>
      <c r="B2702" s="96" t="s">
        <v>257</v>
      </c>
      <c r="C2702" s="96" t="s">
        <v>2614</v>
      </c>
      <c r="D2702" s="96" t="s">
        <v>10</v>
      </c>
      <c r="E2702" s="43">
        <v>45851</v>
      </c>
      <c r="F2702" s="43">
        <v>45862</v>
      </c>
      <c r="G2702" s="96" t="s">
        <v>90</v>
      </c>
      <c r="H2702" s="96" t="s">
        <v>6360</v>
      </c>
      <c r="I2702" s="96" t="s">
        <v>209</v>
      </c>
      <c r="J2702" s="96" t="s">
        <v>283</v>
      </c>
      <c r="K2702" s="96" t="s">
        <v>230</v>
      </c>
      <c r="L2702">
        <v>11</v>
      </c>
      <c r="M2702" t="s">
        <v>15</v>
      </c>
      <c r="N2702" t="s">
        <v>187</v>
      </c>
      <c r="O2702" t="s">
        <v>151</v>
      </c>
      <c r="P2702">
        <v>2025</v>
      </c>
    </row>
    <row r="2703" spans="1:16" x14ac:dyDescent="0.25">
      <c r="A2703" s="96" t="s">
        <v>2</v>
      </c>
      <c r="B2703" s="96" t="s">
        <v>261</v>
      </c>
      <c r="C2703" s="96" t="s">
        <v>2615</v>
      </c>
      <c r="D2703" s="96" t="s">
        <v>14</v>
      </c>
      <c r="E2703" s="43">
        <v>46077</v>
      </c>
      <c r="F2703" s="43">
        <v>46110</v>
      </c>
      <c r="G2703" s="96" t="s">
        <v>90</v>
      </c>
      <c r="H2703" s="96" t="s">
        <v>6361</v>
      </c>
      <c r="I2703" s="96" t="s">
        <v>225</v>
      </c>
      <c r="J2703" s="96" t="s">
        <v>177</v>
      </c>
      <c r="K2703" s="96" t="s">
        <v>205</v>
      </c>
      <c r="L2703">
        <v>33</v>
      </c>
      <c r="M2703" t="s">
        <v>24</v>
      </c>
      <c r="N2703" t="s">
        <v>32</v>
      </c>
      <c r="O2703" t="s">
        <v>151</v>
      </c>
      <c r="P2703">
        <v>2026</v>
      </c>
    </row>
    <row r="2704" spans="1:16" x14ac:dyDescent="0.25">
      <c r="A2704" s="96" t="s">
        <v>2</v>
      </c>
      <c r="B2704" s="96" t="s">
        <v>226</v>
      </c>
      <c r="C2704" s="96" t="s">
        <v>2616</v>
      </c>
      <c r="D2704" s="96" t="s">
        <v>192</v>
      </c>
      <c r="E2704" s="43">
        <v>46094</v>
      </c>
      <c r="F2704" s="43">
        <v>46148</v>
      </c>
      <c r="G2704" s="96" t="s">
        <v>92</v>
      </c>
      <c r="H2704" s="96" t="s">
        <v>6362</v>
      </c>
      <c r="I2704" s="96" t="s">
        <v>157</v>
      </c>
      <c r="J2704" s="96" t="s">
        <v>169</v>
      </c>
      <c r="K2704" s="96" t="s">
        <v>210</v>
      </c>
      <c r="L2704">
        <v>54</v>
      </c>
      <c r="M2704" t="s">
        <v>24</v>
      </c>
      <c r="N2704" t="s">
        <v>35</v>
      </c>
      <c r="O2704" t="s">
        <v>151</v>
      </c>
      <c r="P2704">
        <v>2026</v>
      </c>
    </row>
    <row r="2705" spans="1:16" hidden="1" x14ac:dyDescent="0.25">
      <c r="A2705" s="96" t="s">
        <v>21</v>
      </c>
      <c r="B2705" s="96" t="s">
        <v>221</v>
      </c>
      <c r="C2705" s="96" t="s">
        <v>6363</v>
      </c>
      <c r="D2705" s="96" t="s">
        <v>223</v>
      </c>
      <c r="E2705" s="43">
        <v>45919</v>
      </c>
      <c r="F2705" s="43">
        <v>46034</v>
      </c>
      <c r="G2705" s="96" t="s">
        <v>90</v>
      </c>
      <c r="H2705" s="96" t="s">
        <v>6364</v>
      </c>
      <c r="I2705" s="96" t="s">
        <v>157</v>
      </c>
      <c r="J2705" s="96" t="s">
        <v>168</v>
      </c>
      <c r="K2705" s="96" t="s">
        <v>210</v>
      </c>
      <c r="L2705">
        <v>115</v>
      </c>
      <c r="M2705" t="s">
        <v>28</v>
      </c>
      <c r="N2705" t="s">
        <v>12</v>
      </c>
      <c r="O2705" t="s">
        <v>170</v>
      </c>
      <c r="P2705">
        <v>2025</v>
      </c>
    </row>
    <row r="2706" spans="1:16" hidden="1" x14ac:dyDescent="0.25">
      <c r="A2706" s="96" t="s">
        <v>175</v>
      </c>
      <c r="B2706" s="96" t="s">
        <v>280</v>
      </c>
      <c r="C2706" s="96" t="s">
        <v>6365</v>
      </c>
      <c r="D2706" s="96" t="s">
        <v>14</v>
      </c>
      <c r="E2706" s="43">
        <v>45878</v>
      </c>
      <c r="F2706" s="43">
        <v>45895</v>
      </c>
      <c r="G2706" s="96" t="s">
        <v>90</v>
      </c>
      <c r="H2706" s="96" t="s">
        <v>6366</v>
      </c>
      <c r="I2706" s="96" t="s">
        <v>157</v>
      </c>
      <c r="J2706" s="96" t="s">
        <v>94</v>
      </c>
      <c r="K2706" s="96" t="s">
        <v>157</v>
      </c>
      <c r="L2706">
        <v>17</v>
      </c>
      <c r="M2706" t="s">
        <v>19</v>
      </c>
      <c r="N2706" t="s">
        <v>8</v>
      </c>
      <c r="O2706" t="s">
        <v>170</v>
      </c>
      <c r="P2706">
        <v>2025</v>
      </c>
    </row>
    <row r="2707" spans="1:16" x14ac:dyDescent="0.25">
      <c r="A2707" s="96" t="s">
        <v>21</v>
      </c>
      <c r="B2707" s="96" t="s">
        <v>269</v>
      </c>
      <c r="C2707" s="96" t="s">
        <v>6367</v>
      </c>
      <c r="D2707" s="96" t="s">
        <v>10</v>
      </c>
      <c r="E2707" s="43">
        <v>46104</v>
      </c>
      <c r="F2707" s="43">
        <v>46107</v>
      </c>
      <c r="G2707" s="96" t="s">
        <v>90</v>
      </c>
      <c r="H2707" s="96" t="s">
        <v>6368</v>
      </c>
      <c r="I2707" s="96" t="s">
        <v>157</v>
      </c>
      <c r="J2707" s="96" t="s">
        <v>97</v>
      </c>
      <c r="K2707" s="96" t="s">
        <v>200</v>
      </c>
      <c r="L2707">
        <v>3</v>
      </c>
      <c r="M2707" t="s">
        <v>11</v>
      </c>
      <c r="N2707" t="s">
        <v>35</v>
      </c>
      <c r="O2707" t="s">
        <v>152</v>
      </c>
      <c r="P2707">
        <v>2026</v>
      </c>
    </row>
    <row r="2708" spans="1:16" x14ac:dyDescent="0.25">
      <c r="A2708" s="96" t="s">
        <v>2</v>
      </c>
      <c r="B2708" s="96" t="s">
        <v>305</v>
      </c>
      <c r="C2708" s="96" t="s">
        <v>2617</v>
      </c>
      <c r="D2708" s="96" t="s">
        <v>14</v>
      </c>
      <c r="E2708" s="43">
        <v>46129</v>
      </c>
      <c r="F2708" s="43">
        <v>46149</v>
      </c>
      <c r="G2708" s="96" t="s">
        <v>92</v>
      </c>
      <c r="H2708" s="96" t="s">
        <v>2550</v>
      </c>
      <c r="I2708" s="96" t="s">
        <v>9</v>
      </c>
      <c r="J2708" s="96" t="s">
        <v>97</v>
      </c>
      <c r="K2708" s="96" t="s">
        <v>246</v>
      </c>
      <c r="L2708">
        <v>20</v>
      </c>
      <c r="M2708" t="s">
        <v>19</v>
      </c>
      <c r="N2708" t="s">
        <v>37</v>
      </c>
      <c r="O2708" t="s">
        <v>170</v>
      </c>
      <c r="P2708">
        <v>2026</v>
      </c>
    </row>
    <row r="2709" spans="1:16" x14ac:dyDescent="0.25">
      <c r="A2709" s="96" t="s">
        <v>2</v>
      </c>
      <c r="B2709" s="96" t="s">
        <v>374</v>
      </c>
      <c r="C2709" s="96" t="s">
        <v>2618</v>
      </c>
      <c r="D2709" s="96" t="s">
        <v>192</v>
      </c>
      <c r="E2709" s="43">
        <v>46087</v>
      </c>
      <c r="F2709" s="43">
        <v>46122</v>
      </c>
      <c r="G2709" s="96" t="s">
        <v>92</v>
      </c>
      <c r="H2709" s="96" t="s">
        <v>6369</v>
      </c>
      <c r="I2709" s="96" t="s">
        <v>225</v>
      </c>
      <c r="J2709" s="96" t="s">
        <v>91</v>
      </c>
      <c r="K2709" s="96" t="s">
        <v>233</v>
      </c>
      <c r="L2709">
        <v>35</v>
      </c>
      <c r="M2709" t="s">
        <v>24</v>
      </c>
      <c r="N2709" t="s">
        <v>35</v>
      </c>
      <c r="O2709" t="s">
        <v>150</v>
      </c>
      <c r="P2709">
        <v>2026</v>
      </c>
    </row>
    <row r="2710" spans="1:16" hidden="1" x14ac:dyDescent="0.25">
      <c r="A2710" s="96" t="s">
        <v>2</v>
      </c>
      <c r="B2710" s="96" t="s">
        <v>280</v>
      </c>
      <c r="C2710" s="96" t="s">
        <v>2619</v>
      </c>
      <c r="D2710" s="96" t="s">
        <v>192</v>
      </c>
      <c r="E2710" s="43">
        <v>45682</v>
      </c>
      <c r="F2710" s="43">
        <v>45743</v>
      </c>
      <c r="G2710" s="96" t="s">
        <v>90</v>
      </c>
      <c r="H2710" s="96" t="s">
        <v>6370</v>
      </c>
      <c r="I2710" s="96" t="s">
        <v>9</v>
      </c>
      <c r="J2710" s="96" t="s">
        <v>177</v>
      </c>
      <c r="K2710" s="96" t="s">
        <v>205</v>
      </c>
      <c r="L2710">
        <v>61</v>
      </c>
      <c r="M2710" t="s">
        <v>28</v>
      </c>
      <c r="N2710" t="s">
        <v>181</v>
      </c>
      <c r="O2710" t="s">
        <v>170</v>
      </c>
      <c r="P2710">
        <v>2025</v>
      </c>
    </row>
    <row r="2711" spans="1:16" x14ac:dyDescent="0.25">
      <c r="A2711" s="96" t="s">
        <v>21</v>
      </c>
      <c r="B2711" s="96" t="s">
        <v>288</v>
      </c>
      <c r="C2711" s="96" t="s">
        <v>2620</v>
      </c>
      <c r="D2711" s="96" t="s">
        <v>223</v>
      </c>
      <c r="E2711" s="43">
        <v>46076</v>
      </c>
      <c r="F2711" s="43">
        <v>46100</v>
      </c>
      <c r="G2711" s="96" t="s">
        <v>92</v>
      </c>
      <c r="H2711" s="96" t="s">
        <v>6371</v>
      </c>
      <c r="I2711" s="96" t="s">
        <v>209</v>
      </c>
      <c r="J2711" s="96" t="s">
        <v>97</v>
      </c>
      <c r="K2711" s="96" t="s">
        <v>217</v>
      </c>
      <c r="L2711">
        <v>24</v>
      </c>
      <c r="M2711" t="s">
        <v>19</v>
      </c>
      <c r="N2711" t="s">
        <v>32</v>
      </c>
      <c r="O2711" t="s">
        <v>170</v>
      </c>
      <c r="P2711">
        <v>2026</v>
      </c>
    </row>
    <row r="2712" spans="1:16" x14ac:dyDescent="0.25">
      <c r="A2712" s="96" t="s">
        <v>175</v>
      </c>
      <c r="B2712" s="96" t="s">
        <v>196</v>
      </c>
      <c r="C2712" s="96" t="s">
        <v>2621</v>
      </c>
      <c r="D2712" s="96" t="s">
        <v>215</v>
      </c>
      <c r="E2712" s="43">
        <v>46100</v>
      </c>
      <c r="F2712" s="43">
        <v>46148</v>
      </c>
      <c r="G2712" s="96" t="s">
        <v>90</v>
      </c>
      <c r="H2712" s="96" t="s">
        <v>6372</v>
      </c>
      <c r="I2712" s="96" t="s">
        <v>228</v>
      </c>
      <c r="J2712" s="96" t="s">
        <v>94</v>
      </c>
      <c r="K2712" s="96" t="s">
        <v>230</v>
      </c>
      <c r="L2712">
        <v>48</v>
      </c>
      <c r="M2712" t="s">
        <v>24</v>
      </c>
      <c r="N2712" t="s">
        <v>35</v>
      </c>
      <c r="O2712" t="s">
        <v>152</v>
      </c>
      <c r="P2712">
        <v>2026</v>
      </c>
    </row>
    <row r="2713" spans="1:16" x14ac:dyDescent="0.25">
      <c r="A2713" s="96" t="s">
        <v>2</v>
      </c>
      <c r="B2713" s="96" t="s">
        <v>249</v>
      </c>
      <c r="C2713" s="96" t="s">
        <v>6373</v>
      </c>
      <c r="D2713" s="96" t="s">
        <v>192</v>
      </c>
      <c r="E2713" s="43">
        <v>46026</v>
      </c>
      <c r="F2713" s="43">
        <v>46113</v>
      </c>
      <c r="G2713" s="96" t="s">
        <v>90</v>
      </c>
      <c r="H2713" s="96" t="s">
        <v>6374</v>
      </c>
      <c r="I2713" s="96" t="s">
        <v>194</v>
      </c>
      <c r="J2713" s="96" t="s">
        <v>169</v>
      </c>
      <c r="K2713" s="96" t="s">
        <v>205</v>
      </c>
      <c r="L2713">
        <v>87</v>
      </c>
      <c r="M2713" t="s">
        <v>28</v>
      </c>
      <c r="N2713" t="s">
        <v>29</v>
      </c>
      <c r="O2713" t="s">
        <v>170</v>
      </c>
      <c r="P2713">
        <v>2026</v>
      </c>
    </row>
    <row r="2714" spans="1:16" x14ac:dyDescent="0.25">
      <c r="A2714" s="96" t="s">
        <v>2</v>
      </c>
      <c r="B2714" s="96" t="s">
        <v>244</v>
      </c>
      <c r="C2714" s="96" t="s">
        <v>6375</v>
      </c>
      <c r="D2714" s="96" t="s">
        <v>215</v>
      </c>
      <c r="E2714" s="43">
        <v>46110</v>
      </c>
      <c r="F2714" s="43">
        <v>46148</v>
      </c>
      <c r="G2714" s="96" t="s">
        <v>92</v>
      </c>
      <c r="H2714" s="96" t="s">
        <v>6376</v>
      </c>
      <c r="I2714" s="96" t="s">
        <v>225</v>
      </c>
      <c r="J2714" s="96" t="s">
        <v>93</v>
      </c>
      <c r="K2714" s="96" t="s">
        <v>233</v>
      </c>
      <c r="L2714">
        <v>38</v>
      </c>
      <c r="M2714" t="s">
        <v>24</v>
      </c>
      <c r="N2714" t="s">
        <v>35</v>
      </c>
      <c r="O2714" t="s">
        <v>150</v>
      </c>
      <c r="P2714">
        <v>2026</v>
      </c>
    </row>
    <row r="2715" spans="1:16" x14ac:dyDescent="0.25">
      <c r="A2715" s="96" t="s">
        <v>2</v>
      </c>
      <c r="B2715" s="96" t="s">
        <v>261</v>
      </c>
      <c r="C2715" s="96" t="s">
        <v>6377</v>
      </c>
      <c r="D2715" s="96" t="s">
        <v>10</v>
      </c>
      <c r="E2715" s="43">
        <v>46137</v>
      </c>
      <c r="F2715" s="43">
        <v>46147</v>
      </c>
      <c r="G2715" s="96" t="s">
        <v>92</v>
      </c>
      <c r="H2715" s="96" t="s">
        <v>6378</v>
      </c>
      <c r="I2715" s="96" t="s">
        <v>194</v>
      </c>
      <c r="J2715" s="96" t="s">
        <v>174</v>
      </c>
      <c r="K2715" s="96" t="s">
        <v>210</v>
      </c>
      <c r="L2715">
        <v>10</v>
      </c>
      <c r="M2715" t="s">
        <v>15</v>
      </c>
      <c r="N2715" t="s">
        <v>37</v>
      </c>
      <c r="O2715" t="s">
        <v>151</v>
      </c>
      <c r="P2715">
        <v>2026</v>
      </c>
    </row>
    <row r="2716" spans="1:16" hidden="1" x14ac:dyDescent="0.25">
      <c r="A2716" s="96" t="s">
        <v>2</v>
      </c>
      <c r="B2716" s="96" t="s">
        <v>240</v>
      </c>
      <c r="C2716" s="96" t="s">
        <v>2622</v>
      </c>
      <c r="D2716" s="96" t="s">
        <v>208</v>
      </c>
      <c r="E2716" s="43">
        <v>45951</v>
      </c>
      <c r="F2716" s="43">
        <v>46013</v>
      </c>
      <c r="G2716" s="96" t="s">
        <v>92</v>
      </c>
      <c r="H2716" s="96" t="s">
        <v>6379</v>
      </c>
      <c r="I2716" s="96" t="s">
        <v>225</v>
      </c>
      <c r="J2716" s="96" t="s">
        <v>165</v>
      </c>
      <c r="K2716" s="96" t="s">
        <v>217</v>
      </c>
      <c r="L2716">
        <v>62</v>
      </c>
      <c r="M2716" t="s">
        <v>28</v>
      </c>
      <c r="N2716" t="s">
        <v>16</v>
      </c>
      <c r="O2716" t="s">
        <v>149</v>
      </c>
      <c r="P2716">
        <v>2025</v>
      </c>
    </row>
    <row r="2717" spans="1:16" hidden="1" x14ac:dyDescent="0.25">
      <c r="A2717" s="96" t="s">
        <v>2</v>
      </c>
      <c r="B2717" s="96" t="s">
        <v>247</v>
      </c>
      <c r="C2717" s="96" t="s">
        <v>2623</v>
      </c>
      <c r="D2717" s="96" t="s">
        <v>237</v>
      </c>
      <c r="E2717" s="43">
        <v>45980</v>
      </c>
      <c r="F2717" s="43">
        <v>46013</v>
      </c>
      <c r="G2717" s="96" t="s">
        <v>90</v>
      </c>
      <c r="H2717" s="96" t="s">
        <v>6380</v>
      </c>
      <c r="I2717" s="96" t="s">
        <v>204</v>
      </c>
      <c r="J2717" s="96" t="s">
        <v>216</v>
      </c>
      <c r="K2717" s="96" t="s">
        <v>233</v>
      </c>
      <c r="L2717">
        <v>33</v>
      </c>
      <c r="M2717" t="s">
        <v>24</v>
      </c>
      <c r="N2717" t="s">
        <v>20</v>
      </c>
      <c r="O2717" t="s">
        <v>150</v>
      </c>
      <c r="P2717">
        <v>2025</v>
      </c>
    </row>
    <row r="2718" spans="1:16" x14ac:dyDescent="0.25">
      <c r="A2718" s="96" t="s">
        <v>2</v>
      </c>
      <c r="B2718" s="96" t="s">
        <v>244</v>
      </c>
      <c r="C2718" s="96" t="s">
        <v>2624</v>
      </c>
      <c r="D2718" s="96" t="s">
        <v>10</v>
      </c>
      <c r="E2718" s="43">
        <v>46148</v>
      </c>
      <c r="F2718" s="43">
        <v>46147</v>
      </c>
      <c r="G2718" s="96" t="s">
        <v>92</v>
      </c>
      <c r="H2718" s="96" t="s">
        <v>6381</v>
      </c>
      <c r="I2718" s="96" t="s">
        <v>228</v>
      </c>
      <c r="J2718" s="96" t="s">
        <v>94</v>
      </c>
      <c r="K2718" s="96" t="s">
        <v>233</v>
      </c>
      <c r="L2718">
        <v>-1</v>
      </c>
      <c r="M2718" t="s">
        <v>11</v>
      </c>
      <c r="N2718" t="s">
        <v>183</v>
      </c>
      <c r="O2718" t="s">
        <v>150</v>
      </c>
      <c r="P2718">
        <v>2026</v>
      </c>
    </row>
    <row r="2719" spans="1:16" x14ac:dyDescent="0.25">
      <c r="A2719" s="96" t="s">
        <v>2</v>
      </c>
      <c r="B2719" s="96" t="s">
        <v>219</v>
      </c>
      <c r="C2719" s="96" t="s">
        <v>2625</v>
      </c>
      <c r="D2719" s="96" t="s">
        <v>34</v>
      </c>
      <c r="E2719" s="43">
        <v>46072</v>
      </c>
      <c r="F2719" s="43">
        <v>46074</v>
      </c>
      <c r="G2719" s="96" t="s">
        <v>92</v>
      </c>
      <c r="H2719" s="96" t="s">
        <v>6382</v>
      </c>
      <c r="I2719" s="96" t="s">
        <v>9</v>
      </c>
      <c r="J2719" s="96" t="s">
        <v>174</v>
      </c>
      <c r="K2719" s="96" t="s">
        <v>210</v>
      </c>
      <c r="L2719">
        <v>2</v>
      </c>
      <c r="M2719" t="s">
        <v>11</v>
      </c>
      <c r="N2719" t="s">
        <v>32</v>
      </c>
      <c r="O2719" t="s">
        <v>149</v>
      </c>
      <c r="P2719">
        <v>2026</v>
      </c>
    </row>
    <row r="2720" spans="1:16" x14ac:dyDescent="0.25">
      <c r="A2720" s="96" t="s">
        <v>2</v>
      </c>
      <c r="B2720" s="96" t="s">
        <v>261</v>
      </c>
      <c r="C2720" s="96" t="s">
        <v>6383</v>
      </c>
      <c r="D2720" s="96" t="s">
        <v>215</v>
      </c>
      <c r="E2720" s="43">
        <v>46034</v>
      </c>
      <c r="F2720" s="43">
        <v>46042</v>
      </c>
      <c r="G2720" s="96" t="s">
        <v>90</v>
      </c>
      <c r="H2720" s="96" t="s">
        <v>6384</v>
      </c>
      <c r="I2720" s="96" t="s">
        <v>9</v>
      </c>
      <c r="J2720" s="96" t="s">
        <v>98</v>
      </c>
      <c r="K2720" s="96" t="s">
        <v>217</v>
      </c>
      <c r="L2720">
        <v>8</v>
      </c>
      <c r="M2720" t="s">
        <v>15</v>
      </c>
      <c r="N2720" t="s">
        <v>29</v>
      </c>
      <c r="O2720" t="s">
        <v>151</v>
      </c>
      <c r="P2720">
        <v>2026</v>
      </c>
    </row>
    <row r="2721" spans="1:16" hidden="1" x14ac:dyDescent="0.25">
      <c r="A2721" s="96" t="s">
        <v>2</v>
      </c>
      <c r="B2721" s="96" t="s">
        <v>251</v>
      </c>
      <c r="C2721" s="96" t="s">
        <v>2626</v>
      </c>
      <c r="D2721" s="96" t="s">
        <v>208</v>
      </c>
      <c r="E2721" s="43">
        <v>45677</v>
      </c>
      <c r="F2721" s="43">
        <v>45726</v>
      </c>
      <c r="G2721" s="96" t="s">
        <v>92</v>
      </c>
      <c r="H2721" s="96" t="s">
        <v>6385</v>
      </c>
      <c r="I2721" s="96" t="s">
        <v>194</v>
      </c>
      <c r="J2721" s="96" t="s">
        <v>169</v>
      </c>
      <c r="K2721" s="96" t="s">
        <v>157</v>
      </c>
      <c r="L2721">
        <v>49</v>
      </c>
      <c r="M2721" t="s">
        <v>24</v>
      </c>
      <c r="N2721" t="s">
        <v>181</v>
      </c>
      <c r="O2721" t="s">
        <v>170</v>
      </c>
      <c r="P2721">
        <v>2025</v>
      </c>
    </row>
    <row r="2722" spans="1:16" x14ac:dyDescent="0.25">
      <c r="A2722" s="96" t="s">
        <v>2</v>
      </c>
      <c r="B2722" s="96" t="s">
        <v>218</v>
      </c>
      <c r="C2722" s="96" t="s">
        <v>2627</v>
      </c>
      <c r="D2722" s="96" t="s">
        <v>192</v>
      </c>
      <c r="E2722" s="43">
        <v>46065</v>
      </c>
      <c r="F2722" s="43">
        <v>46075</v>
      </c>
      <c r="G2722" s="96" t="s">
        <v>92</v>
      </c>
      <c r="H2722" s="96" t="s">
        <v>6386</v>
      </c>
      <c r="I2722" s="96" t="s">
        <v>9</v>
      </c>
      <c r="J2722" s="96" t="s">
        <v>169</v>
      </c>
      <c r="K2722" s="96" t="s">
        <v>230</v>
      </c>
      <c r="L2722">
        <v>10</v>
      </c>
      <c r="M2722" t="s">
        <v>15</v>
      </c>
      <c r="N2722" t="s">
        <v>32</v>
      </c>
      <c r="O2722" t="s">
        <v>152</v>
      </c>
      <c r="P2722">
        <v>2026</v>
      </c>
    </row>
    <row r="2723" spans="1:16" hidden="1" x14ac:dyDescent="0.25">
      <c r="A2723" s="96" t="s">
        <v>2</v>
      </c>
      <c r="B2723" s="96" t="s">
        <v>240</v>
      </c>
      <c r="C2723" s="96" t="s">
        <v>2628</v>
      </c>
      <c r="D2723" s="96" t="s">
        <v>237</v>
      </c>
      <c r="E2723" s="43">
        <v>45930</v>
      </c>
      <c r="F2723" s="43">
        <v>46023</v>
      </c>
      <c r="G2723" s="96" t="s">
        <v>92</v>
      </c>
      <c r="H2723" s="96" t="s">
        <v>6387</v>
      </c>
      <c r="I2723" s="96" t="s">
        <v>204</v>
      </c>
      <c r="J2723" s="96" t="s">
        <v>93</v>
      </c>
      <c r="K2723" s="96" t="s">
        <v>217</v>
      </c>
      <c r="L2723">
        <v>93</v>
      </c>
      <c r="M2723" t="s">
        <v>28</v>
      </c>
      <c r="N2723" t="s">
        <v>12</v>
      </c>
      <c r="O2723" t="s">
        <v>149</v>
      </c>
      <c r="P2723">
        <v>2025</v>
      </c>
    </row>
    <row r="2724" spans="1:16" hidden="1" x14ac:dyDescent="0.25">
      <c r="A2724" s="96" t="s">
        <v>2</v>
      </c>
      <c r="B2724" s="96" t="s">
        <v>264</v>
      </c>
      <c r="C2724" s="96" t="s">
        <v>2629</v>
      </c>
      <c r="D2724" s="96" t="s">
        <v>215</v>
      </c>
      <c r="E2724" s="43">
        <v>45934</v>
      </c>
      <c r="F2724" s="43">
        <v>46015</v>
      </c>
      <c r="G2724" s="96" t="s">
        <v>92</v>
      </c>
      <c r="H2724" s="96" t="s">
        <v>6388</v>
      </c>
      <c r="I2724" s="96" t="s">
        <v>194</v>
      </c>
      <c r="J2724" s="96" t="s">
        <v>93</v>
      </c>
      <c r="K2724" s="96" t="s">
        <v>200</v>
      </c>
      <c r="L2724">
        <v>81</v>
      </c>
      <c r="M2724" t="s">
        <v>28</v>
      </c>
      <c r="N2724" t="s">
        <v>16</v>
      </c>
      <c r="O2724" t="s">
        <v>152</v>
      </c>
      <c r="P2724">
        <v>2025</v>
      </c>
    </row>
    <row r="2725" spans="1:16" hidden="1" x14ac:dyDescent="0.25">
      <c r="A2725" s="96" t="s">
        <v>175</v>
      </c>
      <c r="B2725" s="96" t="s">
        <v>257</v>
      </c>
      <c r="C2725" s="96" t="s">
        <v>2631</v>
      </c>
      <c r="D2725" s="96" t="s">
        <v>208</v>
      </c>
      <c r="E2725" s="43">
        <v>45801</v>
      </c>
      <c r="F2725" s="43">
        <v>45900</v>
      </c>
      <c r="G2725" s="96" t="s">
        <v>92</v>
      </c>
      <c r="H2725" s="96" t="s">
        <v>6389</v>
      </c>
      <c r="I2725" s="96" t="s">
        <v>228</v>
      </c>
      <c r="J2725" s="96" t="s">
        <v>96</v>
      </c>
      <c r="K2725" s="96" t="s">
        <v>157</v>
      </c>
      <c r="L2725">
        <v>99</v>
      </c>
      <c r="M2725" t="s">
        <v>28</v>
      </c>
      <c r="N2725" t="s">
        <v>182</v>
      </c>
      <c r="O2725" t="s">
        <v>151</v>
      </c>
      <c r="P2725">
        <v>2025</v>
      </c>
    </row>
    <row r="2726" spans="1:16" hidden="1" x14ac:dyDescent="0.25">
      <c r="A2726" s="96" t="s">
        <v>2</v>
      </c>
      <c r="B2726" s="96" t="s">
        <v>190</v>
      </c>
      <c r="C2726" s="96" t="s">
        <v>2632</v>
      </c>
      <c r="D2726" s="96" t="s">
        <v>215</v>
      </c>
      <c r="E2726" s="43">
        <v>45863</v>
      </c>
      <c r="F2726" s="43">
        <v>45904</v>
      </c>
      <c r="G2726" s="96" t="s">
        <v>92</v>
      </c>
      <c r="H2726" s="96" t="s">
        <v>6390</v>
      </c>
      <c r="I2726" s="96" t="s">
        <v>225</v>
      </c>
      <c r="J2726" s="96" t="s">
        <v>168</v>
      </c>
      <c r="K2726" s="96" t="s">
        <v>205</v>
      </c>
      <c r="L2726">
        <v>41</v>
      </c>
      <c r="M2726" t="s">
        <v>24</v>
      </c>
      <c r="N2726" t="s">
        <v>187</v>
      </c>
      <c r="O2726" t="s">
        <v>150</v>
      </c>
      <c r="P2726">
        <v>2025</v>
      </c>
    </row>
    <row r="2727" spans="1:16" hidden="1" x14ac:dyDescent="0.25">
      <c r="A2727" s="96" t="s">
        <v>175</v>
      </c>
      <c r="B2727" s="96" t="s">
        <v>206</v>
      </c>
      <c r="C2727" s="96" t="s">
        <v>2635</v>
      </c>
      <c r="D2727" s="96" t="s">
        <v>14</v>
      </c>
      <c r="E2727" s="43">
        <v>45792</v>
      </c>
      <c r="F2727" s="43">
        <v>45850</v>
      </c>
      <c r="G2727" s="96" t="s">
        <v>90</v>
      </c>
      <c r="H2727" s="96" t="s">
        <v>6391</v>
      </c>
      <c r="I2727" s="96" t="s">
        <v>194</v>
      </c>
      <c r="J2727" s="96" t="s">
        <v>91</v>
      </c>
      <c r="K2727" s="96" t="s">
        <v>157</v>
      </c>
      <c r="L2727">
        <v>58</v>
      </c>
      <c r="M2727" t="s">
        <v>24</v>
      </c>
      <c r="N2727" t="s">
        <v>182</v>
      </c>
      <c r="O2727" t="s">
        <v>152</v>
      </c>
      <c r="P2727">
        <v>2025</v>
      </c>
    </row>
    <row r="2728" spans="1:16" hidden="1" x14ac:dyDescent="0.25">
      <c r="A2728" s="96" t="s">
        <v>21</v>
      </c>
      <c r="B2728" s="96" t="s">
        <v>190</v>
      </c>
      <c r="C2728" s="96" t="s">
        <v>2637</v>
      </c>
      <c r="D2728" s="96" t="s">
        <v>203</v>
      </c>
      <c r="E2728" s="43">
        <v>45747</v>
      </c>
      <c r="F2728" s="43">
        <v>45797</v>
      </c>
      <c r="G2728" s="96" t="s">
        <v>92</v>
      </c>
      <c r="H2728" s="96" t="s">
        <v>6392</v>
      </c>
      <c r="I2728" s="96" t="s">
        <v>157</v>
      </c>
      <c r="J2728" s="96" t="s">
        <v>172</v>
      </c>
      <c r="K2728" s="96" t="s">
        <v>157</v>
      </c>
      <c r="L2728">
        <v>50</v>
      </c>
      <c r="M2728" t="s">
        <v>24</v>
      </c>
      <c r="N2728" t="s">
        <v>186</v>
      </c>
      <c r="O2728" t="s">
        <v>150</v>
      </c>
      <c r="P2728">
        <v>2025</v>
      </c>
    </row>
    <row r="2729" spans="1:16" x14ac:dyDescent="0.25">
      <c r="A2729" s="96" t="s">
        <v>2</v>
      </c>
      <c r="B2729" s="96" t="s">
        <v>219</v>
      </c>
      <c r="C2729" s="96" t="s">
        <v>2639</v>
      </c>
      <c r="D2729" s="96" t="s">
        <v>40</v>
      </c>
      <c r="E2729" s="43">
        <v>46132</v>
      </c>
      <c r="F2729" s="43">
        <v>46146</v>
      </c>
      <c r="G2729" s="96" t="s">
        <v>92</v>
      </c>
      <c r="H2729" s="96" t="s">
        <v>6393</v>
      </c>
      <c r="I2729" s="96" t="s">
        <v>209</v>
      </c>
      <c r="J2729" s="96" t="s">
        <v>94</v>
      </c>
      <c r="K2729" s="96" t="s">
        <v>195</v>
      </c>
      <c r="L2729">
        <v>14</v>
      </c>
      <c r="M2729" t="s">
        <v>15</v>
      </c>
      <c r="N2729" t="s">
        <v>37</v>
      </c>
      <c r="O2729" t="s">
        <v>149</v>
      </c>
      <c r="P2729">
        <v>2026</v>
      </c>
    </row>
    <row r="2730" spans="1:16" hidden="1" x14ac:dyDescent="0.25">
      <c r="A2730" s="96" t="s">
        <v>2</v>
      </c>
      <c r="B2730" s="96" t="s">
        <v>272</v>
      </c>
      <c r="C2730" s="96" t="s">
        <v>2641</v>
      </c>
      <c r="D2730" s="96" t="s">
        <v>237</v>
      </c>
      <c r="E2730" s="43">
        <v>45821</v>
      </c>
      <c r="F2730" s="43">
        <v>45909</v>
      </c>
      <c r="G2730" s="96" t="s">
        <v>92</v>
      </c>
      <c r="H2730" s="96" t="s">
        <v>6394</v>
      </c>
      <c r="I2730" s="96" t="s">
        <v>228</v>
      </c>
      <c r="J2730" s="96" t="s">
        <v>199</v>
      </c>
      <c r="K2730" s="96" t="s">
        <v>195</v>
      </c>
      <c r="L2730">
        <v>88</v>
      </c>
      <c r="M2730" t="s">
        <v>28</v>
      </c>
      <c r="N2730" t="s">
        <v>184</v>
      </c>
      <c r="O2730" t="s">
        <v>151</v>
      </c>
      <c r="P2730">
        <v>2025</v>
      </c>
    </row>
    <row r="2731" spans="1:16" hidden="1" x14ac:dyDescent="0.25">
      <c r="A2731" s="96" t="s">
        <v>21</v>
      </c>
      <c r="B2731" s="96" t="s">
        <v>272</v>
      </c>
      <c r="C2731" s="96" t="s">
        <v>2642</v>
      </c>
      <c r="D2731" s="96" t="s">
        <v>14</v>
      </c>
      <c r="E2731" s="43">
        <v>45706</v>
      </c>
      <c r="F2731" s="43">
        <v>45815</v>
      </c>
      <c r="G2731" s="96" t="s">
        <v>95</v>
      </c>
      <c r="H2731" s="96" t="s">
        <v>6395</v>
      </c>
      <c r="I2731" s="96" t="s">
        <v>204</v>
      </c>
      <c r="J2731" s="96" t="s">
        <v>173</v>
      </c>
      <c r="K2731" s="96" t="s">
        <v>217</v>
      </c>
      <c r="L2731">
        <v>109</v>
      </c>
      <c r="M2731" t="s">
        <v>28</v>
      </c>
      <c r="N2731" t="s">
        <v>188</v>
      </c>
      <c r="O2731" t="s">
        <v>151</v>
      </c>
      <c r="P2731">
        <v>2025</v>
      </c>
    </row>
    <row r="2732" spans="1:16" hidden="1" x14ac:dyDescent="0.25">
      <c r="A2732" s="96" t="s">
        <v>2</v>
      </c>
      <c r="B2732" s="96" t="s">
        <v>240</v>
      </c>
      <c r="C2732" s="96" t="s">
        <v>6396</v>
      </c>
      <c r="D2732" s="96" t="s">
        <v>237</v>
      </c>
      <c r="E2732" s="43">
        <v>45992</v>
      </c>
      <c r="F2732" s="43">
        <v>46050</v>
      </c>
      <c r="G2732" s="96" t="s">
        <v>90</v>
      </c>
      <c r="H2732" s="96" t="s">
        <v>6397</v>
      </c>
      <c r="I2732" s="96" t="s">
        <v>228</v>
      </c>
      <c r="J2732" s="96" t="s">
        <v>283</v>
      </c>
      <c r="K2732" s="96" t="s">
        <v>230</v>
      </c>
      <c r="L2732">
        <v>58</v>
      </c>
      <c r="M2732" t="s">
        <v>24</v>
      </c>
      <c r="N2732" t="s">
        <v>25</v>
      </c>
      <c r="O2732" t="s">
        <v>149</v>
      </c>
      <c r="P2732">
        <v>2025</v>
      </c>
    </row>
    <row r="2733" spans="1:16" hidden="1" x14ac:dyDescent="0.25">
      <c r="A2733" s="96" t="s">
        <v>21</v>
      </c>
      <c r="B2733" s="96" t="s">
        <v>264</v>
      </c>
      <c r="C2733" s="96" t="s">
        <v>2643</v>
      </c>
      <c r="D2733" s="96" t="s">
        <v>237</v>
      </c>
      <c r="E2733" s="43">
        <v>45815</v>
      </c>
      <c r="F2733" s="43">
        <v>45828</v>
      </c>
      <c r="G2733" s="96" t="s">
        <v>92</v>
      </c>
      <c r="H2733" s="96" t="s">
        <v>6398</v>
      </c>
      <c r="I2733" s="96" t="s">
        <v>228</v>
      </c>
      <c r="J2733" s="96" t="s">
        <v>174</v>
      </c>
      <c r="K2733" s="96" t="s">
        <v>205</v>
      </c>
      <c r="L2733">
        <v>13</v>
      </c>
      <c r="M2733" t="s">
        <v>15</v>
      </c>
      <c r="N2733" t="s">
        <v>184</v>
      </c>
      <c r="O2733" t="s">
        <v>152</v>
      </c>
      <c r="P2733">
        <v>2025</v>
      </c>
    </row>
    <row r="2734" spans="1:16" hidden="1" x14ac:dyDescent="0.25">
      <c r="A2734" s="96" t="s">
        <v>2</v>
      </c>
      <c r="B2734" s="96" t="s">
        <v>206</v>
      </c>
      <c r="C2734" s="96" t="s">
        <v>2644</v>
      </c>
      <c r="D2734" s="96" t="s">
        <v>208</v>
      </c>
      <c r="E2734" s="43">
        <v>45807</v>
      </c>
      <c r="F2734" s="43">
        <v>45831</v>
      </c>
      <c r="G2734" s="96" t="s">
        <v>92</v>
      </c>
      <c r="H2734" s="96" t="s">
        <v>6399</v>
      </c>
      <c r="I2734" s="96" t="s">
        <v>157</v>
      </c>
      <c r="J2734" s="96" t="s">
        <v>94</v>
      </c>
      <c r="K2734" s="96" t="s">
        <v>200</v>
      </c>
      <c r="L2734">
        <v>24</v>
      </c>
      <c r="M2734" t="s">
        <v>19</v>
      </c>
      <c r="N2734" t="s">
        <v>182</v>
      </c>
      <c r="O2734" t="s">
        <v>152</v>
      </c>
      <c r="P2734">
        <v>2025</v>
      </c>
    </row>
    <row r="2735" spans="1:16" hidden="1" x14ac:dyDescent="0.25">
      <c r="A2735" s="96" t="s">
        <v>2</v>
      </c>
      <c r="B2735" s="96" t="s">
        <v>190</v>
      </c>
      <c r="C2735" s="96" t="s">
        <v>2645</v>
      </c>
      <c r="D2735" s="96" t="s">
        <v>34</v>
      </c>
      <c r="E2735" s="43">
        <v>45981</v>
      </c>
      <c r="F2735" s="43">
        <v>46076</v>
      </c>
      <c r="G2735" s="96" t="s">
        <v>90</v>
      </c>
      <c r="H2735" s="96" t="s">
        <v>6400</v>
      </c>
      <c r="I2735" s="96" t="s">
        <v>204</v>
      </c>
      <c r="J2735" s="96" t="s">
        <v>283</v>
      </c>
      <c r="K2735" s="96" t="s">
        <v>233</v>
      </c>
      <c r="L2735">
        <v>95</v>
      </c>
      <c r="M2735" t="s">
        <v>28</v>
      </c>
      <c r="N2735" t="s">
        <v>20</v>
      </c>
      <c r="O2735" t="s">
        <v>150</v>
      </c>
      <c r="P2735">
        <v>2025</v>
      </c>
    </row>
    <row r="2736" spans="1:16" hidden="1" x14ac:dyDescent="0.25">
      <c r="A2736" s="96" t="s">
        <v>2</v>
      </c>
      <c r="B2736" s="96" t="s">
        <v>238</v>
      </c>
      <c r="C2736" s="96" t="s">
        <v>2646</v>
      </c>
      <c r="D2736" s="96" t="s">
        <v>203</v>
      </c>
      <c r="E2736" s="43">
        <v>45843</v>
      </c>
      <c r="F2736" s="43">
        <v>45925</v>
      </c>
      <c r="G2736" s="96" t="s">
        <v>90</v>
      </c>
      <c r="H2736" s="96" t="s">
        <v>6401</v>
      </c>
      <c r="I2736" s="96" t="s">
        <v>157</v>
      </c>
      <c r="J2736" s="96" t="s">
        <v>96</v>
      </c>
      <c r="K2736" s="96" t="s">
        <v>233</v>
      </c>
      <c r="L2736">
        <v>82</v>
      </c>
      <c r="M2736" t="s">
        <v>28</v>
      </c>
      <c r="N2736" t="s">
        <v>187</v>
      </c>
      <c r="O2736" t="s">
        <v>170</v>
      </c>
      <c r="P2736">
        <v>2025</v>
      </c>
    </row>
    <row r="2737" spans="1:16" hidden="1" x14ac:dyDescent="0.25">
      <c r="A2737" s="96" t="s">
        <v>2</v>
      </c>
      <c r="B2737" s="96" t="s">
        <v>221</v>
      </c>
      <c r="C2737" s="96" t="s">
        <v>6402</v>
      </c>
      <c r="D2737" s="96" t="s">
        <v>223</v>
      </c>
      <c r="E2737" s="43">
        <v>46007</v>
      </c>
      <c r="F2737" s="43">
        <v>46112</v>
      </c>
      <c r="G2737" s="96" t="s">
        <v>92</v>
      </c>
      <c r="H2737" s="96" t="s">
        <v>6403</v>
      </c>
      <c r="I2737" s="96" t="s">
        <v>209</v>
      </c>
      <c r="J2737" s="96" t="s">
        <v>283</v>
      </c>
      <c r="K2737" s="96" t="s">
        <v>217</v>
      </c>
      <c r="L2737">
        <v>105</v>
      </c>
      <c r="M2737" t="s">
        <v>28</v>
      </c>
      <c r="N2737" t="s">
        <v>25</v>
      </c>
      <c r="O2737" t="s">
        <v>170</v>
      </c>
      <c r="P2737">
        <v>2025</v>
      </c>
    </row>
    <row r="2738" spans="1:16" hidden="1" x14ac:dyDescent="0.25">
      <c r="A2738" s="96" t="s">
        <v>2</v>
      </c>
      <c r="B2738" s="96" t="s">
        <v>221</v>
      </c>
      <c r="C2738" s="96" t="s">
        <v>2648</v>
      </c>
      <c r="D2738" s="96" t="s">
        <v>192</v>
      </c>
      <c r="E2738" s="43">
        <v>45822</v>
      </c>
      <c r="F2738" s="43">
        <v>45878</v>
      </c>
      <c r="G2738" s="96" t="s">
        <v>95</v>
      </c>
      <c r="H2738" s="96" t="s">
        <v>6404</v>
      </c>
      <c r="I2738" s="96" t="s">
        <v>209</v>
      </c>
      <c r="J2738" s="96" t="s">
        <v>94</v>
      </c>
      <c r="K2738" s="96" t="s">
        <v>230</v>
      </c>
      <c r="L2738">
        <v>56</v>
      </c>
      <c r="M2738" t="s">
        <v>24</v>
      </c>
      <c r="N2738" t="s">
        <v>184</v>
      </c>
      <c r="O2738" t="s">
        <v>170</v>
      </c>
      <c r="P2738">
        <v>2025</v>
      </c>
    </row>
    <row r="2739" spans="1:16" hidden="1" x14ac:dyDescent="0.25">
      <c r="A2739" s="96" t="s">
        <v>2</v>
      </c>
      <c r="B2739" s="96" t="s">
        <v>206</v>
      </c>
      <c r="C2739" s="96" t="s">
        <v>2650</v>
      </c>
      <c r="D2739" s="96" t="s">
        <v>203</v>
      </c>
      <c r="E2739" s="43">
        <v>45808</v>
      </c>
      <c r="F2739" s="43">
        <v>45924</v>
      </c>
      <c r="G2739" s="96" t="s">
        <v>92</v>
      </c>
      <c r="H2739" s="96" t="s">
        <v>6405</v>
      </c>
      <c r="I2739" s="96" t="s">
        <v>194</v>
      </c>
      <c r="J2739" s="96" t="s">
        <v>96</v>
      </c>
      <c r="K2739" s="96" t="s">
        <v>205</v>
      </c>
      <c r="L2739">
        <v>116</v>
      </c>
      <c r="M2739" t="s">
        <v>28</v>
      </c>
      <c r="N2739" t="s">
        <v>182</v>
      </c>
      <c r="O2739" t="s">
        <v>152</v>
      </c>
      <c r="P2739">
        <v>2025</v>
      </c>
    </row>
    <row r="2740" spans="1:16" hidden="1" x14ac:dyDescent="0.25">
      <c r="A2740" s="96" t="s">
        <v>2</v>
      </c>
      <c r="B2740" s="96" t="s">
        <v>255</v>
      </c>
      <c r="C2740" s="96" t="s">
        <v>2653</v>
      </c>
      <c r="D2740" s="96" t="s">
        <v>203</v>
      </c>
      <c r="E2740" s="43">
        <v>45967</v>
      </c>
      <c r="F2740" s="43">
        <v>46060</v>
      </c>
      <c r="G2740" s="96" t="s">
        <v>90</v>
      </c>
      <c r="H2740" s="96" t="s">
        <v>6406</v>
      </c>
      <c r="I2740" s="96" t="s">
        <v>204</v>
      </c>
      <c r="J2740" s="96" t="s">
        <v>97</v>
      </c>
      <c r="K2740" s="96" t="s">
        <v>230</v>
      </c>
      <c r="L2740">
        <v>93</v>
      </c>
      <c r="M2740" t="s">
        <v>28</v>
      </c>
      <c r="N2740" t="s">
        <v>20</v>
      </c>
      <c r="O2740" t="s">
        <v>150</v>
      </c>
      <c r="P2740">
        <v>2025</v>
      </c>
    </row>
    <row r="2741" spans="1:16" hidden="1" x14ac:dyDescent="0.25">
      <c r="A2741" s="96" t="s">
        <v>2</v>
      </c>
      <c r="B2741" s="96" t="s">
        <v>247</v>
      </c>
      <c r="C2741" s="96" t="s">
        <v>2654</v>
      </c>
      <c r="D2741" s="96" t="s">
        <v>223</v>
      </c>
      <c r="E2741" s="43">
        <v>45737</v>
      </c>
      <c r="F2741" s="43">
        <v>45786</v>
      </c>
      <c r="G2741" s="96" t="s">
        <v>92</v>
      </c>
      <c r="H2741" s="96" t="s">
        <v>6407</v>
      </c>
      <c r="I2741" s="96" t="s">
        <v>228</v>
      </c>
      <c r="J2741" s="96" t="s">
        <v>199</v>
      </c>
      <c r="K2741" s="96" t="s">
        <v>210</v>
      </c>
      <c r="L2741">
        <v>49</v>
      </c>
      <c r="M2741" t="s">
        <v>24</v>
      </c>
      <c r="N2741" t="s">
        <v>186</v>
      </c>
      <c r="O2741" t="s">
        <v>150</v>
      </c>
      <c r="P2741">
        <v>2025</v>
      </c>
    </row>
    <row r="2742" spans="1:16" hidden="1" x14ac:dyDescent="0.25">
      <c r="A2742" s="96" t="s">
        <v>171</v>
      </c>
      <c r="B2742" s="96" t="s">
        <v>272</v>
      </c>
      <c r="C2742" s="96" t="s">
        <v>2656</v>
      </c>
      <c r="D2742" s="96" t="s">
        <v>14</v>
      </c>
      <c r="E2742" s="43">
        <v>45944</v>
      </c>
      <c r="F2742" s="43">
        <v>46061</v>
      </c>
      <c r="G2742" s="96" t="s">
        <v>92</v>
      </c>
      <c r="H2742" s="96" t="s">
        <v>6408</v>
      </c>
      <c r="I2742" s="96" t="s">
        <v>228</v>
      </c>
      <c r="J2742" s="96" t="s">
        <v>93</v>
      </c>
      <c r="K2742" s="96" t="s">
        <v>230</v>
      </c>
      <c r="L2742">
        <v>117</v>
      </c>
      <c r="M2742" t="s">
        <v>28</v>
      </c>
      <c r="N2742" t="s">
        <v>16</v>
      </c>
      <c r="O2742" t="s">
        <v>151</v>
      </c>
      <c r="P2742">
        <v>2025</v>
      </c>
    </row>
    <row r="2743" spans="1:16" x14ac:dyDescent="0.25">
      <c r="A2743" s="96" t="s">
        <v>2</v>
      </c>
      <c r="B2743" s="96" t="s">
        <v>288</v>
      </c>
      <c r="C2743" s="96" t="s">
        <v>2657</v>
      </c>
      <c r="D2743" s="96" t="s">
        <v>215</v>
      </c>
      <c r="E2743" s="43">
        <v>46052</v>
      </c>
      <c r="F2743" s="43">
        <v>46105</v>
      </c>
      <c r="G2743" s="96" t="s">
        <v>92</v>
      </c>
      <c r="H2743" s="96" t="s">
        <v>2570</v>
      </c>
      <c r="I2743" s="96" t="s">
        <v>204</v>
      </c>
      <c r="J2743" s="96" t="s">
        <v>173</v>
      </c>
      <c r="K2743" s="96" t="s">
        <v>157</v>
      </c>
      <c r="L2743">
        <v>53</v>
      </c>
      <c r="M2743" t="s">
        <v>24</v>
      </c>
      <c r="N2743" t="s">
        <v>29</v>
      </c>
      <c r="O2743" t="s">
        <v>170</v>
      </c>
      <c r="P2743">
        <v>2026</v>
      </c>
    </row>
    <row r="2744" spans="1:16" hidden="1" x14ac:dyDescent="0.25">
      <c r="A2744" s="96" t="s">
        <v>2</v>
      </c>
      <c r="B2744" s="96" t="s">
        <v>251</v>
      </c>
      <c r="C2744" s="96" t="s">
        <v>2658</v>
      </c>
      <c r="D2744" s="96" t="s">
        <v>40</v>
      </c>
      <c r="E2744" s="43">
        <v>46021</v>
      </c>
      <c r="F2744" s="43">
        <v>46089</v>
      </c>
      <c r="G2744" s="96" t="s">
        <v>92</v>
      </c>
      <c r="H2744" s="96" t="s">
        <v>6409</v>
      </c>
      <c r="I2744" s="96" t="s">
        <v>9</v>
      </c>
      <c r="J2744" s="96" t="s">
        <v>94</v>
      </c>
      <c r="K2744" s="96" t="s">
        <v>157</v>
      </c>
      <c r="L2744">
        <v>68</v>
      </c>
      <c r="M2744" t="s">
        <v>28</v>
      </c>
      <c r="N2744" t="s">
        <v>25</v>
      </c>
      <c r="O2744" t="s">
        <v>170</v>
      </c>
      <c r="P2744">
        <v>2025</v>
      </c>
    </row>
    <row r="2745" spans="1:16" hidden="1" x14ac:dyDescent="0.25">
      <c r="A2745" s="96" t="s">
        <v>2</v>
      </c>
      <c r="B2745" s="96" t="s">
        <v>272</v>
      </c>
      <c r="C2745" s="96" t="s">
        <v>2659</v>
      </c>
      <c r="D2745" s="96" t="s">
        <v>223</v>
      </c>
      <c r="E2745" s="43">
        <v>45718</v>
      </c>
      <c r="F2745" s="43">
        <v>45741</v>
      </c>
      <c r="G2745" s="96" t="s">
        <v>92</v>
      </c>
      <c r="H2745" s="96" t="s">
        <v>6410</v>
      </c>
      <c r="I2745" s="96" t="s">
        <v>228</v>
      </c>
      <c r="J2745" s="96" t="s">
        <v>96</v>
      </c>
      <c r="K2745" s="96" t="s">
        <v>157</v>
      </c>
      <c r="L2745">
        <v>23</v>
      </c>
      <c r="M2745" t="s">
        <v>19</v>
      </c>
      <c r="N2745" t="s">
        <v>186</v>
      </c>
      <c r="O2745" t="s">
        <v>151</v>
      </c>
      <c r="P2745">
        <v>2025</v>
      </c>
    </row>
    <row r="2746" spans="1:16" x14ac:dyDescent="0.25">
      <c r="A2746" s="96" t="s">
        <v>2</v>
      </c>
      <c r="B2746" s="96" t="s">
        <v>201</v>
      </c>
      <c r="C2746" s="96" t="s">
        <v>2660</v>
      </c>
      <c r="D2746" s="96" t="s">
        <v>14</v>
      </c>
      <c r="E2746" s="43">
        <v>46086</v>
      </c>
      <c r="F2746" s="43">
        <v>46126</v>
      </c>
      <c r="G2746" s="96" t="s">
        <v>90</v>
      </c>
      <c r="H2746" s="96" t="s">
        <v>6411</v>
      </c>
      <c r="I2746" s="96" t="s">
        <v>157</v>
      </c>
      <c r="J2746" s="96" t="s">
        <v>168</v>
      </c>
      <c r="K2746" s="96" t="s">
        <v>233</v>
      </c>
      <c r="L2746">
        <v>40</v>
      </c>
      <c r="M2746" t="s">
        <v>24</v>
      </c>
      <c r="N2746" t="s">
        <v>35</v>
      </c>
      <c r="O2746" t="s">
        <v>170</v>
      </c>
      <c r="P2746">
        <v>2026</v>
      </c>
    </row>
    <row r="2747" spans="1:16" x14ac:dyDescent="0.25">
      <c r="A2747" s="96" t="s">
        <v>2</v>
      </c>
      <c r="B2747" s="96" t="s">
        <v>249</v>
      </c>
      <c r="C2747" s="96" t="s">
        <v>2661</v>
      </c>
      <c r="D2747" s="96" t="s">
        <v>14</v>
      </c>
      <c r="E2747" s="43">
        <v>46083</v>
      </c>
      <c r="F2747" s="43">
        <v>46149</v>
      </c>
      <c r="G2747" s="96" t="s">
        <v>95</v>
      </c>
      <c r="H2747" s="96" t="s">
        <v>2572</v>
      </c>
      <c r="I2747" s="96" t="s">
        <v>225</v>
      </c>
      <c r="J2747" s="96" t="s">
        <v>93</v>
      </c>
      <c r="K2747" s="96" t="s">
        <v>246</v>
      </c>
      <c r="L2747">
        <v>66</v>
      </c>
      <c r="M2747" t="s">
        <v>28</v>
      </c>
      <c r="N2747" t="s">
        <v>35</v>
      </c>
      <c r="O2747" t="s">
        <v>170</v>
      </c>
      <c r="P2747">
        <v>2026</v>
      </c>
    </row>
    <row r="2748" spans="1:16" hidden="1" x14ac:dyDescent="0.25">
      <c r="A2748" s="96" t="s">
        <v>175</v>
      </c>
      <c r="B2748" s="96" t="s">
        <v>272</v>
      </c>
      <c r="C2748" s="96" t="s">
        <v>2662</v>
      </c>
      <c r="D2748" s="96" t="s">
        <v>203</v>
      </c>
      <c r="E2748" s="43">
        <v>45680</v>
      </c>
      <c r="F2748" s="43">
        <v>45791</v>
      </c>
      <c r="G2748" s="96" t="s">
        <v>92</v>
      </c>
      <c r="H2748" s="96" t="s">
        <v>6412</v>
      </c>
      <c r="I2748" s="96" t="s">
        <v>209</v>
      </c>
      <c r="J2748" s="96" t="s">
        <v>96</v>
      </c>
      <c r="K2748" s="96" t="s">
        <v>195</v>
      </c>
      <c r="L2748">
        <v>111</v>
      </c>
      <c r="M2748" t="s">
        <v>28</v>
      </c>
      <c r="N2748" t="s">
        <v>181</v>
      </c>
      <c r="O2748" t="s">
        <v>151</v>
      </c>
      <c r="P2748">
        <v>2025</v>
      </c>
    </row>
    <row r="2749" spans="1:16" hidden="1" x14ac:dyDescent="0.25">
      <c r="A2749" s="96" t="s">
        <v>2</v>
      </c>
      <c r="B2749" s="96" t="s">
        <v>240</v>
      </c>
      <c r="C2749" s="96" t="s">
        <v>2663</v>
      </c>
      <c r="D2749" s="96" t="s">
        <v>215</v>
      </c>
      <c r="E2749" s="43">
        <v>45671</v>
      </c>
      <c r="F2749" s="43">
        <v>45757</v>
      </c>
      <c r="G2749" s="96" t="s">
        <v>92</v>
      </c>
      <c r="H2749" s="96" t="s">
        <v>6413</v>
      </c>
      <c r="I2749" s="96" t="s">
        <v>194</v>
      </c>
      <c r="J2749" s="96" t="s">
        <v>98</v>
      </c>
      <c r="K2749" s="96" t="s">
        <v>210</v>
      </c>
      <c r="L2749">
        <v>86</v>
      </c>
      <c r="M2749" t="s">
        <v>28</v>
      </c>
      <c r="N2749" t="s">
        <v>181</v>
      </c>
      <c r="O2749" t="s">
        <v>149</v>
      </c>
      <c r="P2749">
        <v>2025</v>
      </c>
    </row>
    <row r="2750" spans="1:16" hidden="1" x14ac:dyDescent="0.25">
      <c r="A2750" s="96" t="s">
        <v>2</v>
      </c>
      <c r="B2750" s="96" t="s">
        <v>280</v>
      </c>
      <c r="C2750" s="96" t="s">
        <v>2664</v>
      </c>
      <c r="D2750" s="96" t="s">
        <v>10</v>
      </c>
      <c r="E2750" s="43">
        <v>45861</v>
      </c>
      <c r="F2750" s="43">
        <v>45972</v>
      </c>
      <c r="G2750" s="96" t="s">
        <v>90</v>
      </c>
      <c r="H2750" s="96" t="s">
        <v>6414</v>
      </c>
      <c r="I2750" s="96" t="s">
        <v>157</v>
      </c>
      <c r="J2750" s="96" t="s">
        <v>91</v>
      </c>
      <c r="K2750" s="96" t="s">
        <v>195</v>
      </c>
      <c r="L2750">
        <v>111</v>
      </c>
      <c r="M2750" t="s">
        <v>28</v>
      </c>
      <c r="N2750" t="s">
        <v>187</v>
      </c>
      <c r="O2750" t="s">
        <v>170</v>
      </c>
      <c r="P2750">
        <v>2025</v>
      </c>
    </row>
    <row r="2751" spans="1:16" hidden="1" x14ac:dyDescent="0.25">
      <c r="A2751" s="96" t="s">
        <v>21</v>
      </c>
      <c r="B2751" s="96" t="s">
        <v>221</v>
      </c>
      <c r="C2751" s="96" t="s">
        <v>6415</v>
      </c>
      <c r="D2751" s="96" t="s">
        <v>34</v>
      </c>
      <c r="E2751" s="43">
        <v>45689</v>
      </c>
      <c r="F2751" s="43">
        <v>45799</v>
      </c>
      <c r="G2751" s="96" t="s">
        <v>92</v>
      </c>
      <c r="H2751" s="96" t="s">
        <v>6416</v>
      </c>
      <c r="I2751" s="96" t="s">
        <v>225</v>
      </c>
      <c r="J2751" s="96" t="s">
        <v>93</v>
      </c>
      <c r="K2751" s="96" t="s">
        <v>217</v>
      </c>
      <c r="L2751">
        <v>110</v>
      </c>
      <c r="M2751" t="s">
        <v>28</v>
      </c>
      <c r="N2751" t="s">
        <v>188</v>
      </c>
      <c r="O2751" t="s">
        <v>170</v>
      </c>
      <c r="P2751">
        <v>2025</v>
      </c>
    </row>
    <row r="2752" spans="1:16" x14ac:dyDescent="0.25">
      <c r="A2752" s="96" t="s">
        <v>2</v>
      </c>
      <c r="B2752" s="96" t="s">
        <v>290</v>
      </c>
      <c r="C2752" s="96" t="s">
        <v>2665</v>
      </c>
      <c r="D2752" s="96" t="s">
        <v>192</v>
      </c>
      <c r="E2752" s="43">
        <v>46123</v>
      </c>
      <c r="F2752" s="43">
        <v>46145</v>
      </c>
      <c r="G2752" s="96" t="s">
        <v>92</v>
      </c>
      <c r="H2752" s="96" t="s">
        <v>6417</v>
      </c>
      <c r="I2752" s="96" t="s">
        <v>228</v>
      </c>
      <c r="J2752" s="96" t="s">
        <v>177</v>
      </c>
      <c r="K2752" s="96" t="s">
        <v>246</v>
      </c>
      <c r="L2752">
        <v>22</v>
      </c>
      <c r="M2752" t="s">
        <v>19</v>
      </c>
      <c r="N2752" t="s">
        <v>37</v>
      </c>
      <c r="O2752" t="s">
        <v>149</v>
      </c>
      <c r="P2752">
        <v>2026</v>
      </c>
    </row>
    <row r="2753" spans="1:16" hidden="1" x14ac:dyDescent="0.25">
      <c r="A2753" s="96" t="s">
        <v>2</v>
      </c>
      <c r="B2753" s="96" t="s">
        <v>264</v>
      </c>
      <c r="C2753" s="96" t="s">
        <v>2666</v>
      </c>
      <c r="D2753" s="96" t="s">
        <v>215</v>
      </c>
      <c r="E2753" s="43">
        <v>45795</v>
      </c>
      <c r="F2753" s="43">
        <v>45874</v>
      </c>
      <c r="G2753" s="96" t="s">
        <v>92</v>
      </c>
      <c r="H2753" s="96" t="s">
        <v>6418</v>
      </c>
      <c r="I2753" s="96" t="s">
        <v>204</v>
      </c>
      <c r="J2753" s="96" t="s">
        <v>97</v>
      </c>
      <c r="K2753" s="96" t="s">
        <v>157</v>
      </c>
      <c r="L2753">
        <v>79</v>
      </c>
      <c r="M2753" t="s">
        <v>28</v>
      </c>
      <c r="N2753" t="s">
        <v>182</v>
      </c>
      <c r="O2753" t="s">
        <v>152</v>
      </c>
      <c r="P2753">
        <v>2025</v>
      </c>
    </row>
    <row r="2754" spans="1:16" hidden="1" x14ac:dyDescent="0.25">
      <c r="A2754" s="96" t="s">
        <v>2</v>
      </c>
      <c r="B2754" s="96" t="s">
        <v>190</v>
      </c>
      <c r="C2754" s="96" t="s">
        <v>2668</v>
      </c>
      <c r="D2754" s="96" t="s">
        <v>192</v>
      </c>
      <c r="E2754" s="43">
        <v>45891</v>
      </c>
      <c r="F2754" s="43">
        <v>46000</v>
      </c>
      <c r="G2754" s="96" t="s">
        <v>90</v>
      </c>
      <c r="H2754" s="96" t="s">
        <v>6419</v>
      </c>
      <c r="I2754" s="96" t="s">
        <v>9</v>
      </c>
      <c r="J2754" s="96" t="s">
        <v>283</v>
      </c>
      <c r="K2754" s="96" t="s">
        <v>233</v>
      </c>
      <c r="L2754">
        <v>109</v>
      </c>
      <c r="M2754" t="s">
        <v>28</v>
      </c>
      <c r="N2754" t="s">
        <v>8</v>
      </c>
      <c r="O2754" t="s">
        <v>150</v>
      </c>
      <c r="P2754">
        <v>2025</v>
      </c>
    </row>
    <row r="2755" spans="1:16" hidden="1" x14ac:dyDescent="0.25">
      <c r="A2755" s="96" t="s">
        <v>2</v>
      </c>
      <c r="B2755" s="96" t="s">
        <v>253</v>
      </c>
      <c r="C2755" s="96" t="s">
        <v>6420</v>
      </c>
      <c r="D2755" s="96" t="s">
        <v>192</v>
      </c>
      <c r="E2755" s="43">
        <v>45671</v>
      </c>
      <c r="F2755" s="43">
        <v>45716</v>
      </c>
      <c r="G2755" s="96" t="s">
        <v>92</v>
      </c>
      <c r="H2755" s="96" t="s">
        <v>6421</v>
      </c>
      <c r="I2755" s="96" t="s">
        <v>194</v>
      </c>
      <c r="J2755" s="96" t="s">
        <v>165</v>
      </c>
      <c r="K2755" s="96" t="s">
        <v>230</v>
      </c>
      <c r="L2755">
        <v>45</v>
      </c>
      <c r="M2755" t="s">
        <v>24</v>
      </c>
      <c r="N2755" t="s">
        <v>181</v>
      </c>
      <c r="O2755" t="s">
        <v>152</v>
      </c>
      <c r="P2755">
        <v>2025</v>
      </c>
    </row>
    <row r="2756" spans="1:16" hidden="1" x14ac:dyDescent="0.25">
      <c r="A2756" s="96" t="s">
        <v>2</v>
      </c>
      <c r="B2756" s="96" t="s">
        <v>213</v>
      </c>
      <c r="C2756" s="96" t="s">
        <v>2669</v>
      </c>
      <c r="D2756" s="96" t="s">
        <v>10</v>
      </c>
      <c r="E2756" s="43">
        <v>45965</v>
      </c>
      <c r="F2756" s="43">
        <v>46051</v>
      </c>
      <c r="G2756" s="96" t="s">
        <v>92</v>
      </c>
      <c r="H2756" s="96" t="s">
        <v>6422</v>
      </c>
      <c r="I2756" s="96" t="s">
        <v>225</v>
      </c>
      <c r="J2756" s="96" t="s">
        <v>93</v>
      </c>
      <c r="K2756" s="96" t="s">
        <v>157</v>
      </c>
      <c r="L2756">
        <v>86</v>
      </c>
      <c r="M2756" t="s">
        <v>28</v>
      </c>
      <c r="N2756" t="s">
        <v>20</v>
      </c>
      <c r="O2756" t="s">
        <v>149</v>
      </c>
      <c r="P2756">
        <v>2025</v>
      </c>
    </row>
    <row r="2757" spans="1:16" hidden="1" x14ac:dyDescent="0.25">
      <c r="A2757" s="96" t="s">
        <v>175</v>
      </c>
      <c r="B2757" s="96" t="s">
        <v>264</v>
      </c>
      <c r="C2757" s="96" t="s">
        <v>2671</v>
      </c>
      <c r="D2757" s="96" t="s">
        <v>203</v>
      </c>
      <c r="E2757" s="43">
        <v>46011</v>
      </c>
      <c r="F2757" s="43">
        <v>46024</v>
      </c>
      <c r="G2757" s="96" t="s">
        <v>95</v>
      </c>
      <c r="H2757" s="96" t="s">
        <v>2578</v>
      </c>
      <c r="I2757" s="96" t="s">
        <v>228</v>
      </c>
      <c r="J2757" s="96" t="s">
        <v>199</v>
      </c>
      <c r="K2757" s="96" t="s">
        <v>246</v>
      </c>
      <c r="L2757">
        <v>13</v>
      </c>
      <c r="M2757" t="s">
        <v>15</v>
      </c>
      <c r="N2757" t="s">
        <v>25</v>
      </c>
      <c r="O2757" t="s">
        <v>152</v>
      </c>
      <c r="P2757">
        <v>2025</v>
      </c>
    </row>
    <row r="2758" spans="1:16" hidden="1" x14ac:dyDescent="0.25">
      <c r="A2758" s="96" t="s">
        <v>2</v>
      </c>
      <c r="B2758" s="96" t="s">
        <v>253</v>
      </c>
      <c r="C2758" s="96" t="s">
        <v>2673</v>
      </c>
      <c r="D2758" s="96" t="s">
        <v>10</v>
      </c>
      <c r="E2758" s="43">
        <v>45920</v>
      </c>
      <c r="F2758" s="43">
        <v>45956</v>
      </c>
      <c r="G2758" s="96" t="s">
        <v>90</v>
      </c>
      <c r="H2758" s="96" t="s">
        <v>6423</v>
      </c>
      <c r="I2758" s="96" t="s">
        <v>157</v>
      </c>
      <c r="J2758" s="96" t="s">
        <v>177</v>
      </c>
      <c r="K2758" s="96" t="s">
        <v>210</v>
      </c>
      <c r="L2758">
        <v>36</v>
      </c>
      <c r="M2758" t="s">
        <v>24</v>
      </c>
      <c r="N2758" t="s">
        <v>12</v>
      </c>
      <c r="O2758" t="s">
        <v>152</v>
      </c>
      <c r="P2758">
        <v>2025</v>
      </c>
    </row>
    <row r="2759" spans="1:16" hidden="1" x14ac:dyDescent="0.25">
      <c r="A2759" s="96" t="s">
        <v>2</v>
      </c>
      <c r="B2759" s="96" t="s">
        <v>280</v>
      </c>
      <c r="C2759" s="96" t="s">
        <v>2675</v>
      </c>
      <c r="D2759" s="96" t="s">
        <v>34</v>
      </c>
      <c r="E2759" s="43">
        <v>45940</v>
      </c>
      <c r="F2759" s="43">
        <v>46057</v>
      </c>
      <c r="G2759" s="96" t="s">
        <v>92</v>
      </c>
      <c r="H2759" s="96" t="s">
        <v>6424</v>
      </c>
      <c r="I2759" s="96" t="s">
        <v>9</v>
      </c>
      <c r="J2759" s="96" t="s">
        <v>177</v>
      </c>
      <c r="K2759" s="96" t="s">
        <v>157</v>
      </c>
      <c r="L2759">
        <v>117</v>
      </c>
      <c r="M2759" t="s">
        <v>28</v>
      </c>
      <c r="N2759" t="s">
        <v>16</v>
      </c>
      <c r="O2759" t="s">
        <v>170</v>
      </c>
      <c r="P2759">
        <v>2025</v>
      </c>
    </row>
    <row r="2760" spans="1:16" hidden="1" x14ac:dyDescent="0.25">
      <c r="A2760" s="96" t="s">
        <v>2</v>
      </c>
      <c r="B2760" s="96" t="s">
        <v>257</v>
      </c>
      <c r="C2760" s="96" t="s">
        <v>2677</v>
      </c>
      <c r="D2760" s="96" t="s">
        <v>223</v>
      </c>
      <c r="E2760" s="43">
        <v>45669</v>
      </c>
      <c r="F2760" s="43">
        <v>45715</v>
      </c>
      <c r="G2760" s="96" t="s">
        <v>90</v>
      </c>
      <c r="H2760" s="96" t="s">
        <v>6425</v>
      </c>
      <c r="I2760" s="96" t="s">
        <v>194</v>
      </c>
      <c r="J2760" s="96" t="s">
        <v>174</v>
      </c>
      <c r="K2760" s="96" t="s">
        <v>210</v>
      </c>
      <c r="L2760">
        <v>46</v>
      </c>
      <c r="M2760" t="s">
        <v>24</v>
      </c>
      <c r="N2760" t="s">
        <v>181</v>
      </c>
      <c r="O2760" t="s">
        <v>151</v>
      </c>
      <c r="P2760">
        <v>2025</v>
      </c>
    </row>
    <row r="2761" spans="1:16" hidden="1" x14ac:dyDescent="0.25">
      <c r="A2761" s="96" t="s">
        <v>171</v>
      </c>
      <c r="B2761" s="96" t="s">
        <v>264</v>
      </c>
      <c r="C2761" s="96" t="s">
        <v>2679</v>
      </c>
      <c r="D2761" s="96" t="s">
        <v>203</v>
      </c>
      <c r="E2761" s="43">
        <v>45973</v>
      </c>
      <c r="F2761" s="43">
        <v>45990</v>
      </c>
      <c r="G2761" s="96" t="s">
        <v>90</v>
      </c>
      <c r="H2761" s="96" t="s">
        <v>6426</v>
      </c>
      <c r="I2761" s="96" t="s">
        <v>9</v>
      </c>
      <c r="J2761" s="96" t="s">
        <v>98</v>
      </c>
      <c r="K2761" s="96" t="s">
        <v>230</v>
      </c>
      <c r="L2761">
        <v>17</v>
      </c>
      <c r="M2761" t="s">
        <v>19</v>
      </c>
      <c r="N2761" t="s">
        <v>20</v>
      </c>
      <c r="O2761" t="s">
        <v>152</v>
      </c>
      <c r="P2761">
        <v>2025</v>
      </c>
    </row>
    <row r="2762" spans="1:16" hidden="1" x14ac:dyDescent="0.25">
      <c r="A2762" s="96" t="s">
        <v>2</v>
      </c>
      <c r="B2762" s="96" t="s">
        <v>240</v>
      </c>
      <c r="C2762" s="96" t="s">
        <v>2681</v>
      </c>
      <c r="D2762" s="96" t="s">
        <v>34</v>
      </c>
      <c r="E2762" s="43">
        <v>45965</v>
      </c>
      <c r="F2762" s="43">
        <v>46059</v>
      </c>
      <c r="G2762" s="96" t="s">
        <v>90</v>
      </c>
      <c r="H2762" s="96" t="s">
        <v>6427</v>
      </c>
      <c r="I2762" s="96" t="s">
        <v>157</v>
      </c>
      <c r="J2762" s="96" t="s">
        <v>91</v>
      </c>
      <c r="K2762" s="96" t="s">
        <v>217</v>
      </c>
      <c r="L2762">
        <v>94</v>
      </c>
      <c r="M2762" t="s">
        <v>28</v>
      </c>
      <c r="N2762" t="s">
        <v>20</v>
      </c>
      <c r="O2762" t="s">
        <v>149</v>
      </c>
      <c r="P2762">
        <v>2025</v>
      </c>
    </row>
    <row r="2763" spans="1:16" x14ac:dyDescent="0.25">
      <c r="A2763" s="96" t="s">
        <v>2</v>
      </c>
      <c r="B2763" s="96" t="s">
        <v>269</v>
      </c>
      <c r="C2763" s="96" t="s">
        <v>2683</v>
      </c>
      <c r="D2763" s="96" t="s">
        <v>10</v>
      </c>
      <c r="E2763" s="43">
        <v>46092</v>
      </c>
      <c r="F2763" s="43">
        <v>46150</v>
      </c>
      <c r="G2763" s="96" t="s">
        <v>90</v>
      </c>
      <c r="H2763" s="96" t="s">
        <v>6428</v>
      </c>
      <c r="I2763" s="96" t="s">
        <v>225</v>
      </c>
      <c r="J2763" s="96" t="s">
        <v>97</v>
      </c>
      <c r="K2763" s="96" t="s">
        <v>233</v>
      </c>
      <c r="L2763">
        <v>58</v>
      </c>
      <c r="M2763" t="s">
        <v>24</v>
      </c>
      <c r="N2763" t="s">
        <v>35</v>
      </c>
      <c r="O2763" t="s">
        <v>152</v>
      </c>
      <c r="P2763">
        <v>2026</v>
      </c>
    </row>
    <row r="2764" spans="1:16" hidden="1" x14ac:dyDescent="0.25">
      <c r="A2764" s="96" t="s">
        <v>2</v>
      </c>
      <c r="B2764" s="96" t="s">
        <v>257</v>
      </c>
      <c r="C2764" s="96" t="s">
        <v>6429</v>
      </c>
      <c r="D2764" s="96" t="s">
        <v>192</v>
      </c>
      <c r="E2764" s="43">
        <v>45678</v>
      </c>
      <c r="F2764" s="43">
        <v>45729</v>
      </c>
      <c r="G2764" s="96" t="s">
        <v>92</v>
      </c>
      <c r="H2764" s="96" t="s">
        <v>6430</v>
      </c>
      <c r="I2764" s="96" t="s">
        <v>204</v>
      </c>
      <c r="J2764" s="96" t="s">
        <v>216</v>
      </c>
      <c r="K2764" s="96" t="s">
        <v>246</v>
      </c>
      <c r="L2764">
        <v>51</v>
      </c>
      <c r="M2764" t="s">
        <v>24</v>
      </c>
      <c r="N2764" t="s">
        <v>181</v>
      </c>
      <c r="O2764" t="s">
        <v>151</v>
      </c>
      <c r="P2764">
        <v>2025</v>
      </c>
    </row>
    <row r="2765" spans="1:16" x14ac:dyDescent="0.25">
      <c r="A2765" s="96" t="s">
        <v>2</v>
      </c>
      <c r="B2765" s="96" t="s">
        <v>261</v>
      </c>
      <c r="C2765" s="96" t="s">
        <v>6431</v>
      </c>
      <c r="D2765" s="96" t="s">
        <v>215</v>
      </c>
      <c r="E2765" s="43">
        <v>46096</v>
      </c>
      <c r="F2765" s="43">
        <v>46148</v>
      </c>
      <c r="G2765" s="96" t="s">
        <v>92</v>
      </c>
      <c r="H2765" s="96" t="s">
        <v>6432</v>
      </c>
      <c r="I2765" s="96" t="s">
        <v>204</v>
      </c>
      <c r="J2765" s="96" t="s">
        <v>93</v>
      </c>
      <c r="K2765" s="96" t="s">
        <v>210</v>
      </c>
      <c r="L2765">
        <v>52</v>
      </c>
      <c r="M2765" t="s">
        <v>24</v>
      </c>
      <c r="N2765" t="s">
        <v>35</v>
      </c>
      <c r="O2765" t="s">
        <v>151</v>
      </c>
      <c r="P2765">
        <v>2026</v>
      </c>
    </row>
    <row r="2766" spans="1:16" hidden="1" x14ac:dyDescent="0.25">
      <c r="A2766" s="96" t="s">
        <v>175</v>
      </c>
      <c r="B2766" s="96" t="s">
        <v>221</v>
      </c>
      <c r="C2766" s="96" t="s">
        <v>2685</v>
      </c>
      <c r="D2766" s="96" t="s">
        <v>215</v>
      </c>
      <c r="E2766" s="43">
        <v>45966</v>
      </c>
      <c r="F2766" s="43">
        <v>45970</v>
      </c>
      <c r="G2766" s="96" t="s">
        <v>90</v>
      </c>
      <c r="H2766" s="96" t="s">
        <v>6433</v>
      </c>
      <c r="I2766" s="96" t="s">
        <v>204</v>
      </c>
      <c r="J2766" s="96" t="s">
        <v>93</v>
      </c>
      <c r="K2766" s="96" t="s">
        <v>230</v>
      </c>
      <c r="L2766">
        <v>4</v>
      </c>
      <c r="M2766" t="s">
        <v>11</v>
      </c>
      <c r="N2766" t="s">
        <v>20</v>
      </c>
      <c r="O2766" t="s">
        <v>170</v>
      </c>
      <c r="P2766">
        <v>2025</v>
      </c>
    </row>
    <row r="2767" spans="1:16" hidden="1" x14ac:dyDescent="0.25">
      <c r="A2767" s="96" t="s">
        <v>175</v>
      </c>
      <c r="B2767" s="96" t="s">
        <v>221</v>
      </c>
      <c r="C2767" s="96" t="s">
        <v>6434</v>
      </c>
      <c r="D2767" s="96" t="s">
        <v>34</v>
      </c>
      <c r="E2767" s="43">
        <v>46003</v>
      </c>
      <c r="F2767" s="43">
        <v>46014</v>
      </c>
      <c r="G2767" s="96" t="s">
        <v>90</v>
      </c>
      <c r="H2767" s="96" t="s">
        <v>6435</v>
      </c>
      <c r="I2767" s="96" t="s">
        <v>225</v>
      </c>
      <c r="J2767" s="96" t="s">
        <v>91</v>
      </c>
      <c r="K2767" s="96" t="s">
        <v>195</v>
      </c>
      <c r="L2767">
        <v>11</v>
      </c>
      <c r="M2767" t="s">
        <v>15</v>
      </c>
      <c r="N2767" t="s">
        <v>25</v>
      </c>
      <c r="O2767" t="s">
        <v>170</v>
      </c>
      <c r="P2767">
        <v>2025</v>
      </c>
    </row>
    <row r="2768" spans="1:16" hidden="1" x14ac:dyDescent="0.25">
      <c r="A2768" s="96" t="s">
        <v>2</v>
      </c>
      <c r="B2768" s="96" t="s">
        <v>264</v>
      </c>
      <c r="C2768" s="96" t="s">
        <v>2687</v>
      </c>
      <c r="D2768" s="96" t="s">
        <v>203</v>
      </c>
      <c r="E2768" s="43">
        <v>45946</v>
      </c>
      <c r="F2768" s="43">
        <v>46008</v>
      </c>
      <c r="G2768" s="96" t="s">
        <v>95</v>
      </c>
      <c r="H2768" s="96" t="s">
        <v>6436</v>
      </c>
      <c r="I2768" s="96" t="s">
        <v>157</v>
      </c>
      <c r="J2768" s="96" t="s">
        <v>216</v>
      </c>
      <c r="K2768" s="96" t="s">
        <v>217</v>
      </c>
      <c r="L2768">
        <v>62</v>
      </c>
      <c r="M2768" t="s">
        <v>28</v>
      </c>
      <c r="N2768" t="s">
        <v>16</v>
      </c>
      <c r="O2768" t="s">
        <v>152</v>
      </c>
      <c r="P2768">
        <v>2025</v>
      </c>
    </row>
    <row r="2769" spans="1:16" hidden="1" x14ac:dyDescent="0.25">
      <c r="A2769" s="96" t="s">
        <v>2</v>
      </c>
      <c r="B2769" s="96" t="s">
        <v>264</v>
      </c>
      <c r="C2769" s="96" t="s">
        <v>6437</v>
      </c>
      <c r="D2769" s="96" t="s">
        <v>237</v>
      </c>
      <c r="E2769" s="43">
        <v>45888</v>
      </c>
      <c r="F2769" s="43">
        <v>45935</v>
      </c>
      <c r="G2769" s="96" t="s">
        <v>92</v>
      </c>
      <c r="H2769" s="96" t="s">
        <v>2585</v>
      </c>
      <c r="I2769" s="96" t="s">
        <v>228</v>
      </c>
      <c r="J2769" s="96" t="s">
        <v>97</v>
      </c>
      <c r="K2769" s="96" t="s">
        <v>195</v>
      </c>
      <c r="L2769">
        <v>47</v>
      </c>
      <c r="M2769" t="s">
        <v>24</v>
      </c>
      <c r="N2769" t="s">
        <v>8</v>
      </c>
      <c r="O2769" t="s">
        <v>152</v>
      </c>
      <c r="P2769">
        <v>2025</v>
      </c>
    </row>
    <row r="2770" spans="1:16" hidden="1" x14ac:dyDescent="0.25">
      <c r="A2770" s="96" t="s">
        <v>171</v>
      </c>
      <c r="B2770" s="96" t="s">
        <v>272</v>
      </c>
      <c r="C2770" s="96" t="s">
        <v>6438</v>
      </c>
      <c r="D2770" s="96" t="s">
        <v>237</v>
      </c>
      <c r="E2770" s="43">
        <v>45876</v>
      </c>
      <c r="F2770" s="43">
        <v>45974</v>
      </c>
      <c r="G2770" s="96" t="s">
        <v>92</v>
      </c>
      <c r="H2770" s="96" t="s">
        <v>6439</v>
      </c>
      <c r="I2770" s="96" t="s">
        <v>204</v>
      </c>
      <c r="J2770" s="96" t="s">
        <v>169</v>
      </c>
      <c r="K2770" s="96" t="s">
        <v>246</v>
      </c>
      <c r="L2770">
        <v>98</v>
      </c>
      <c r="M2770" t="s">
        <v>28</v>
      </c>
      <c r="N2770" t="s">
        <v>8</v>
      </c>
      <c r="O2770" t="s">
        <v>151</v>
      </c>
      <c r="P2770">
        <v>2025</v>
      </c>
    </row>
    <row r="2771" spans="1:16" x14ac:dyDescent="0.25">
      <c r="A2771" s="96" t="s">
        <v>2</v>
      </c>
      <c r="B2771" s="96" t="s">
        <v>290</v>
      </c>
      <c r="C2771" s="96" t="s">
        <v>2689</v>
      </c>
      <c r="D2771" s="96" t="s">
        <v>10</v>
      </c>
      <c r="E2771" s="43">
        <v>46102</v>
      </c>
      <c r="F2771" s="43">
        <v>46150</v>
      </c>
      <c r="G2771" s="96" t="s">
        <v>92</v>
      </c>
      <c r="H2771" s="96" t="s">
        <v>6440</v>
      </c>
      <c r="I2771" s="96" t="s">
        <v>194</v>
      </c>
      <c r="J2771" s="96" t="s">
        <v>174</v>
      </c>
      <c r="K2771" s="96" t="s">
        <v>233</v>
      </c>
      <c r="L2771">
        <v>48</v>
      </c>
      <c r="M2771" t="s">
        <v>24</v>
      </c>
      <c r="N2771" t="s">
        <v>35</v>
      </c>
      <c r="O2771" t="s">
        <v>149</v>
      </c>
      <c r="P2771">
        <v>2026</v>
      </c>
    </row>
    <row r="2772" spans="1:16" x14ac:dyDescent="0.25">
      <c r="A2772" s="96" t="s">
        <v>2</v>
      </c>
      <c r="B2772" s="96" t="s">
        <v>226</v>
      </c>
      <c r="C2772" s="96" t="s">
        <v>6441</v>
      </c>
      <c r="D2772" s="96" t="s">
        <v>223</v>
      </c>
      <c r="E2772" s="43">
        <v>46049</v>
      </c>
      <c r="F2772" s="43">
        <v>46125</v>
      </c>
      <c r="G2772" s="96" t="s">
        <v>90</v>
      </c>
      <c r="H2772" s="96" t="s">
        <v>6442</v>
      </c>
      <c r="I2772" s="96" t="s">
        <v>228</v>
      </c>
      <c r="J2772" s="96" t="s">
        <v>168</v>
      </c>
      <c r="K2772" s="96" t="s">
        <v>210</v>
      </c>
      <c r="L2772">
        <v>76</v>
      </c>
      <c r="M2772" t="s">
        <v>28</v>
      </c>
      <c r="N2772" t="s">
        <v>29</v>
      </c>
      <c r="O2772" t="s">
        <v>151</v>
      </c>
      <c r="P2772">
        <v>2026</v>
      </c>
    </row>
    <row r="2773" spans="1:16" hidden="1" x14ac:dyDescent="0.25">
      <c r="A2773" s="96" t="s">
        <v>2</v>
      </c>
      <c r="B2773" s="96" t="s">
        <v>240</v>
      </c>
      <c r="C2773" s="96" t="s">
        <v>2691</v>
      </c>
      <c r="D2773" s="96" t="s">
        <v>40</v>
      </c>
      <c r="E2773" s="43">
        <v>45699</v>
      </c>
      <c r="F2773" s="43">
        <v>45766</v>
      </c>
      <c r="G2773" s="96" t="s">
        <v>92</v>
      </c>
      <c r="H2773" s="96" t="s">
        <v>6443</v>
      </c>
      <c r="I2773" s="96" t="s">
        <v>157</v>
      </c>
      <c r="J2773" s="96" t="s">
        <v>91</v>
      </c>
      <c r="K2773" s="96" t="s">
        <v>217</v>
      </c>
      <c r="L2773">
        <v>67</v>
      </c>
      <c r="M2773" t="s">
        <v>28</v>
      </c>
      <c r="N2773" t="s">
        <v>188</v>
      </c>
      <c r="O2773" t="s">
        <v>149</v>
      </c>
      <c r="P2773">
        <v>2025</v>
      </c>
    </row>
    <row r="2774" spans="1:16" hidden="1" x14ac:dyDescent="0.25">
      <c r="A2774" s="96" t="s">
        <v>2</v>
      </c>
      <c r="B2774" s="96" t="s">
        <v>264</v>
      </c>
      <c r="C2774" s="96" t="s">
        <v>2694</v>
      </c>
      <c r="D2774" s="96" t="s">
        <v>208</v>
      </c>
      <c r="E2774" s="43">
        <v>45951</v>
      </c>
      <c r="F2774" s="43">
        <v>46050</v>
      </c>
      <c r="G2774" s="96" t="s">
        <v>92</v>
      </c>
      <c r="H2774" s="96" t="s">
        <v>6444</v>
      </c>
      <c r="I2774" s="96" t="s">
        <v>194</v>
      </c>
      <c r="J2774" s="96" t="s">
        <v>169</v>
      </c>
      <c r="K2774" s="96" t="s">
        <v>157</v>
      </c>
      <c r="L2774">
        <v>99</v>
      </c>
      <c r="M2774" t="s">
        <v>28</v>
      </c>
      <c r="N2774" t="s">
        <v>16</v>
      </c>
      <c r="O2774" t="s">
        <v>152</v>
      </c>
      <c r="P2774">
        <v>2025</v>
      </c>
    </row>
    <row r="2775" spans="1:16" hidden="1" x14ac:dyDescent="0.25">
      <c r="A2775" s="96" t="s">
        <v>2</v>
      </c>
      <c r="B2775" s="96" t="s">
        <v>251</v>
      </c>
      <c r="C2775" s="96" t="s">
        <v>6445</v>
      </c>
      <c r="D2775" s="96" t="s">
        <v>208</v>
      </c>
      <c r="E2775" s="43">
        <v>45916</v>
      </c>
      <c r="F2775" s="43">
        <v>45970</v>
      </c>
      <c r="G2775" s="96" t="s">
        <v>92</v>
      </c>
      <c r="H2775" s="96" t="s">
        <v>6446</v>
      </c>
      <c r="I2775" s="96" t="s">
        <v>194</v>
      </c>
      <c r="J2775" s="96" t="s">
        <v>96</v>
      </c>
      <c r="K2775" s="96" t="s">
        <v>200</v>
      </c>
      <c r="L2775">
        <v>54</v>
      </c>
      <c r="M2775" t="s">
        <v>24</v>
      </c>
      <c r="N2775" t="s">
        <v>12</v>
      </c>
      <c r="O2775" t="s">
        <v>170</v>
      </c>
      <c r="P2775">
        <v>2025</v>
      </c>
    </row>
    <row r="2776" spans="1:16" hidden="1" x14ac:dyDescent="0.25">
      <c r="A2776" s="96" t="s">
        <v>2</v>
      </c>
      <c r="B2776" s="96" t="s">
        <v>206</v>
      </c>
      <c r="C2776" s="96" t="s">
        <v>2696</v>
      </c>
      <c r="D2776" s="96" t="s">
        <v>34</v>
      </c>
      <c r="E2776" s="43">
        <v>45686</v>
      </c>
      <c r="F2776" s="43">
        <v>45756</v>
      </c>
      <c r="G2776" s="96" t="s">
        <v>92</v>
      </c>
      <c r="H2776" s="96" t="s">
        <v>6447</v>
      </c>
      <c r="I2776" s="96" t="s">
        <v>209</v>
      </c>
      <c r="J2776" s="96" t="s">
        <v>165</v>
      </c>
      <c r="K2776" s="96" t="s">
        <v>246</v>
      </c>
      <c r="L2776">
        <v>70</v>
      </c>
      <c r="M2776" t="s">
        <v>28</v>
      </c>
      <c r="N2776" t="s">
        <v>181</v>
      </c>
      <c r="O2776" t="s">
        <v>152</v>
      </c>
      <c r="P2776">
        <v>2025</v>
      </c>
    </row>
    <row r="2777" spans="1:16" x14ac:dyDescent="0.25">
      <c r="A2777" s="96" t="s">
        <v>2</v>
      </c>
      <c r="B2777" s="96" t="s">
        <v>290</v>
      </c>
      <c r="C2777" s="96" t="s">
        <v>2698</v>
      </c>
      <c r="D2777" s="96" t="s">
        <v>223</v>
      </c>
      <c r="E2777" s="43">
        <v>46032</v>
      </c>
      <c r="F2777" s="43">
        <v>46114</v>
      </c>
      <c r="G2777" s="96" t="s">
        <v>92</v>
      </c>
      <c r="H2777" s="96" t="s">
        <v>2592</v>
      </c>
      <c r="I2777" s="96" t="s">
        <v>204</v>
      </c>
      <c r="J2777" s="96" t="s">
        <v>216</v>
      </c>
      <c r="K2777" s="96" t="s">
        <v>230</v>
      </c>
      <c r="L2777">
        <v>82</v>
      </c>
      <c r="M2777" t="s">
        <v>28</v>
      </c>
      <c r="N2777" t="s">
        <v>29</v>
      </c>
      <c r="O2777" t="s">
        <v>149</v>
      </c>
      <c r="P2777">
        <v>2026</v>
      </c>
    </row>
    <row r="2778" spans="1:16" hidden="1" x14ac:dyDescent="0.25">
      <c r="A2778" s="96" t="s">
        <v>2</v>
      </c>
      <c r="B2778" s="96" t="s">
        <v>247</v>
      </c>
      <c r="C2778" s="96" t="s">
        <v>2700</v>
      </c>
      <c r="D2778" s="96" t="s">
        <v>215</v>
      </c>
      <c r="E2778" s="43">
        <v>45706</v>
      </c>
      <c r="F2778" s="43">
        <v>45788</v>
      </c>
      <c r="G2778" s="96" t="s">
        <v>92</v>
      </c>
      <c r="H2778" s="96" t="s">
        <v>6448</v>
      </c>
      <c r="I2778" s="96" t="s">
        <v>194</v>
      </c>
      <c r="J2778" s="96" t="s">
        <v>91</v>
      </c>
      <c r="K2778" s="96" t="s">
        <v>233</v>
      </c>
      <c r="L2778">
        <v>82</v>
      </c>
      <c r="M2778" t="s">
        <v>28</v>
      </c>
      <c r="N2778" t="s">
        <v>188</v>
      </c>
      <c r="O2778" t="s">
        <v>150</v>
      </c>
      <c r="P2778">
        <v>2025</v>
      </c>
    </row>
    <row r="2779" spans="1:16" x14ac:dyDescent="0.25">
      <c r="A2779" s="96" t="s">
        <v>2</v>
      </c>
      <c r="B2779" s="96" t="s">
        <v>249</v>
      </c>
      <c r="C2779" s="96" t="s">
        <v>6449</v>
      </c>
      <c r="D2779" s="96" t="s">
        <v>223</v>
      </c>
      <c r="E2779" s="43">
        <v>46084</v>
      </c>
      <c r="F2779" s="43">
        <v>46129</v>
      </c>
      <c r="G2779" s="96" t="s">
        <v>90</v>
      </c>
      <c r="H2779" s="96" t="s">
        <v>6450</v>
      </c>
      <c r="I2779" s="96" t="s">
        <v>228</v>
      </c>
      <c r="J2779" s="96" t="s">
        <v>229</v>
      </c>
      <c r="K2779" s="96" t="s">
        <v>205</v>
      </c>
      <c r="L2779">
        <v>45</v>
      </c>
      <c r="M2779" t="s">
        <v>24</v>
      </c>
      <c r="N2779" t="s">
        <v>35</v>
      </c>
      <c r="O2779" t="s">
        <v>170</v>
      </c>
      <c r="P2779">
        <v>2026</v>
      </c>
    </row>
    <row r="2780" spans="1:16" x14ac:dyDescent="0.25">
      <c r="A2780" s="96" t="s">
        <v>21</v>
      </c>
      <c r="B2780" s="96" t="s">
        <v>218</v>
      </c>
      <c r="C2780" s="96" t="s">
        <v>6451</v>
      </c>
      <c r="D2780" s="96" t="s">
        <v>237</v>
      </c>
      <c r="E2780" s="43">
        <v>46142</v>
      </c>
      <c r="F2780" s="43">
        <v>46150</v>
      </c>
      <c r="G2780" s="96" t="s">
        <v>92</v>
      </c>
      <c r="H2780" s="96" t="s">
        <v>6452</v>
      </c>
      <c r="I2780" s="96" t="s">
        <v>225</v>
      </c>
      <c r="J2780" s="96" t="s">
        <v>173</v>
      </c>
      <c r="K2780" s="96" t="s">
        <v>246</v>
      </c>
      <c r="L2780">
        <v>8</v>
      </c>
      <c r="M2780" t="s">
        <v>15</v>
      </c>
      <c r="N2780" t="s">
        <v>37</v>
      </c>
      <c r="O2780" t="s">
        <v>152</v>
      </c>
      <c r="P2780">
        <v>2026</v>
      </c>
    </row>
    <row r="2781" spans="1:16" hidden="1" x14ac:dyDescent="0.25">
      <c r="A2781" s="96" t="s">
        <v>2</v>
      </c>
      <c r="B2781" s="96" t="s">
        <v>251</v>
      </c>
      <c r="C2781" s="96" t="s">
        <v>6453</v>
      </c>
      <c r="D2781" s="96" t="s">
        <v>203</v>
      </c>
      <c r="E2781" s="43">
        <v>45736</v>
      </c>
      <c r="F2781" s="43">
        <v>45763</v>
      </c>
      <c r="G2781" s="96" t="s">
        <v>90</v>
      </c>
      <c r="H2781" s="96" t="s">
        <v>6454</v>
      </c>
      <c r="I2781" s="96" t="s">
        <v>209</v>
      </c>
      <c r="J2781" s="96" t="s">
        <v>165</v>
      </c>
      <c r="K2781" s="96" t="s">
        <v>195</v>
      </c>
      <c r="L2781">
        <v>27</v>
      </c>
      <c r="M2781" t="s">
        <v>19</v>
      </c>
      <c r="N2781" t="s">
        <v>186</v>
      </c>
      <c r="O2781" t="s">
        <v>170</v>
      </c>
      <c r="P2781">
        <v>2025</v>
      </c>
    </row>
    <row r="2782" spans="1:16" x14ac:dyDescent="0.25">
      <c r="A2782" s="96" t="s">
        <v>2</v>
      </c>
      <c r="B2782" s="96" t="s">
        <v>261</v>
      </c>
      <c r="C2782" s="96" t="s">
        <v>2701</v>
      </c>
      <c r="D2782" s="96" t="s">
        <v>40</v>
      </c>
      <c r="E2782" s="43">
        <v>46023</v>
      </c>
      <c r="F2782" s="43">
        <v>46123</v>
      </c>
      <c r="G2782" s="96" t="s">
        <v>92</v>
      </c>
      <c r="H2782" s="96" t="s">
        <v>6455</v>
      </c>
      <c r="I2782" s="96" t="s">
        <v>209</v>
      </c>
      <c r="J2782" s="96" t="s">
        <v>283</v>
      </c>
      <c r="K2782" s="96" t="s">
        <v>195</v>
      </c>
      <c r="L2782">
        <v>100</v>
      </c>
      <c r="M2782" t="s">
        <v>28</v>
      </c>
      <c r="N2782" t="s">
        <v>29</v>
      </c>
      <c r="O2782" t="s">
        <v>151</v>
      </c>
      <c r="P2782">
        <v>2026</v>
      </c>
    </row>
    <row r="2783" spans="1:16" hidden="1" x14ac:dyDescent="0.25">
      <c r="A2783" s="96" t="s">
        <v>2</v>
      </c>
      <c r="B2783" s="96" t="s">
        <v>255</v>
      </c>
      <c r="C2783" s="96" t="s">
        <v>2702</v>
      </c>
      <c r="D2783" s="96" t="s">
        <v>203</v>
      </c>
      <c r="E2783" s="43">
        <v>45982</v>
      </c>
      <c r="F2783" s="43">
        <v>46004</v>
      </c>
      <c r="G2783" s="96" t="s">
        <v>92</v>
      </c>
      <c r="H2783" s="96" t="s">
        <v>6456</v>
      </c>
      <c r="I2783" s="96" t="s">
        <v>157</v>
      </c>
      <c r="J2783" s="96" t="s">
        <v>94</v>
      </c>
      <c r="K2783" s="96" t="s">
        <v>205</v>
      </c>
      <c r="L2783">
        <v>22</v>
      </c>
      <c r="M2783" t="s">
        <v>19</v>
      </c>
      <c r="N2783" t="s">
        <v>20</v>
      </c>
      <c r="O2783" t="s">
        <v>150</v>
      </c>
      <c r="P2783">
        <v>2025</v>
      </c>
    </row>
    <row r="2784" spans="1:16" hidden="1" x14ac:dyDescent="0.25">
      <c r="A2784" s="96" t="s">
        <v>2</v>
      </c>
      <c r="B2784" s="96" t="s">
        <v>255</v>
      </c>
      <c r="C2784" s="96" t="s">
        <v>2703</v>
      </c>
      <c r="D2784" s="96" t="s">
        <v>215</v>
      </c>
      <c r="E2784" s="43">
        <v>45841</v>
      </c>
      <c r="F2784" s="43">
        <v>45893</v>
      </c>
      <c r="G2784" s="96" t="s">
        <v>92</v>
      </c>
      <c r="H2784" s="96" t="s">
        <v>2600</v>
      </c>
      <c r="I2784" s="96" t="s">
        <v>228</v>
      </c>
      <c r="J2784" s="96" t="s">
        <v>93</v>
      </c>
      <c r="K2784" s="96" t="s">
        <v>230</v>
      </c>
      <c r="L2784">
        <v>52</v>
      </c>
      <c r="M2784" t="s">
        <v>24</v>
      </c>
      <c r="N2784" t="s">
        <v>187</v>
      </c>
      <c r="O2784" t="s">
        <v>150</v>
      </c>
      <c r="P2784">
        <v>2025</v>
      </c>
    </row>
    <row r="2785" spans="1:16" hidden="1" x14ac:dyDescent="0.25">
      <c r="A2785" s="96" t="s">
        <v>2</v>
      </c>
      <c r="B2785" s="96" t="s">
        <v>221</v>
      </c>
      <c r="C2785" s="96" t="s">
        <v>2704</v>
      </c>
      <c r="D2785" s="96" t="s">
        <v>215</v>
      </c>
      <c r="E2785" s="43">
        <v>45857</v>
      </c>
      <c r="F2785" s="43">
        <v>45932</v>
      </c>
      <c r="G2785" s="96" t="s">
        <v>92</v>
      </c>
      <c r="H2785" s="96" t="s">
        <v>6457</v>
      </c>
      <c r="I2785" s="96" t="s">
        <v>157</v>
      </c>
      <c r="J2785" s="96" t="s">
        <v>91</v>
      </c>
      <c r="K2785" s="96" t="s">
        <v>157</v>
      </c>
      <c r="L2785">
        <v>75</v>
      </c>
      <c r="M2785" t="s">
        <v>28</v>
      </c>
      <c r="N2785" t="s">
        <v>187</v>
      </c>
      <c r="O2785" t="s">
        <v>170</v>
      </c>
      <c r="P2785">
        <v>2025</v>
      </c>
    </row>
    <row r="2786" spans="1:16" x14ac:dyDescent="0.25">
      <c r="A2786" s="96" t="s">
        <v>175</v>
      </c>
      <c r="B2786" s="96" t="s">
        <v>201</v>
      </c>
      <c r="C2786" s="96" t="s">
        <v>2705</v>
      </c>
      <c r="D2786" s="96" t="s">
        <v>223</v>
      </c>
      <c r="E2786" s="43">
        <v>46117</v>
      </c>
      <c r="F2786" s="43">
        <v>46121</v>
      </c>
      <c r="G2786" s="96" t="s">
        <v>92</v>
      </c>
      <c r="H2786" s="96" t="s">
        <v>6458</v>
      </c>
      <c r="I2786" s="96" t="s">
        <v>157</v>
      </c>
      <c r="J2786" s="96" t="s">
        <v>174</v>
      </c>
      <c r="K2786" s="96" t="s">
        <v>157</v>
      </c>
      <c r="L2786">
        <v>4</v>
      </c>
      <c r="M2786" t="s">
        <v>11</v>
      </c>
      <c r="N2786" t="s">
        <v>37</v>
      </c>
      <c r="O2786" t="s">
        <v>170</v>
      </c>
      <c r="P2786">
        <v>2026</v>
      </c>
    </row>
    <row r="2787" spans="1:16" hidden="1" x14ac:dyDescent="0.25">
      <c r="A2787" s="96" t="s">
        <v>2</v>
      </c>
      <c r="B2787" s="96" t="s">
        <v>251</v>
      </c>
      <c r="C2787" s="96" t="s">
        <v>2706</v>
      </c>
      <c r="D2787" s="96" t="s">
        <v>34</v>
      </c>
      <c r="E2787" s="43">
        <v>45971</v>
      </c>
      <c r="F2787" s="43">
        <v>46053</v>
      </c>
      <c r="G2787" s="96" t="s">
        <v>95</v>
      </c>
      <c r="H2787" s="96" t="s">
        <v>6459</v>
      </c>
      <c r="I2787" s="96" t="s">
        <v>225</v>
      </c>
      <c r="J2787" s="96" t="s">
        <v>91</v>
      </c>
      <c r="K2787" s="96" t="s">
        <v>210</v>
      </c>
      <c r="L2787">
        <v>82</v>
      </c>
      <c r="M2787" t="s">
        <v>28</v>
      </c>
      <c r="N2787" t="s">
        <v>20</v>
      </c>
      <c r="O2787" t="s">
        <v>170</v>
      </c>
      <c r="P2787">
        <v>2025</v>
      </c>
    </row>
    <row r="2788" spans="1:16" x14ac:dyDescent="0.25">
      <c r="A2788" s="96" t="s">
        <v>2</v>
      </c>
      <c r="B2788" s="96" t="s">
        <v>302</v>
      </c>
      <c r="C2788" s="96" t="s">
        <v>2707</v>
      </c>
      <c r="D2788" s="96" t="s">
        <v>40</v>
      </c>
      <c r="E2788" s="43">
        <v>46048</v>
      </c>
      <c r="F2788" s="43">
        <v>46143</v>
      </c>
      <c r="G2788" s="96" t="s">
        <v>92</v>
      </c>
      <c r="H2788" s="96" t="s">
        <v>6460</v>
      </c>
      <c r="I2788" s="96" t="s">
        <v>209</v>
      </c>
      <c r="J2788" s="96" t="s">
        <v>173</v>
      </c>
      <c r="K2788" s="96" t="s">
        <v>195</v>
      </c>
      <c r="L2788">
        <v>95</v>
      </c>
      <c r="M2788" t="s">
        <v>28</v>
      </c>
      <c r="N2788" t="s">
        <v>29</v>
      </c>
      <c r="O2788" t="s">
        <v>150</v>
      </c>
      <c r="P2788">
        <v>2026</v>
      </c>
    </row>
    <row r="2789" spans="1:16" x14ac:dyDescent="0.25">
      <c r="A2789" s="96" t="s">
        <v>2</v>
      </c>
      <c r="B2789" s="96" t="s">
        <v>226</v>
      </c>
      <c r="C2789" s="96" t="s">
        <v>6461</v>
      </c>
      <c r="D2789" s="96" t="s">
        <v>14</v>
      </c>
      <c r="E2789" s="43">
        <v>46062</v>
      </c>
      <c r="F2789" s="43">
        <v>46133</v>
      </c>
      <c r="G2789" s="96" t="s">
        <v>92</v>
      </c>
      <c r="H2789" s="96" t="s">
        <v>6462</v>
      </c>
      <c r="I2789" s="96" t="s">
        <v>204</v>
      </c>
      <c r="J2789" s="96" t="s">
        <v>172</v>
      </c>
      <c r="K2789" s="96" t="s">
        <v>210</v>
      </c>
      <c r="L2789">
        <v>71</v>
      </c>
      <c r="M2789" t="s">
        <v>28</v>
      </c>
      <c r="N2789" t="s">
        <v>32</v>
      </c>
      <c r="O2789" t="s">
        <v>151</v>
      </c>
      <c r="P2789">
        <v>2026</v>
      </c>
    </row>
    <row r="2790" spans="1:16" hidden="1" x14ac:dyDescent="0.25">
      <c r="A2790" s="96" t="s">
        <v>2</v>
      </c>
      <c r="B2790" s="96" t="s">
        <v>190</v>
      </c>
      <c r="C2790" s="96" t="s">
        <v>6463</v>
      </c>
      <c r="D2790" s="96" t="s">
        <v>215</v>
      </c>
      <c r="E2790" s="43">
        <v>45826</v>
      </c>
      <c r="F2790" s="43">
        <v>45865</v>
      </c>
      <c r="G2790" s="96" t="s">
        <v>92</v>
      </c>
      <c r="H2790" s="96" t="s">
        <v>6464</v>
      </c>
      <c r="I2790" s="96" t="s">
        <v>9</v>
      </c>
      <c r="J2790" s="96" t="s">
        <v>173</v>
      </c>
      <c r="K2790" s="96" t="s">
        <v>205</v>
      </c>
      <c r="L2790">
        <v>39</v>
      </c>
      <c r="M2790" t="s">
        <v>24</v>
      </c>
      <c r="N2790" t="s">
        <v>184</v>
      </c>
      <c r="O2790" t="s">
        <v>150</v>
      </c>
      <c r="P2790">
        <v>2025</v>
      </c>
    </row>
    <row r="2791" spans="1:16" hidden="1" x14ac:dyDescent="0.25">
      <c r="A2791" s="96" t="s">
        <v>2</v>
      </c>
      <c r="B2791" s="96" t="s">
        <v>240</v>
      </c>
      <c r="C2791" s="96" t="s">
        <v>2708</v>
      </c>
      <c r="D2791" s="96" t="s">
        <v>203</v>
      </c>
      <c r="E2791" s="43">
        <v>46017</v>
      </c>
      <c r="F2791" s="43">
        <v>46025</v>
      </c>
      <c r="G2791" s="96" t="s">
        <v>92</v>
      </c>
      <c r="H2791" s="96" t="s">
        <v>6465</v>
      </c>
      <c r="I2791" s="96" t="s">
        <v>209</v>
      </c>
      <c r="J2791" s="96" t="s">
        <v>229</v>
      </c>
      <c r="K2791" s="96" t="s">
        <v>230</v>
      </c>
      <c r="L2791">
        <v>8</v>
      </c>
      <c r="M2791" t="s">
        <v>15</v>
      </c>
      <c r="N2791" t="s">
        <v>25</v>
      </c>
      <c r="O2791" t="s">
        <v>149</v>
      </c>
      <c r="P2791">
        <v>2025</v>
      </c>
    </row>
    <row r="2792" spans="1:16" hidden="1" x14ac:dyDescent="0.25">
      <c r="A2792" s="96" t="s">
        <v>2</v>
      </c>
      <c r="B2792" s="96" t="s">
        <v>280</v>
      </c>
      <c r="C2792" s="96" t="s">
        <v>2709</v>
      </c>
      <c r="D2792" s="96" t="s">
        <v>215</v>
      </c>
      <c r="E2792" s="43">
        <v>45828</v>
      </c>
      <c r="F2792" s="43">
        <v>45836</v>
      </c>
      <c r="G2792" s="96" t="s">
        <v>90</v>
      </c>
      <c r="H2792" s="96" t="s">
        <v>6466</v>
      </c>
      <c r="I2792" s="96" t="s">
        <v>157</v>
      </c>
      <c r="J2792" s="96" t="s">
        <v>229</v>
      </c>
      <c r="K2792" s="96" t="s">
        <v>200</v>
      </c>
      <c r="L2792">
        <v>8</v>
      </c>
      <c r="M2792" t="s">
        <v>15</v>
      </c>
      <c r="N2792" t="s">
        <v>184</v>
      </c>
      <c r="O2792" t="s">
        <v>170</v>
      </c>
      <c r="P2792">
        <v>2025</v>
      </c>
    </row>
    <row r="2793" spans="1:16" x14ac:dyDescent="0.25">
      <c r="A2793" s="96" t="s">
        <v>2</v>
      </c>
      <c r="B2793" s="96" t="s">
        <v>261</v>
      </c>
      <c r="C2793" s="96" t="s">
        <v>6467</v>
      </c>
      <c r="D2793" s="96" t="s">
        <v>40</v>
      </c>
      <c r="E2793" s="43">
        <v>46052</v>
      </c>
      <c r="F2793" s="43">
        <v>46134</v>
      </c>
      <c r="G2793" s="96" t="s">
        <v>92</v>
      </c>
      <c r="H2793" s="96" t="s">
        <v>6468</v>
      </c>
      <c r="I2793" s="96" t="s">
        <v>194</v>
      </c>
      <c r="J2793" s="96" t="s">
        <v>216</v>
      </c>
      <c r="K2793" s="96" t="s">
        <v>217</v>
      </c>
      <c r="L2793">
        <v>82</v>
      </c>
      <c r="M2793" t="s">
        <v>28</v>
      </c>
      <c r="N2793" t="s">
        <v>29</v>
      </c>
      <c r="O2793" t="s">
        <v>151</v>
      </c>
      <c r="P2793">
        <v>2026</v>
      </c>
    </row>
    <row r="2794" spans="1:16" x14ac:dyDescent="0.25">
      <c r="A2794" s="96" t="s">
        <v>2</v>
      </c>
      <c r="B2794" s="96" t="s">
        <v>302</v>
      </c>
      <c r="C2794" s="96" t="s">
        <v>2712</v>
      </c>
      <c r="D2794" s="96" t="s">
        <v>34</v>
      </c>
      <c r="E2794" s="43">
        <v>46108</v>
      </c>
      <c r="F2794" s="43">
        <v>46148</v>
      </c>
      <c r="G2794" s="96" t="s">
        <v>90</v>
      </c>
      <c r="H2794" s="96" t="s">
        <v>6469</v>
      </c>
      <c r="I2794" s="96" t="s">
        <v>228</v>
      </c>
      <c r="J2794" s="96" t="s">
        <v>173</v>
      </c>
      <c r="K2794" s="96" t="s">
        <v>230</v>
      </c>
      <c r="L2794">
        <v>40</v>
      </c>
      <c r="M2794" t="s">
        <v>24</v>
      </c>
      <c r="N2794" t="s">
        <v>35</v>
      </c>
      <c r="O2794" t="s">
        <v>150</v>
      </c>
      <c r="P2794">
        <v>2026</v>
      </c>
    </row>
    <row r="2795" spans="1:16" hidden="1" x14ac:dyDescent="0.25">
      <c r="A2795" s="96" t="s">
        <v>2</v>
      </c>
      <c r="B2795" s="96" t="s">
        <v>280</v>
      </c>
      <c r="C2795" s="96" t="s">
        <v>2713</v>
      </c>
      <c r="D2795" s="96" t="s">
        <v>40</v>
      </c>
      <c r="E2795" s="43">
        <v>45964</v>
      </c>
      <c r="F2795" s="43">
        <v>46050</v>
      </c>
      <c r="G2795" s="96" t="s">
        <v>90</v>
      </c>
      <c r="H2795" s="96" t="s">
        <v>6470</v>
      </c>
      <c r="I2795" s="96" t="s">
        <v>225</v>
      </c>
      <c r="J2795" s="96" t="s">
        <v>169</v>
      </c>
      <c r="K2795" s="96" t="s">
        <v>210</v>
      </c>
      <c r="L2795">
        <v>86</v>
      </c>
      <c r="M2795" t="s">
        <v>28</v>
      </c>
      <c r="N2795" t="s">
        <v>20</v>
      </c>
      <c r="O2795" t="s">
        <v>170</v>
      </c>
      <c r="P2795">
        <v>2025</v>
      </c>
    </row>
    <row r="2796" spans="1:16" hidden="1" x14ac:dyDescent="0.25">
      <c r="A2796" s="96" t="s">
        <v>2</v>
      </c>
      <c r="B2796" s="96" t="s">
        <v>190</v>
      </c>
      <c r="C2796" s="96" t="s">
        <v>2714</v>
      </c>
      <c r="D2796" s="96" t="s">
        <v>208</v>
      </c>
      <c r="E2796" s="43">
        <v>45824</v>
      </c>
      <c r="F2796" s="43">
        <v>45847</v>
      </c>
      <c r="G2796" s="96" t="s">
        <v>95</v>
      </c>
      <c r="H2796" s="96" t="s">
        <v>2608</v>
      </c>
      <c r="I2796" s="96" t="s">
        <v>209</v>
      </c>
      <c r="J2796" s="96" t="s">
        <v>172</v>
      </c>
      <c r="K2796" s="96" t="s">
        <v>230</v>
      </c>
      <c r="L2796">
        <v>23</v>
      </c>
      <c r="M2796" t="s">
        <v>19</v>
      </c>
      <c r="N2796" t="s">
        <v>184</v>
      </c>
      <c r="O2796" t="s">
        <v>150</v>
      </c>
      <c r="P2796">
        <v>2025</v>
      </c>
    </row>
    <row r="2797" spans="1:16" x14ac:dyDescent="0.25">
      <c r="A2797" s="96" t="s">
        <v>2</v>
      </c>
      <c r="B2797" s="96" t="s">
        <v>290</v>
      </c>
      <c r="C2797" s="96" t="s">
        <v>2715</v>
      </c>
      <c r="D2797" s="96" t="s">
        <v>34</v>
      </c>
      <c r="E2797" s="43">
        <v>46033</v>
      </c>
      <c r="F2797" s="43">
        <v>46146</v>
      </c>
      <c r="G2797" s="96" t="s">
        <v>92</v>
      </c>
      <c r="H2797" s="96" t="s">
        <v>2609</v>
      </c>
      <c r="I2797" s="96" t="s">
        <v>228</v>
      </c>
      <c r="J2797" s="96" t="s">
        <v>173</v>
      </c>
      <c r="K2797" s="96" t="s">
        <v>230</v>
      </c>
      <c r="L2797">
        <v>113</v>
      </c>
      <c r="M2797" t="s">
        <v>28</v>
      </c>
      <c r="N2797" t="s">
        <v>29</v>
      </c>
      <c r="O2797" t="s">
        <v>149</v>
      </c>
      <c r="P2797">
        <v>2026</v>
      </c>
    </row>
    <row r="2798" spans="1:16" x14ac:dyDescent="0.25">
      <c r="A2798" s="96" t="s">
        <v>2</v>
      </c>
      <c r="B2798" s="96" t="s">
        <v>305</v>
      </c>
      <c r="C2798" s="96" t="s">
        <v>2716</v>
      </c>
      <c r="D2798" s="96" t="s">
        <v>10</v>
      </c>
      <c r="E2798" s="43">
        <v>46122</v>
      </c>
      <c r="F2798" s="43">
        <v>46146</v>
      </c>
      <c r="G2798" s="96" t="s">
        <v>92</v>
      </c>
      <c r="H2798" s="96" t="s">
        <v>2611</v>
      </c>
      <c r="I2798" s="96" t="s">
        <v>204</v>
      </c>
      <c r="J2798" s="96" t="s">
        <v>283</v>
      </c>
      <c r="K2798" s="96" t="s">
        <v>210</v>
      </c>
      <c r="L2798">
        <v>24</v>
      </c>
      <c r="M2798" t="s">
        <v>19</v>
      </c>
      <c r="N2798" t="s">
        <v>37</v>
      </c>
      <c r="O2798" t="s">
        <v>170</v>
      </c>
      <c r="P2798">
        <v>2026</v>
      </c>
    </row>
    <row r="2799" spans="1:16" hidden="1" x14ac:dyDescent="0.25">
      <c r="A2799" s="96" t="s">
        <v>2</v>
      </c>
      <c r="B2799" s="96" t="s">
        <v>190</v>
      </c>
      <c r="C2799" s="96" t="s">
        <v>2717</v>
      </c>
      <c r="D2799" s="96" t="s">
        <v>215</v>
      </c>
      <c r="E2799" s="43">
        <v>45972</v>
      </c>
      <c r="F2799" s="43">
        <v>46061</v>
      </c>
      <c r="G2799" s="96" t="s">
        <v>92</v>
      </c>
      <c r="H2799" s="96" t="s">
        <v>6471</v>
      </c>
      <c r="I2799" s="96" t="s">
        <v>157</v>
      </c>
      <c r="J2799" s="96" t="s">
        <v>174</v>
      </c>
      <c r="K2799" s="96" t="s">
        <v>157</v>
      </c>
      <c r="L2799">
        <v>89</v>
      </c>
      <c r="M2799" t="s">
        <v>28</v>
      </c>
      <c r="N2799" t="s">
        <v>20</v>
      </c>
      <c r="O2799" t="s">
        <v>150</v>
      </c>
      <c r="P2799">
        <v>2025</v>
      </c>
    </row>
    <row r="2800" spans="1:16" x14ac:dyDescent="0.25">
      <c r="A2800" s="96" t="s">
        <v>2</v>
      </c>
      <c r="B2800" s="96" t="s">
        <v>274</v>
      </c>
      <c r="C2800" s="96" t="s">
        <v>6472</v>
      </c>
      <c r="D2800" s="96" t="s">
        <v>192</v>
      </c>
      <c r="E2800" s="43">
        <v>46082</v>
      </c>
      <c r="F2800" s="43">
        <v>46109</v>
      </c>
      <c r="G2800" s="96" t="s">
        <v>95</v>
      </c>
      <c r="H2800" s="96" t="s">
        <v>6473</v>
      </c>
      <c r="I2800" s="96" t="s">
        <v>9</v>
      </c>
      <c r="J2800" s="96" t="s">
        <v>174</v>
      </c>
      <c r="K2800" s="96" t="s">
        <v>205</v>
      </c>
      <c r="L2800">
        <v>27</v>
      </c>
      <c r="M2800" t="s">
        <v>19</v>
      </c>
      <c r="N2800" t="s">
        <v>35</v>
      </c>
      <c r="O2800" t="s">
        <v>170</v>
      </c>
      <c r="P2800">
        <v>2026</v>
      </c>
    </row>
    <row r="2801" spans="1:16" x14ac:dyDescent="0.25">
      <c r="A2801" s="96" t="s">
        <v>2</v>
      </c>
      <c r="B2801" s="96" t="s">
        <v>274</v>
      </c>
      <c r="C2801" s="96" t="s">
        <v>6474</v>
      </c>
      <c r="D2801" s="96" t="s">
        <v>223</v>
      </c>
      <c r="E2801" s="43">
        <v>46091</v>
      </c>
      <c r="F2801" s="43">
        <v>46135</v>
      </c>
      <c r="G2801" s="96" t="s">
        <v>92</v>
      </c>
      <c r="H2801" s="96" t="s">
        <v>6475</v>
      </c>
      <c r="I2801" s="96" t="s">
        <v>157</v>
      </c>
      <c r="J2801" s="96" t="s">
        <v>216</v>
      </c>
      <c r="K2801" s="96" t="s">
        <v>210</v>
      </c>
      <c r="L2801">
        <v>44</v>
      </c>
      <c r="M2801" t="s">
        <v>24</v>
      </c>
      <c r="N2801" t="s">
        <v>35</v>
      </c>
      <c r="O2801" t="s">
        <v>170</v>
      </c>
      <c r="P2801">
        <v>2026</v>
      </c>
    </row>
    <row r="2802" spans="1:16" x14ac:dyDescent="0.25">
      <c r="A2802" s="96" t="s">
        <v>2</v>
      </c>
      <c r="B2802" s="96" t="s">
        <v>196</v>
      </c>
      <c r="C2802" s="96" t="s">
        <v>6476</v>
      </c>
      <c r="D2802" s="96" t="s">
        <v>40</v>
      </c>
      <c r="E2802" s="43">
        <v>46123</v>
      </c>
      <c r="F2802" s="43">
        <v>46148</v>
      </c>
      <c r="G2802" s="96" t="s">
        <v>90</v>
      </c>
      <c r="H2802" s="96" t="s">
        <v>6477</v>
      </c>
      <c r="I2802" s="96" t="s">
        <v>228</v>
      </c>
      <c r="J2802" s="96" t="s">
        <v>94</v>
      </c>
      <c r="K2802" s="96" t="s">
        <v>200</v>
      </c>
      <c r="L2802">
        <v>25</v>
      </c>
      <c r="M2802" t="s">
        <v>19</v>
      </c>
      <c r="N2802" t="s">
        <v>37</v>
      </c>
      <c r="O2802" t="s">
        <v>152</v>
      </c>
      <c r="P2802">
        <v>2026</v>
      </c>
    </row>
    <row r="2803" spans="1:16" x14ac:dyDescent="0.25">
      <c r="A2803" s="96" t="s">
        <v>2</v>
      </c>
      <c r="B2803" s="96" t="s">
        <v>201</v>
      </c>
      <c r="C2803" s="96" t="s">
        <v>6478</v>
      </c>
      <c r="D2803" s="96" t="s">
        <v>10</v>
      </c>
      <c r="E2803" s="43">
        <v>46120</v>
      </c>
      <c r="F2803" s="43">
        <v>46149</v>
      </c>
      <c r="G2803" s="96" t="s">
        <v>90</v>
      </c>
      <c r="H2803" s="96" t="s">
        <v>6479</v>
      </c>
      <c r="I2803" s="96" t="s">
        <v>209</v>
      </c>
      <c r="J2803" s="96" t="s">
        <v>229</v>
      </c>
      <c r="K2803" s="96" t="s">
        <v>200</v>
      </c>
      <c r="L2803">
        <v>29</v>
      </c>
      <c r="M2803" t="s">
        <v>19</v>
      </c>
      <c r="N2803" t="s">
        <v>37</v>
      </c>
      <c r="O2803" t="s">
        <v>170</v>
      </c>
      <c r="P2803">
        <v>2026</v>
      </c>
    </row>
    <row r="2804" spans="1:16" x14ac:dyDescent="0.25">
      <c r="A2804" s="96" t="s">
        <v>2</v>
      </c>
      <c r="B2804" s="96" t="s">
        <v>269</v>
      </c>
      <c r="C2804" s="96" t="s">
        <v>6480</v>
      </c>
      <c r="D2804" s="96" t="s">
        <v>223</v>
      </c>
      <c r="E2804" s="43">
        <v>46117</v>
      </c>
      <c r="F2804" s="43">
        <v>46146</v>
      </c>
      <c r="G2804" s="96" t="s">
        <v>92</v>
      </c>
      <c r="H2804" s="96" t="s">
        <v>6481</v>
      </c>
      <c r="I2804" s="96" t="s">
        <v>204</v>
      </c>
      <c r="J2804" s="96" t="s">
        <v>283</v>
      </c>
      <c r="K2804" s="96" t="s">
        <v>210</v>
      </c>
      <c r="L2804">
        <v>29</v>
      </c>
      <c r="M2804" t="s">
        <v>19</v>
      </c>
      <c r="N2804" t="s">
        <v>37</v>
      </c>
      <c r="O2804" t="s">
        <v>152</v>
      </c>
      <c r="P2804">
        <v>2026</v>
      </c>
    </row>
    <row r="2805" spans="1:16" hidden="1" x14ac:dyDescent="0.25">
      <c r="A2805" s="96" t="s">
        <v>2</v>
      </c>
      <c r="B2805" s="96" t="s">
        <v>272</v>
      </c>
      <c r="C2805" s="96" t="s">
        <v>2718</v>
      </c>
      <c r="D2805" s="96" t="s">
        <v>192</v>
      </c>
      <c r="E2805" s="43">
        <v>45694</v>
      </c>
      <c r="F2805" s="43">
        <v>45713</v>
      </c>
      <c r="G2805" s="96" t="s">
        <v>90</v>
      </c>
      <c r="H2805" s="96" t="s">
        <v>6482</v>
      </c>
      <c r="I2805" s="96" t="s">
        <v>157</v>
      </c>
      <c r="J2805" s="96" t="s">
        <v>168</v>
      </c>
      <c r="K2805" s="96" t="s">
        <v>195</v>
      </c>
      <c r="L2805">
        <v>19</v>
      </c>
      <c r="M2805" t="s">
        <v>19</v>
      </c>
      <c r="N2805" t="s">
        <v>188</v>
      </c>
      <c r="O2805" t="s">
        <v>151</v>
      </c>
      <c r="P2805">
        <v>2025</v>
      </c>
    </row>
    <row r="2806" spans="1:16" hidden="1" x14ac:dyDescent="0.25">
      <c r="A2806" s="96" t="s">
        <v>2</v>
      </c>
      <c r="B2806" s="96" t="s">
        <v>264</v>
      </c>
      <c r="C2806" s="96" t="s">
        <v>2720</v>
      </c>
      <c r="D2806" s="96" t="s">
        <v>40</v>
      </c>
      <c r="E2806" s="43">
        <v>45949</v>
      </c>
      <c r="F2806" s="43">
        <v>46001</v>
      </c>
      <c r="G2806" s="96" t="s">
        <v>92</v>
      </c>
      <c r="H2806" s="96" t="s">
        <v>6483</v>
      </c>
      <c r="I2806" s="96" t="s">
        <v>157</v>
      </c>
      <c r="J2806" s="96" t="s">
        <v>174</v>
      </c>
      <c r="K2806" s="96" t="s">
        <v>205</v>
      </c>
      <c r="L2806">
        <v>52</v>
      </c>
      <c r="M2806" t="s">
        <v>24</v>
      </c>
      <c r="N2806" t="s">
        <v>16</v>
      </c>
      <c r="O2806" t="s">
        <v>152</v>
      </c>
      <c r="P2806">
        <v>2025</v>
      </c>
    </row>
    <row r="2807" spans="1:16" x14ac:dyDescent="0.25">
      <c r="A2807" s="96" t="s">
        <v>2</v>
      </c>
      <c r="B2807" s="96" t="s">
        <v>261</v>
      </c>
      <c r="C2807" s="96" t="s">
        <v>2721</v>
      </c>
      <c r="D2807" s="96" t="s">
        <v>237</v>
      </c>
      <c r="E2807" s="43">
        <v>46062</v>
      </c>
      <c r="F2807" s="43">
        <v>46066</v>
      </c>
      <c r="G2807" s="96" t="s">
        <v>90</v>
      </c>
      <c r="H2807" s="96" t="s">
        <v>6484</v>
      </c>
      <c r="I2807" s="96" t="s">
        <v>209</v>
      </c>
      <c r="J2807" s="96" t="s">
        <v>165</v>
      </c>
      <c r="K2807" s="96" t="s">
        <v>230</v>
      </c>
      <c r="L2807">
        <v>4</v>
      </c>
      <c r="M2807" t="s">
        <v>11</v>
      </c>
      <c r="N2807" t="s">
        <v>32</v>
      </c>
      <c r="O2807" t="s">
        <v>151</v>
      </c>
      <c r="P2807">
        <v>2026</v>
      </c>
    </row>
    <row r="2808" spans="1:16" x14ac:dyDescent="0.25">
      <c r="A2808" s="96" t="s">
        <v>2</v>
      </c>
      <c r="B2808" s="96" t="s">
        <v>302</v>
      </c>
      <c r="C2808" s="96" t="s">
        <v>2722</v>
      </c>
      <c r="D2808" s="96" t="s">
        <v>215</v>
      </c>
      <c r="E2808" s="43">
        <v>46099</v>
      </c>
      <c r="F2808" s="43">
        <v>46151</v>
      </c>
      <c r="G2808" s="96" t="s">
        <v>92</v>
      </c>
      <c r="H2808" s="96" t="s">
        <v>6485</v>
      </c>
      <c r="I2808" s="96" t="s">
        <v>157</v>
      </c>
      <c r="J2808" s="96" t="s">
        <v>199</v>
      </c>
      <c r="K2808" s="96" t="s">
        <v>195</v>
      </c>
      <c r="L2808">
        <v>52</v>
      </c>
      <c r="M2808" t="s">
        <v>24</v>
      </c>
      <c r="N2808" t="s">
        <v>35</v>
      </c>
      <c r="O2808" t="s">
        <v>150</v>
      </c>
      <c r="P2808">
        <v>2026</v>
      </c>
    </row>
    <row r="2809" spans="1:16" hidden="1" x14ac:dyDescent="0.25">
      <c r="A2809" s="96" t="s">
        <v>2</v>
      </c>
      <c r="B2809" s="96" t="s">
        <v>257</v>
      </c>
      <c r="C2809" s="96" t="s">
        <v>6486</v>
      </c>
      <c r="D2809" s="96" t="s">
        <v>215</v>
      </c>
      <c r="E2809" s="43">
        <v>45829</v>
      </c>
      <c r="F2809" s="43">
        <v>45916</v>
      </c>
      <c r="G2809" s="96" t="s">
        <v>92</v>
      </c>
      <c r="H2809" s="96" t="s">
        <v>6487</v>
      </c>
      <c r="I2809" s="96" t="s">
        <v>209</v>
      </c>
      <c r="J2809" s="96" t="s">
        <v>165</v>
      </c>
      <c r="K2809" s="96" t="s">
        <v>210</v>
      </c>
      <c r="L2809">
        <v>87</v>
      </c>
      <c r="M2809" t="s">
        <v>28</v>
      </c>
      <c r="N2809" t="s">
        <v>184</v>
      </c>
      <c r="O2809" t="s">
        <v>151</v>
      </c>
      <c r="P2809">
        <v>2025</v>
      </c>
    </row>
    <row r="2810" spans="1:16" hidden="1" x14ac:dyDescent="0.25">
      <c r="A2810" s="96" t="s">
        <v>171</v>
      </c>
      <c r="B2810" s="96" t="s">
        <v>255</v>
      </c>
      <c r="C2810" s="96" t="s">
        <v>6488</v>
      </c>
      <c r="D2810" s="96" t="s">
        <v>223</v>
      </c>
      <c r="E2810" s="43">
        <v>45676</v>
      </c>
      <c r="F2810" s="43">
        <v>45690</v>
      </c>
      <c r="G2810" s="96" t="s">
        <v>95</v>
      </c>
      <c r="H2810" s="96" t="s">
        <v>6489</v>
      </c>
      <c r="I2810" s="96" t="s">
        <v>194</v>
      </c>
      <c r="J2810" s="96" t="s">
        <v>96</v>
      </c>
      <c r="K2810" s="96" t="s">
        <v>210</v>
      </c>
      <c r="L2810">
        <v>14</v>
      </c>
      <c r="M2810" t="s">
        <v>15</v>
      </c>
      <c r="N2810" t="s">
        <v>181</v>
      </c>
      <c r="O2810" t="s">
        <v>150</v>
      </c>
      <c r="P2810">
        <v>2025</v>
      </c>
    </row>
    <row r="2811" spans="1:16" hidden="1" x14ac:dyDescent="0.25">
      <c r="A2811" s="96" t="s">
        <v>21</v>
      </c>
      <c r="B2811" s="96" t="s">
        <v>213</v>
      </c>
      <c r="C2811" s="96" t="s">
        <v>2723</v>
      </c>
      <c r="D2811" s="96" t="s">
        <v>192</v>
      </c>
      <c r="E2811" s="43">
        <v>46015</v>
      </c>
      <c r="F2811" s="43">
        <v>46040</v>
      </c>
      <c r="G2811" s="96" t="s">
        <v>92</v>
      </c>
      <c r="H2811" s="96" t="s">
        <v>6490</v>
      </c>
      <c r="I2811" s="96" t="s">
        <v>228</v>
      </c>
      <c r="J2811" s="96" t="s">
        <v>91</v>
      </c>
      <c r="K2811" s="96" t="s">
        <v>195</v>
      </c>
      <c r="L2811">
        <v>25</v>
      </c>
      <c r="M2811" t="s">
        <v>19</v>
      </c>
      <c r="N2811" t="s">
        <v>25</v>
      </c>
      <c r="O2811" t="s">
        <v>149</v>
      </c>
      <c r="P2811">
        <v>2025</v>
      </c>
    </row>
    <row r="2812" spans="1:16" hidden="1" x14ac:dyDescent="0.25">
      <c r="A2812" s="96" t="s">
        <v>2</v>
      </c>
      <c r="B2812" s="96" t="s">
        <v>213</v>
      </c>
      <c r="C2812" s="96" t="s">
        <v>2724</v>
      </c>
      <c r="D2812" s="96" t="s">
        <v>40</v>
      </c>
      <c r="E2812" s="43">
        <v>45870</v>
      </c>
      <c r="F2812" s="43">
        <v>45908</v>
      </c>
      <c r="G2812" s="96" t="s">
        <v>92</v>
      </c>
      <c r="H2812" s="96" t="s">
        <v>6491</v>
      </c>
      <c r="I2812" s="96" t="s">
        <v>209</v>
      </c>
      <c r="J2812" s="96" t="s">
        <v>91</v>
      </c>
      <c r="K2812" s="96" t="s">
        <v>233</v>
      </c>
      <c r="L2812">
        <v>38</v>
      </c>
      <c r="M2812" t="s">
        <v>24</v>
      </c>
      <c r="N2812" t="s">
        <v>8</v>
      </c>
      <c r="O2812" t="s">
        <v>149</v>
      </c>
      <c r="P2812">
        <v>2025</v>
      </c>
    </row>
    <row r="2813" spans="1:16" hidden="1" x14ac:dyDescent="0.25">
      <c r="A2813" s="96" t="s">
        <v>2</v>
      </c>
      <c r="B2813" s="96" t="s">
        <v>253</v>
      </c>
      <c r="C2813" s="96" t="s">
        <v>2725</v>
      </c>
      <c r="D2813" s="96" t="s">
        <v>223</v>
      </c>
      <c r="E2813" s="43">
        <v>45878</v>
      </c>
      <c r="F2813" s="43">
        <v>45935</v>
      </c>
      <c r="G2813" s="96" t="s">
        <v>92</v>
      </c>
      <c r="H2813" s="96" t="s">
        <v>6492</v>
      </c>
      <c r="I2813" s="96" t="s">
        <v>9</v>
      </c>
      <c r="J2813" s="96" t="s">
        <v>174</v>
      </c>
      <c r="K2813" s="96" t="s">
        <v>217</v>
      </c>
      <c r="L2813">
        <v>57</v>
      </c>
      <c r="M2813" t="s">
        <v>24</v>
      </c>
      <c r="N2813" t="s">
        <v>8</v>
      </c>
      <c r="O2813" t="s">
        <v>152</v>
      </c>
      <c r="P2813">
        <v>2025</v>
      </c>
    </row>
    <row r="2814" spans="1:16" hidden="1" x14ac:dyDescent="0.25">
      <c r="A2814" s="96" t="s">
        <v>2</v>
      </c>
      <c r="B2814" s="96" t="s">
        <v>240</v>
      </c>
      <c r="C2814" s="96" t="s">
        <v>2727</v>
      </c>
      <c r="D2814" s="96" t="s">
        <v>14</v>
      </c>
      <c r="E2814" s="43">
        <v>45711</v>
      </c>
      <c r="F2814" s="43">
        <v>45754</v>
      </c>
      <c r="G2814" s="96" t="s">
        <v>90</v>
      </c>
      <c r="H2814" s="96" t="s">
        <v>6493</v>
      </c>
      <c r="I2814" s="96" t="s">
        <v>204</v>
      </c>
      <c r="J2814" s="96" t="s">
        <v>91</v>
      </c>
      <c r="K2814" s="96" t="s">
        <v>200</v>
      </c>
      <c r="L2814">
        <v>43</v>
      </c>
      <c r="M2814" t="s">
        <v>24</v>
      </c>
      <c r="N2814" t="s">
        <v>188</v>
      </c>
      <c r="O2814" t="s">
        <v>149</v>
      </c>
      <c r="P2814">
        <v>2025</v>
      </c>
    </row>
    <row r="2815" spans="1:16" hidden="1" x14ac:dyDescent="0.25">
      <c r="A2815" s="96" t="s">
        <v>2</v>
      </c>
      <c r="B2815" s="96" t="s">
        <v>251</v>
      </c>
      <c r="C2815" s="96" t="s">
        <v>6494</v>
      </c>
      <c r="D2815" s="96" t="s">
        <v>40</v>
      </c>
      <c r="E2815" s="43">
        <v>45792</v>
      </c>
      <c r="F2815" s="43">
        <v>45807</v>
      </c>
      <c r="G2815" s="96" t="s">
        <v>90</v>
      </c>
      <c r="H2815" s="96" t="s">
        <v>6495</v>
      </c>
      <c r="I2815" s="96" t="s">
        <v>209</v>
      </c>
      <c r="J2815" s="96" t="s">
        <v>216</v>
      </c>
      <c r="K2815" s="96" t="s">
        <v>210</v>
      </c>
      <c r="L2815">
        <v>15</v>
      </c>
      <c r="M2815" t="s">
        <v>19</v>
      </c>
      <c r="N2815" t="s">
        <v>182</v>
      </c>
      <c r="O2815" t="s">
        <v>170</v>
      </c>
      <c r="P2815">
        <v>2025</v>
      </c>
    </row>
    <row r="2816" spans="1:16" x14ac:dyDescent="0.25">
      <c r="A2816" s="96" t="s">
        <v>2</v>
      </c>
      <c r="B2816" s="96" t="s">
        <v>219</v>
      </c>
      <c r="C2816" s="96" t="s">
        <v>6496</v>
      </c>
      <c r="D2816" s="96" t="s">
        <v>34</v>
      </c>
      <c r="E2816" s="43">
        <v>46112</v>
      </c>
      <c r="F2816" s="43">
        <v>46140</v>
      </c>
      <c r="G2816" s="96" t="s">
        <v>92</v>
      </c>
      <c r="H2816" s="96" t="s">
        <v>6497</v>
      </c>
      <c r="I2816" s="96" t="s">
        <v>9</v>
      </c>
      <c r="J2816" s="96" t="s">
        <v>93</v>
      </c>
      <c r="K2816" s="96" t="s">
        <v>210</v>
      </c>
      <c r="L2816">
        <v>28</v>
      </c>
      <c r="M2816" t="s">
        <v>19</v>
      </c>
      <c r="N2816" t="s">
        <v>35</v>
      </c>
      <c r="O2816" t="s">
        <v>149</v>
      </c>
      <c r="P2816">
        <v>2026</v>
      </c>
    </row>
    <row r="2817" spans="1:16" hidden="1" x14ac:dyDescent="0.25">
      <c r="A2817" s="96" t="s">
        <v>175</v>
      </c>
      <c r="B2817" s="96" t="s">
        <v>264</v>
      </c>
      <c r="C2817" s="96" t="s">
        <v>2729</v>
      </c>
      <c r="D2817" s="96" t="s">
        <v>203</v>
      </c>
      <c r="E2817" s="43">
        <v>45674</v>
      </c>
      <c r="F2817" s="43">
        <v>45744</v>
      </c>
      <c r="G2817" s="96" t="s">
        <v>90</v>
      </c>
      <c r="H2817" s="96" t="s">
        <v>6498</v>
      </c>
      <c r="I2817" s="96" t="s">
        <v>228</v>
      </c>
      <c r="J2817" s="96" t="s">
        <v>283</v>
      </c>
      <c r="K2817" s="96" t="s">
        <v>195</v>
      </c>
      <c r="L2817">
        <v>70</v>
      </c>
      <c r="M2817" t="s">
        <v>28</v>
      </c>
      <c r="N2817" t="s">
        <v>181</v>
      </c>
      <c r="O2817" t="s">
        <v>152</v>
      </c>
      <c r="P2817">
        <v>2025</v>
      </c>
    </row>
    <row r="2818" spans="1:16" hidden="1" x14ac:dyDescent="0.25">
      <c r="A2818" s="96" t="s">
        <v>2</v>
      </c>
      <c r="B2818" s="96" t="s">
        <v>231</v>
      </c>
      <c r="C2818" s="96" t="s">
        <v>6499</v>
      </c>
      <c r="D2818" s="96" t="s">
        <v>10</v>
      </c>
      <c r="E2818" s="43">
        <v>45877</v>
      </c>
      <c r="F2818" s="43">
        <v>45964</v>
      </c>
      <c r="G2818" s="96" t="s">
        <v>95</v>
      </c>
      <c r="H2818" s="96" t="s">
        <v>6500</v>
      </c>
      <c r="I2818" s="96" t="s">
        <v>9</v>
      </c>
      <c r="J2818" s="96" t="s">
        <v>172</v>
      </c>
      <c r="K2818" s="96" t="s">
        <v>205</v>
      </c>
      <c r="L2818">
        <v>87</v>
      </c>
      <c r="M2818" t="s">
        <v>28</v>
      </c>
      <c r="N2818" t="s">
        <v>8</v>
      </c>
      <c r="O2818" t="s">
        <v>170</v>
      </c>
      <c r="P2818">
        <v>2025</v>
      </c>
    </row>
    <row r="2819" spans="1:16" x14ac:dyDescent="0.25">
      <c r="A2819" s="96" t="s">
        <v>2</v>
      </c>
      <c r="B2819" s="96" t="s">
        <v>218</v>
      </c>
      <c r="C2819" s="96" t="s">
        <v>6501</v>
      </c>
      <c r="D2819" s="96" t="s">
        <v>14</v>
      </c>
      <c r="E2819" s="43">
        <v>46048</v>
      </c>
      <c r="F2819" s="43">
        <v>46147</v>
      </c>
      <c r="G2819" s="96" t="s">
        <v>92</v>
      </c>
      <c r="H2819" s="96" t="s">
        <v>6502</v>
      </c>
      <c r="I2819" s="96" t="s">
        <v>225</v>
      </c>
      <c r="J2819" s="96" t="s">
        <v>93</v>
      </c>
      <c r="K2819" s="96" t="s">
        <v>233</v>
      </c>
      <c r="L2819">
        <v>99</v>
      </c>
      <c r="M2819" t="s">
        <v>28</v>
      </c>
      <c r="N2819" t="s">
        <v>29</v>
      </c>
      <c r="O2819" t="s">
        <v>152</v>
      </c>
      <c r="P2819">
        <v>2026</v>
      </c>
    </row>
    <row r="2820" spans="1:16" x14ac:dyDescent="0.25">
      <c r="A2820" s="96" t="s">
        <v>175</v>
      </c>
      <c r="B2820" s="96" t="s">
        <v>302</v>
      </c>
      <c r="C2820" s="96" t="s">
        <v>2730</v>
      </c>
      <c r="D2820" s="96" t="s">
        <v>192</v>
      </c>
      <c r="E2820" s="43">
        <v>46057</v>
      </c>
      <c r="F2820" s="43">
        <v>46142</v>
      </c>
      <c r="G2820" s="96" t="s">
        <v>92</v>
      </c>
      <c r="H2820" s="96" t="s">
        <v>6503</v>
      </c>
      <c r="I2820" s="96" t="s">
        <v>157</v>
      </c>
      <c r="J2820" s="96" t="s">
        <v>168</v>
      </c>
      <c r="K2820" s="96" t="s">
        <v>210</v>
      </c>
      <c r="L2820">
        <v>85</v>
      </c>
      <c r="M2820" t="s">
        <v>28</v>
      </c>
      <c r="N2820" t="s">
        <v>32</v>
      </c>
      <c r="O2820" t="s">
        <v>150</v>
      </c>
      <c r="P2820">
        <v>2026</v>
      </c>
    </row>
    <row r="2821" spans="1:16" x14ac:dyDescent="0.25">
      <c r="A2821" s="96" t="s">
        <v>2</v>
      </c>
      <c r="B2821" s="96" t="s">
        <v>269</v>
      </c>
      <c r="C2821" s="96" t="s">
        <v>2732</v>
      </c>
      <c r="D2821" s="96" t="s">
        <v>40</v>
      </c>
      <c r="E2821" s="43">
        <v>46090</v>
      </c>
      <c r="F2821" s="43">
        <v>46150</v>
      </c>
      <c r="G2821" s="96" t="s">
        <v>92</v>
      </c>
      <c r="H2821" s="96" t="s">
        <v>6504</v>
      </c>
      <c r="I2821" s="96" t="s">
        <v>209</v>
      </c>
      <c r="J2821" s="96" t="s">
        <v>229</v>
      </c>
      <c r="K2821" s="96" t="s">
        <v>246</v>
      </c>
      <c r="L2821">
        <v>60</v>
      </c>
      <c r="M2821" t="s">
        <v>24</v>
      </c>
      <c r="N2821" t="s">
        <v>35</v>
      </c>
      <c r="O2821" t="s">
        <v>152</v>
      </c>
      <c r="P2821">
        <v>2026</v>
      </c>
    </row>
    <row r="2822" spans="1:16" x14ac:dyDescent="0.25">
      <c r="A2822" s="96" t="s">
        <v>2</v>
      </c>
      <c r="B2822" s="96" t="s">
        <v>302</v>
      </c>
      <c r="C2822" s="96" t="s">
        <v>2734</v>
      </c>
      <c r="D2822" s="96" t="s">
        <v>208</v>
      </c>
      <c r="E2822" s="43">
        <v>46066</v>
      </c>
      <c r="F2822" s="43">
        <v>46139</v>
      </c>
      <c r="G2822" s="96" t="s">
        <v>92</v>
      </c>
      <c r="H2822" s="96" t="s">
        <v>6505</v>
      </c>
      <c r="I2822" s="96" t="s">
        <v>194</v>
      </c>
      <c r="J2822" s="96" t="s">
        <v>216</v>
      </c>
      <c r="K2822" s="96" t="s">
        <v>157</v>
      </c>
      <c r="L2822">
        <v>73</v>
      </c>
      <c r="M2822" t="s">
        <v>28</v>
      </c>
      <c r="N2822" t="s">
        <v>32</v>
      </c>
      <c r="O2822" t="s">
        <v>150</v>
      </c>
      <c r="P2822">
        <v>2026</v>
      </c>
    </row>
    <row r="2823" spans="1:16" hidden="1" x14ac:dyDescent="0.25">
      <c r="A2823" s="96" t="s">
        <v>2</v>
      </c>
      <c r="B2823" s="96" t="s">
        <v>190</v>
      </c>
      <c r="C2823" s="96" t="s">
        <v>2735</v>
      </c>
      <c r="D2823" s="96" t="s">
        <v>192</v>
      </c>
      <c r="E2823" s="43">
        <v>45700</v>
      </c>
      <c r="F2823" s="43">
        <v>45792</v>
      </c>
      <c r="G2823" s="96" t="s">
        <v>92</v>
      </c>
      <c r="H2823" s="96" t="s">
        <v>6506</v>
      </c>
      <c r="I2823" s="96" t="s">
        <v>225</v>
      </c>
      <c r="J2823" s="96" t="s">
        <v>177</v>
      </c>
      <c r="K2823" s="96" t="s">
        <v>157</v>
      </c>
      <c r="L2823">
        <v>92</v>
      </c>
      <c r="M2823" t="s">
        <v>28</v>
      </c>
      <c r="N2823" t="s">
        <v>188</v>
      </c>
      <c r="O2823" t="s">
        <v>150</v>
      </c>
      <c r="P2823">
        <v>2025</v>
      </c>
    </row>
    <row r="2824" spans="1:16" hidden="1" x14ac:dyDescent="0.25">
      <c r="A2824" s="96" t="s">
        <v>2</v>
      </c>
      <c r="B2824" s="96" t="s">
        <v>211</v>
      </c>
      <c r="C2824" s="96" t="s">
        <v>2736</v>
      </c>
      <c r="D2824" s="96" t="s">
        <v>203</v>
      </c>
      <c r="E2824" s="43">
        <v>45824</v>
      </c>
      <c r="F2824" s="43">
        <v>45918</v>
      </c>
      <c r="G2824" s="96" t="s">
        <v>90</v>
      </c>
      <c r="H2824" s="96" t="s">
        <v>6507</v>
      </c>
      <c r="I2824" s="96" t="s">
        <v>157</v>
      </c>
      <c r="J2824" s="96" t="s">
        <v>283</v>
      </c>
      <c r="K2824" s="96" t="s">
        <v>217</v>
      </c>
      <c r="L2824">
        <v>94</v>
      </c>
      <c r="M2824" t="s">
        <v>28</v>
      </c>
      <c r="N2824" t="s">
        <v>184</v>
      </c>
      <c r="O2824" t="s">
        <v>170</v>
      </c>
      <c r="P2824">
        <v>2025</v>
      </c>
    </row>
    <row r="2825" spans="1:16" x14ac:dyDescent="0.25">
      <c r="A2825" s="96" t="s">
        <v>2</v>
      </c>
      <c r="B2825" s="96" t="s">
        <v>249</v>
      </c>
      <c r="C2825" s="96" t="s">
        <v>2737</v>
      </c>
      <c r="D2825" s="96" t="s">
        <v>208</v>
      </c>
      <c r="E2825" s="43">
        <v>46045</v>
      </c>
      <c r="F2825" s="43">
        <v>46151</v>
      </c>
      <c r="G2825" s="96" t="s">
        <v>92</v>
      </c>
      <c r="H2825" s="96" t="s">
        <v>6508</v>
      </c>
      <c r="I2825" s="96" t="s">
        <v>194</v>
      </c>
      <c r="J2825" s="96" t="s">
        <v>216</v>
      </c>
      <c r="K2825" s="96" t="s">
        <v>205</v>
      </c>
      <c r="L2825">
        <v>106</v>
      </c>
      <c r="M2825" t="s">
        <v>28</v>
      </c>
      <c r="N2825" t="s">
        <v>29</v>
      </c>
      <c r="O2825" t="s">
        <v>170</v>
      </c>
      <c r="P2825">
        <v>2026</v>
      </c>
    </row>
    <row r="2826" spans="1:16" x14ac:dyDescent="0.25">
      <c r="A2826" s="96" t="s">
        <v>2</v>
      </c>
      <c r="B2826" s="96" t="s">
        <v>274</v>
      </c>
      <c r="C2826" s="96" t="s">
        <v>6509</v>
      </c>
      <c r="D2826" s="96" t="s">
        <v>10</v>
      </c>
      <c r="E2826" s="43">
        <v>46028</v>
      </c>
      <c r="F2826" s="43">
        <v>46128</v>
      </c>
      <c r="G2826" s="96" t="s">
        <v>90</v>
      </c>
      <c r="H2826" s="96" t="s">
        <v>2630</v>
      </c>
      <c r="I2826" s="96" t="s">
        <v>194</v>
      </c>
      <c r="J2826" s="96" t="s">
        <v>176</v>
      </c>
      <c r="K2826" s="96" t="s">
        <v>217</v>
      </c>
      <c r="L2826">
        <v>100</v>
      </c>
      <c r="M2826" t="s">
        <v>28</v>
      </c>
      <c r="N2826" t="s">
        <v>29</v>
      </c>
      <c r="O2826" t="s">
        <v>170</v>
      </c>
      <c r="P2826">
        <v>2026</v>
      </c>
    </row>
    <row r="2827" spans="1:16" hidden="1" x14ac:dyDescent="0.25">
      <c r="A2827" s="96" t="s">
        <v>2</v>
      </c>
      <c r="B2827" s="96" t="s">
        <v>213</v>
      </c>
      <c r="C2827" s="96" t="s">
        <v>2738</v>
      </c>
      <c r="D2827" s="96" t="s">
        <v>223</v>
      </c>
      <c r="E2827" s="43">
        <v>45910</v>
      </c>
      <c r="F2827" s="43">
        <v>45965</v>
      </c>
      <c r="G2827" s="96" t="s">
        <v>92</v>
      </c>
      <c r="H2827" s="96" t="s">
        <v>6510</v>
      </c>
      <c r="I2827" s="96" t="s">
        <v>157</v>
      </c>
      <c r="J2827" s="96" t="s">
        <v>177</v>
      </c>
      <c r="K2827" s="96" t="s">
        <v>195</v>
      </c>
      <c r="L2827">
        <v>55</v>
      </c>
      <c r="M2827" t="s">
        <v>24</v>
      </c>
      <c r="N2827" t="s">
        <v>12</v>
      </c>
      <c r="O2827" t="s">
        <v>149</v>
      </c>
      <c r="P2827">
        <v>2025</v>
      </c>
    </row>
    <row r="2828" spans="1:16" hidden="1" x14ac:dyDescent="0.25">
      <c r="A2828" s="96" t="s">
        <v>2</v>
      </c>
      <c r="B2828" s="96" t="s">
        <v>231</v>
      </c>
      <c r="C2828" s="96" t="s">
        <v>2739</v>
      </c>
      <c r="D2828" s="96" t="s">
        <v>10</v>
      </c>
      <c r="E2828" s="43">
        <v>45680</v>
      </c>
      <c r="F2828" s="43">
        <v>45734</v>
      </c>
      <c r="G2828" s="96" t="s">
        <v>90</v>
      </c>
      <c r="H2828" s="96" t="s">
        <v>2633</v>
      </c>
      <c r="I2828" s="96" t="s">
        <v>204</v>
      </c>
      <c r="J2828" s="96" t="s">
        <v>97</v>
      </c>
      <c r="K2828" s="96" t="s">
        <v>217</v>
      </c>
      <c r="L2828">
        <v>54</v>
      </c>
      <c r="M2828" t="s">
        <v>24</v>
      </c>
      <c r="N2828" t="s">
        <v>181</v>
      </c>
      <c r="O2828" t="s">
        <v>170</v>
      </c>
      <c r="P2828">
        <v>2025</v>
      </c>
    </row>
    <row r="2829" spans="1:16" x14ac:dyDescent="0.25">
      <c r="A2829" s="96" t="s">
        <v>2</v>
      </c>
      <c r="B2829" s="96" t="s">
        <v>249</v>
      </c>
      <c r="C2829" s="96" t="s">
        <v>6511</v>
      </c>
      <c r="D2829" s="96" t="s">
        <v>237</v>
      </c>
      <c r="E2829" s="43">
        <v>46102</v>
      </c>
      <c r="F2829" s="43">
        <v>46151</v>
      </c>
      <c r="G2829" s="96" t="s">
        <v>90</v>
      </c>
      <c r="H2829" s="96" t="s">
        <v>2634</v>
      </c>
      <c r="I2829" s="96" t="s">
        <v>9</v>
      </c>
      <c r="J2829" s="96" t="s">
        <v>176</v>
      </c>
      <c r="K2829" s="96" t="s">
        <v>195</v>
      </c>
      <c r="L2829">
        <v>49</v>
      </c>
      <c r="M2829" t="s">
        <v>24</v>
      </c>
      <c r="N2829" t="s">
        <v>35</v>
      </c>
      <c r="O2829" t="s">
        <v>170</v>
      </c>
      <c r="P2829">
        <v>2026</v>
      </c>
    </row>
    <row r="2830" spans="1:16" hidden="1" x14ac:dyDescent="0.25">
      <c r="A2830" s="96" t="s">
        <v>2</v>
      </c>
      <c r="B2830" s="96" t="s">
        <v>221</v>
      </c>
      <c r="C2830" s="96" t="s">
        <v>2740</v>
      </c>
      <c r="D2830" s="96" t="s">
        <v>14</v>
      </c>
      <c r="E2830" s="43">
        <v>46015</v>
      </c>
      <c r="F2830" s="43">
        <v>46039</v>
      </c>
      <c r="G2830" s="96" t="s">
        <v>92</v>
      </c>
      <c r="H2830" s="96" t="s">
        <v>2636</v>
      </c>
      <c r="I2830" s="96" t="s">
        <v>209</v>
      </c>
      <c r="J2830" s="96" t="s">
        <v>96</v>
      </c>
      <c r="K2830" s="96" t="s">
        <v>157</v>
      </c>
      <c r="L2830">
        <v>24</v>
      </c>
      <c r="M2830" t="s">
        <v>19</v>
      </c>
      <c r="N2830" t="s">
        <v>25</v>
      </c>
      <c r="O2830" t="s">
        <v>170</v>
      </c>
      <c r="P2830">
        <v>2025</v>
      </c>
    </row>
    <row r="2831" spans="1:16" x14ac:dyDescent="0.25">
      <c r="A2831" s="96" t="s">
        <v>171</v>
      </c>
      <c r="B2831" s="96" t="s">
        <v>218</v>
      </c>
      <c r="C2831" s="96" t="s">
        <v>2742</v>
      </c>
      <c r="D2831" s="96" t="s">
        <v>215</v>
      </c>
      <c r="E2831" s="43">
        <v>46134</v>
      </c>
      <c r="F2831" s="43">
        <v>46149</v>
      </c>
      <c r="G2831" s="96" t="s">
        <v>95</v>
      </c>
      <c r="H2831" s="96" t="s">
        <v>2638</v>
      </c>
      <c r="I2831" s="96" t="s">
        <v>157</v>
      </c>
      <c r="J2831" s="96" t="s">
        <v>216</v>
      </c>
      <c r="K2831" s="96" t="s">
        <v>200</v>
      </c>
      <c r="L2831">
        <v>15</v>
      </c>
      <c r="M2831" t="s">
        <v>19</v>
      </c>
      <c r="N2831" t="s">
        <v>37</v>
      </c>
      <c r="O2831" t="s">
        <v>152</v>
      </c>
      <c r="P2831">
        <v>2026</v>
      </c>
    </row>
    <row r="2832" spans="1:16" hidden="1" x14ac:dyDescent="0.25">
      <c r="A2832" s="96" t="s">
        <v>175</v>
      </c>
      <c r="B2832" s="96" t="s">
        <v>213</v>
      </c>
      <c r="C2832" s="96" t="s">
        <v>2743</v>
      </c>
      <c r="D2832" s="96" t="s">
        <v>34</v>
      </c>
      <c r="E2832" s="43">
        <v>45759</v>
      </c>
      <c r="F2832" s="43">
        <v>45854</v>
      </c>
      <c r="G2832" s="96" t="s">
        <v>92</v>
      </c>
      <c r="H2832" s="96" t="s">
        <v>2640</v>
      </c>
      <c r="I2832" s="96" t="s">
        <v>228</v>
      </c>
      <c r="J2832" s="96" t="s">
        <v>174</v>
      </c>
      <c r="K2832" s="96" t="s">
        <v>195</v>
      </c>
      <c r="L2832">
        <v>95</v>
      </c>
      <c r="M2832" t="s">
        <v>28</v>
      </c>
      <c r="N2832" t="s">
        <v>185</v>
      </c>
      <c r="O2832" t="s">
        <v>149</v>
      </c>
      <c r="P2832">
        <v>2025</v>
      </c>
    </row>
    <row r="2833" spans="1:16" hidden="1" x14ac:dyDescent="0.25">
      <c r="A2833" s="96" t="s">
        <v>2</v>
      </c>
      <c r="B2833" s="96" t="s">
        <v>280</v>
      </c>
      <c r="C2833" s="96" t="s">
        <v>2744</v>
      </c>
      <c r="D2833" s="96" t="s">
        <v>215</v>
      </c>
      <c r="E2833" s="43">
        <v>45784</v>
      </c>
      <c r="F2833" s="43">
        <v>45890</v>
      </c>
      <c r="G2833" s="96" t="s">
        <v>92</v>
      </c>
      <c r="H2833" s="96" t="s">
        <v>6512</v>
      </c>
      <c r="I2833" s="96" t="s">
        <v>194</v>
      </c>
      <c r="J2833" s="96" t="s">
        <v>216</v>
      </c>
      <c r="K2833" s="96" t="s">
        <v>230</v>
      </c>
      <c r="L2833">
        <v>106</v>
      </c>
      <c r="M2833" t="s">
        <v>28</v>
      </c>
      <c r="N2833" t="s">
        <v>182</v>
      </c>
      <c r="O2833" t="s">
        <v>170</v>
      </c>
      <c r="P2833">
        <v>2025</v>
      </c>
    </row>
    <row r="2834" spans="1:16" hidden="1" x14ac:dyDescent="0.25">
      <c r="A2834" s="96" t="s">
        <v>2</v>
      </c>
      <c r="B2834" s="96" t="s">
        <v>264</v>
      </c>
      <c r="C2834" s="96" t="s">
        <v>2746</v>
      </c>
      <c r="D2834" s="96" t="s">
        <v>14</v>
      </c>
      <c r="E2834" s="43">
        <v>45884</v>
      </c>
      <c r="F2834" s="43">
        <v>45993</v>
      </c>
      <c r="G2834" s="96" t="s">
        <v>92</v>
      </c>
      <c r="H2834" s="96" t="s">
        <v>6513</v>
      </c>
      <c r="I2834" s="96" t="s">
        <v>204</v>
      </c>
      <c r="J2834" s="96" t="s">
        <v>94</v>
      </c>
      <c r="K2834" s="96" t="s">
        <v>230</v>
      </c>
      <c r="L2834">
        <v>109</v>
      </c>
      <c r="M2834" t="s">
        <v>28</v>
      </c>
      <c r="N2834" t="s">
        <v>8</v>
      </c>
      <c r="O2834" t="s">
        <v>152</v>
      </c>
      <c r="P2834">
        <v>2025</v>
      </c>
    </row>
    <row r="2835" spans="1:16" hidden="1" x14ac:dyDescent="0.25">
      <c r="A2835" s="96" t="s">
        <v>2</v>
      </c>
      <c r="B2835" s="96" t="s">
        <v>190</v>
      </c>
      <c r="C2835" s="96" t="s">
        <v>6514</v>
      </c>
      <c r="D2835" s="96" t="s">
        <v>208</v>
      </c>
      <c r="E2835" s="43">
        <v>45910</v>
      </c>
      <c r="F2835" s="43">
        <v>45947</v>
      </c>
      <c r="G2835" s="96" t="s">
        <v>92</v>
      </c>
      <c r="H2835" s="96" t="s">
        <v>6515</v>
      </c>
      <c r="I2835" s="96" t="s">
        <v>228</v>
      </c>
      <c r="J2835" s="96" t="s">
        <v>177</v>
      </c>
      <c r="K2835" s="96" t="s">
        <v>195</v>
      </c>
      <c r="L2835">
        <v>37</v>
      </c>
      <c r="M2835" t="s">
        <v>24</v>
      </c>
      <c r="N2835" t="s">
        <v>12</v>
      </c>
      <c r="O2835" t="s">
        <v>150</v>
      </c>
      <c r="P2835">
        <v>2025</v>
      </c>
    </row>
    <row r="2836" spans="1:16" x14ac:dyDescent="0.25">
      <c r="A2836" s="96" t="s">
        <v>2</v>
      </c>
      <c r="B2836" s="96" t="s">
        <v>317</v>
      </c>
      <c r="C2836" s="96" t="s">
        <v>2748</v>
      </c>
      <c r="D2836" s="96" t="s">
        <v>203</v>
      </c>
      <c r="E2836" s="43">
        <v>46126</v>
      </c>
      <c r="F2836" s="43">
        <v>46128</v>
      </c>
      <c r="G2836" s="96" t="s">
        <v>92</v>
      </c>
      <c r="H2836" s="96" t="s">
        <v>6516</v>
      </c>
      <c r="I2836" s="96" t="s">
        <v>157</v>
      </c>
      <c r="J2836" s="96" t="s">
        <v>97</v>
      </c>
      <c r="K2836" s="96" t="s">
        <v>233</v>
      </c>
      <c r="L2836">
        <v>2</v>
      </c>
      <c r="M2836" t="s">
        <v>11</v>
      </c>
      <c r="N2836" t="s">
        <v>37</v>
      </c>
      <c r="O2836" t="s">
        <v>170</v>
      </c>
      <c r="P2836">
        <v>2026</v>
      </c>
    </row>
    <row r="2837" spans="1:16" x14ac:dyDescent="0.25">
      <c r="A2837" s="96" t="s">
        <v>2</v>
      </c>
      <c r="B2837" s="96" t="s">
        <v>317</v>
      </c>
      <c r="C2837" s="96" t="s">
        <v>2750</v>
      </c>
      <c r="D2837" s="96" t="s">
        <v>192</v>
      </c>
      <c r="E2837" s="43">
        <v>46125</v>
      </c>
      <c r="F2837" s="43">
        <v>46136</v>
      </c>
      <c r="G2837" s="96" t="s">
        <v>92</v>
      </c>
      <c r="H2837" s="96" t="s">
        <v>6517</v>
      </c>
      <c r="I2837" s="96" t="s">
        <v>9</v>
      </c>
      <c r="J2837" s="96" t="s">
        <v>168</v>
      </c>
      <c r="K2837" s="96" t="s">
        <v>205</v>
      </c>
      <c r="L2837">
        <v>11</v>
      </c>
      <c r="M2837" t="s">
        <v>15</v>
      </c>
      <c r="N2837" t="s">
        <v>37</v>
      </c>
      <c r="O2837" t="s">
        <v>170</v>
      </c>
      <c r="P2837">
        <v>2026</v>
      </c>
    </row>
    <row r="2838" spans="1:16" x14ac:dyDescent="0.25">
      <c r="A2838" s="96" t="s">
        <v>2</v>
      </c>
      <c r="B2838" s="96" t="s">
        <v>226</v>
      </c>
      <c r="C2838" s="96" t="s">
        <v>2752</v>
      </c>
      <c r="D2838" s="96" t="s">
        <v>208</v>
      </c>
      <c r="E2838" s="43">
        <v>46096</v>
      </c>
      <c r="F2838" s="43">
        <v>46146</v>
      </c>
      <c r="G2838" s="96" t="s">
        <v>90</v>
      </c>
      <c r="H2838" s="96" t="s">
        <v>6518</v>
      </c>
      <c r="I2838" s="96" t="s">
        <v>209</v>
      </c>
      <c r="J2838" s="96" t="s">
        <v>93</v>
      </c>
      <c r="K2838" s="96" t="s">
        <v>210</v>
      </c>
      <c r="L2838">
        <v>50</v>
      </c>
      <c r="M2838" t="s">
        <v>24</v>
      </c>
      <c r="N2838" t="s">
        <v>35</v>
      </c>
      <c r="O2838" t="s">
        <v>151</v>
      </c>
      <c r="P2838">
        <v>2026</v>
      </c>
    </row>
    <row r="2839" spans="1:16" hidden="1" x14ac:dyDescent="0.25">
      <c r="A2839" s="96" t="s">
        <v>175</v>
      </c>
      <c r="B2839" s="96" t="s">
        <v>253</v>
      </c>
      <c r="C2839" s="96" t="s">
        <v>2753</v>
      </c>
      <c r="D2839" s="96" t="s">
        <v>10</v>
      </c>
      <c r="E2839" s="43">
        <v>45667</v>
      </c>
      <c r="F2839" s="43">
        <v>45711</v>
      </c>
      <c r="G2839" s="96" t="s">
        <v>95</v>
      </c>
      <c r="H2839" s="96" t="s">
        <v>6519</v>
      </c>
      <c r="I2839" s="96" t="s">
        <v>209</v>
      </c>
      <c r="J2839" s="96" t="s">
        <v>229</v>
      </c>
      <c r="K2839" s="96" t="s">
        <v>157</v>
      </c>
      <c r="L2839">
        <v>44</v>
      </c>
      <c r="M2839" t="s">
        <v>24</v>
      </c>
      <c r="N2839" t="s">
        <v>181</v>
      </c>
      <c r="O2839" t="s">
        <v>152</v>
      </c>
      <c r="P2839">
        <v>2025</v>
      </c>
    </row>
    <row r="2840" spans="1:16" hidden="1" x14ac:dyDescent="0.25">
      <c r="A2840" s="96" t="s">
        <v>2</v>
      </c>
      <c r="B2840" s="96" t="s">
        <v>253</v>
      </c>
      <c r="C2840" s="96" t="s">
        <v>6520</v>
      </c>
      <c r="D2840" s="96" t="s">
        <v>237</v>
      </c>
      <c r="E2840" s="43">
        <v>45869</v>
      </c>
      <c r="F2840" s="43">
        <v>45915</v>
      </c>
      <c r="G2840" s="96" t="s">
        <v>92</v>
      </c>
      <c r="H2840" s="96" t="s">
        <v>6521</v>
      </c>
      <c r="I2840" s="96" t="s">
        <v>228</v>
      </c>
      <c r="J2840" s="96" t="s">
        <v>169</v>
      </c>
      <c r="K2840" s="96" t="s">
        <v>217</v>
      </c>
      <c r="L2840">
        <v>46</v>
      </c>
      <c r="M2840" t="s">
        <v>24</v>
      </c>
      <c r="N2840" t="s">
        <v>187</v>
      </c>
      <c r="O2840" t="s">
        <v>152</v>
      </c>
      <c r="P2840">
        <v>2025</v>
      </c>
    </row>
    <row r="2841" spans="1:16" x14ac:dyDescent="0.25">
      <c r="A2841" s="96" t="s">
        <v>171</v>
      </c>
      <c r="B2841" s="96" t="s">
        <v>274</v>
      </c>
      <c r="C2841" s="96" t="s">
        <v>2754</v>
      </c>
      <c r="D2841" s="96" t="s">
        <v>203</v>
      </c>
      <c r="E2841" s="43">
        <v>46078</v>
      </c>
      <c r="F2841" s="43">
        <v>46150</v>
      </c>
      <c r="G2841" s="96" t="s">
        <v>92</v>
      </c>
      <c r="H2841" s="96" t="s">
        <v>6522</v>
      </c>
      <c r="I2841" s="96" t="s">
        <v>9</v>
      </c>
      <c r="J2841" s="96" t="s">
        <v>229</v>
      </c>
      <c r="K2841" s="96" t="s">
        <v>205</v>
      </c>
      <c r="L2841">
        <v>72</v>
      </c>
      <c r="M2841" t="s">
        <v>28</v>
      </c>
      <c r="N2841" t="s">
        <v>32</v>
      </c>
      <c r="O2841" t="s">
        <v>170</v>
      </c>
      <c r="P2841">
        <v>2026</v>
      </c>
    </row>
    <row r="2842" spans="1:16" hidden="1" x14ac:dyDescent="0.25">
      <c r="A2842" s="96" t="s">
        <v>175</v>
      </c>
      <c r="B2842" s="96" t="s">
        <v>257</v>
      </c>
      <c r="C2842" s="96" t="s">
        <v>6523</v>
      </c>
      <c r="D2842" s="96" t="s">
        <v>215</v>
      </c>
      <c r="E2842" s="43">
        <v>45942</v>
      </c>
      <c r="F2842" s="43">
        <v>45999</v>
      </c>
      <c r="G2842" s="96" t="s">
        <v>92</v>
      </c>
      <c r="H2842" s="96" t="s">
        <v>6524</v>
      </c>
      <c r="I2842" s="96" t="s">
        <v>209</v>
      </c>
      <c r="J2842" s="96" t="s">
        <v>93</v>
      </c>
      <c r="K2842" s="96" t="s">
        <v>205</v>
      </c>
      <c r="L2842">
        <v>57</v>
      </c>
      <c r="M2842" t="s">
        <v>24</v>
      </c>
      <c r="N2842" t="s">
        <v>16</v>
      </c>
      <c r="O2842" t="s">
        <v>151</v>
      </c>
      <c r="P2842">
        <v>2025</v>
      </c>
    </row>
    <row r="2843" spans="1:16" hidden="1" x14ac:dyDescent="0.25">
      <c r="A2843" s="96" t="s">
        <v>2</v>
      </c>
      <c r="B2843" s="96" t="s">
        <v>240</v>
      </c>
      <c r="C2843" s="96" t="s">
        <v>2755</v>
      </c>
      <c r="D2843" s="96" t="s">
        <v>192</v>
      </c>
      <c r="E2843" s="43">
        <v>45987</v>
      </c>
      <c r="F2843" s="43">
        <v>46070</v>
      </c>
      <c r="G2843" s="96" t="s">
        <v>92</v>
      </c>
      <c r="H2843" s="96" t="s">
        <v>2647</v>
      </c>
      <c r="I2843" s="96" t="s">
        <v>204</v>
      </c>
      <c r="J2843" s="96" t="s">
        <v>93</v>
      </c>
      <c r="K2843" s="96" t="s">
        <v>217</v>
      </c>
      <c r="L2843">
        <v>83</v>
      </c>
      <c r="M2843" t="s">
        <v>28</v>
      </c>
      <c r="N2843" t="s">
        <v>20</v>
      </c>
      <c r="O2843" t="s">
        <v>149</v>
      </c>
      <c r="P2843">
        <v>2025</v>
      </c>
    </row>
    <row r="2844" spans="1:16" x14ac:dyDescent="0.25">
      <c r="A2844" s="96" t="s">
        <v>2</v>
      </c>
      <c r="B2844" s="96" t="s">
        <v>244</v>
      </c>
      <c r="C2844" s="96" t="s">
        <v>2756</v>
      </c>
      <c r="D2844" s="96" t="s">
        <v>40</v>
      </c>
      <c r="E2844" s="43">
        <v>46049</v>
      </c>
      <c r="F2844" s="43">
        <v>46117</v>
      </c>
      <c r="G2844" s="96" t="s">
        <v>92</v>
      </c>
      <c r="H2844" s="96" t="s">
        <v>2649</v>
      </c>
      <c r="I2844" s="96" t="s">
        <v>228</v>
      </c>
      <c r="J2844" s="96" t="s">
        <v>229</v>
      </c>
      <c r="K2844" s="96" t="s">
        <v>246</v>
      </c>
      <c r="L2844">
        <v>68</v>
      </c>
      <c r="M2844" t="s">
        <v>28</v>
      </c>
      <c r="N2844" t="s">
        <v>29</v>
      </c>
      <c r="O2844" t="s">
        <v>150</v>
      </c>
      <c r="P2844">
        <v>2026</v>
      </c>
    </row>
    <row r="2845" spans="1:16" hidden="1" x14ac:dyDescent="0.25">
      <c r="A2845" s="96" t="s">
        <v>2</v>
      </c>
      <c r="B2845" s="96" t="s">
        <v>255</v>
      </c>
      <c r="C2845" s="96" t="s">
        <v>6525</v>
      </c>
      <c r="D2845" s="96" t="s">
        <v>14</v>
      </c>
      <c r="E2845" s="43">
        <v>45833</v>
      </c>
      <c r="F2845" s="43">
        <v>45854</v>
      </c>
      <c r="G2845" s="96" t="s">
        <v>95</v>
      </c>
      <c r="H2845" s="96" t="s">
        <v>2651</v>
      </c>
      <c r="I2845" s="96" t="s">
        <v>157</v>
      </c>
      <c r="J2845" s="96" t="s">
        <v>229</v>
      </c>
      <c r="K2845" s="96" t="s">
        <v>233</v>
      </c>
      <c r="L2845">
        <v>21</v>
      </c>
      <c r="M2845" t="s">
        <v>19</v>
      </c>
      <c r="N2845" t="s">
        <v>184</v>
      </c>
      <c r="O2845" t="s">
        <v>150</v>
      </c>
      <c r="P2845">
        <v>2025</v>
      </c>
    </row>
    <row r="2846" spans="1:16" x14ac:dyDescent="0.25">
      <c r="A2846" s="96" t="s">
        <v>2</v>
      </c>
      <c r="B2846" s="96" t="s">
        <v>201</v>
      </c>
      <c r="C2846" s="96" t="s">
        <v>2757</v>
      </c>
      <c r="D2846" s="96" t="s">
        <v>203</v>
      </c>
      <c r="E2846" s="43">
        <v>46132</v>
      </c>
      <c r="F2846" s="43">
        <v>46148</v>
      </c>
      <c r="G2846" s="96" t="s">
        <v>92</v>
      </c>
      <c r="H2846" s="96" t="s">
        <v>2652</v>
      </c>
      <c r="I2846" s="96" t="s">
        <v>228</v>
      </c>
      <c r="J2846" s="96" t="s">
        <v>93</v>
      </c>
      <c r="K2846" s="96" t="s">
        <v>157</v>
      </c>
      <c r="L2846">
        <v>16</v>
      </c>
      <c r="M2846" t="s">
        <v>19</v>
      </c>
      <c r="N2846" t="s">
        <v>37</v>
      </c>
      <c r="O2846" t="s">
        <v>170</v>
      </c>
      <c r="P2846">
        <v>2026</v>
      </c>
    </row>
    <row r="2847" spans="1:16" hidden="1" x14ac:dyDescent="0.25">
      <c r="A2847" s="96" t="s">
        <v>175</v>
      </c>
      <c r="B2847" s="96" t="s">
        <v>255</v>
      </c>
      <c r="C2847" s="96" t="s">
        <v>2758</v>
      </c>
      <c r="D2847" s="96" t="s">
        <v>203</v>
      </c>
      <c r="E2847" s="43">
        <v>46019</v>
      </c>
      <c r="F2847" s="43">
        <v>46059</v>
      </c>
      <c r="G2847" s="96" t="s">
        <v>92</v>
      </c>
      <c r="H2847" s="96" t="s">
        <v>6526</v>
      </c>
      <c r="I2847" s="96" t="s">
        <v>157</v>
      </c>
      <c r="J2847" s="96" t="s">
        <v>174</v>
      </c>
      <c r="K2847" s="96" t="s">
        <v>230</v>
      </c>
      <c r="L2847">
        <v>40</v>
      </c>
      <c r="M2847" t="s">
        <v>24</v>
      </c>
      <c r="N2847" t="s">
        <v>25</v>
      </c>
      <c r="O2847" t="s">
        <v>150</v>
      </c>
      <c r="P2847">
        <v>2025</v>
      </c>
    </row>
    <row r="2848" spans="1:16" hidden="1" x14ac:dyDescent="0.25">
      <c r="A2848" s="96" t="s">
        <v>2</v>
      </c>
      <c r="B2848" s="96" t="s">
        <v>253</v>
      </c>
      <c r="C2848" s="96" t="s">
        <v>2759</v>
      </c>
      <c r="D2848" s="96" t="s">
        <v>192</v>
      </c>
      <c r="E2848" s="43">
        <v>45679</v>
      </c>
      <c r="F2848" s="43">
        <v>45760</v>
      </c>
      <c r="G2848" s="96" t="s">
        <v>92</v>
      </c>
      <c r="H2848" s="96" t="s">
        <v>2655</v>
      </c>
      <c r="I2848" s="96" t="s">
        <v>228</v>
      </c>
      <c r="J2848" s="96" t="s">
        <v>176</v>
      </c>
      <c r="K2848" s="96" t="s">
        <v>205</v>
      </c>
      <c r="L2848">
        <v>81</v>
      </c>
      <c r="M2848" t="s">
        <v>28</v>
      </c>
      <c r="N2848" t="s">
        <v>181</v>
      </c>
      <c r="O2848" t="s">
        <v>152</v>
      </c>
      <c r="P2848">
        <v>2025</v>
      </c>
    </row>
    <row r="2849" spans="1:16" hidden="1" x14ac:dyDescent="0.25">
      <c r="A2849" s="96" t="s">
        <v>171</v>
      </c>
      <c r="B2849" s="96" t="s">
        <v>264</v>
      </c>
      <c r="C2849" s="96" t="s">
        <v>2760</v>
      </c>
      <c r="D2849" s="96" t="s">
        <v>203</v>
      </c>
      <c r="E2849" s="43">
        <v>45759</v>
      </c>
      <c r="F2849" s="43">
        <v>45855</v>
      </c>
      <c r="G2849" s="96" t="s">
        <v>95</v>
      </c>
      <c r="H2849" s="96" t="s">
        <v>6527</v>
      </c>
      <c r="I2849" s="96" t="s">
        <v>9</v>
      </c>
      <c r="J2849" s="96" t="s">
        <v>168</v>
      </c>
      <c r="K2849" s="96" t="s">
        <v>230</v>
      </c>
      <c r="L2849">
        <v>96</v>
      </c>
      <c r="M2849" t="s">
        <v>28</v>
      </c>
      <c r="N2849" t="s">
        <v>185</v>
      </c>
      <c r="O2849" t="s">
        <v>152</v>
      </c>
      <c r="P2849">
        <v>2025</v>
      </c>
    </row>
    <row r="2850" spans="1:16" hidden="1" x14ac:dyDescent="0.25">
      <c r="A2850" s="96" t="s">
        <v>175</v>
      </c>
      <c r="B2850" s="96" t="s">
        <v>247</v>
      </c>
      <c r="C2850" s="96" t="s">
        <v>2761</v>
      </c>
      <c r="D2850" s="96" t="s">
        <v>14</v>
      </c>
      <c r="E2850" s="43">
        <v>45858</v>
      </c>
      <c r="F2850" s="43">
        <v>45864</v>
      </c>
      <c r="G2850" s="96" t="s">
        <v>95</v>
      </c>
      <c r="H2850" s="96" t="s">
        <v>6528</v>
      </c>
      <c r="I2850" s="96" t="s">
        <v>204</v>
      </c>
      <c r="J2850" s="96" t="s">
        <v>91</v>
      </c>
      <c r="K2850" s="96" t="s">
        <v>195</v>
      </c>
      <c r="L2850">
        <v>6</v>
      </c>
      <c r="M2850" t="s">
        <v>11</v>
      </c>
      <c r="N2850" t="s">
        <v>187</v>
      </c>
      <c r="O2850" t="s">
        <v>150</v>
      </c>
      <c r="P2850">
        <v>2025</v>
      </c>
    </row>
    <row r="2851" spans="1:16" hidden="1" x14ac:dyDescent="0.25">
      <c r="A2851" s="96" t="s">
        <v>2</v>
      </c>
      <c r="B2851" s="96" t="s">
        <v>221</v>
      </c>
      <c r="C2851" s="96" t="s">
        <v>2763</v>
      </c>
      <c r="D2851" s="96" t="s">
        <v>208</v>
      </c>
      <c r="E2851" s="43">
        <v>45896</v>
      </c>
      <c r="F2851" s="43">
        <v>46011</v>
      </c>
      <c r="G2851" s="96" t="s">
        <v>90</v>
      </c>
      <c r="H2851" s="96" t="s">
        <v>6529</v>
      </c>
      <c r="I2851" s="96" t="s">
        <v>228</v>
      </c>
      <c r="J2851" s="96" t="s">
        <v>283</v>
      </c>
      <c r="K2851" s="96" t="s">
        <v>195</v>
      </c>
      <c r="L2851">
        <v>115</v>
      </c>
      <c r="M2851" t="s">
        <v>28</v>
      </c>
      <c r="N2851" t="s">
        <v>8</v>
      </c>
      <c r="O2851" t="s">
        <v>170</v>
      </c>
      <c r="P2851">
        <v>2025</v>
      </c>
    </row>
    <row r="2852" spans="1:16" hidden="1" x14ac:dyDescent="0.25">
      <c r="A2852" s="96" t="s">
        <v>2</v>
      </c>
      <c r="B2852" s="96" t="s">
        <v>264</v>
      </c>
      <c r="C2852" s="96" t="s">
        <v>2765</v>
      </c>
      <c r="D2852" s="96" t="s">
        <v>208</v>
      </c>
      <c r="E2852" s="43">
        <v>45988</v>
      </c>
      <c r="F2852" s="43">
        <v>46084</v>
      </c>
      <c r="G2852" s="96" t="s">
        <v>92</v>
      </c>
      <c r="H2852" s="96" t="s">
        <v>6530</v>
      </c>
      <c r="I2852" s="96" t="s">
        <v>228</v>
      </c>
      <c r="J2852" s="96" t="s">
        <v>169</v>
      </c>
      <c r="K2852" s="96" t="s">
        <v>233</v>
      </c>
      <c r="L2852">
        <v>96</v>
      </c>
      <c r="M2852" t="s">
        <v>28</v>
      </c>
      <c r="N2852" t="s">
        <v>20</v>
      </c>
      <c r="O2852" t="s">
        <v>152</v>
      </c>
      <c r="P2852">
        <v>2025</v>
      </c>
    </row>
    <row r="2853" spans="1:16" hidden="1" x14ac:dyDescent="0.25">
      <c r="A2853" s="96" t="s">
        <v>21</v>
      </c>
      <c r="B2853" s="96" t="s">
        <v>206</v>
      </c>
      <c r="C2853" s="96" t="s">
        <v>2766</v>
      </c>
      <c r="D2853" s="96" t="s">
        <v>203</v>
      </c>
      <c r="E2853" s="43">
        <v>45909</v>
      </c>
      <c r="F2853" s="43">
        <v>46006</v>
      </c>
      <c r="G2853" s="96" t="s">
        <v>92</v>
      </c>
      <c r="H2853" s="96" t="s">
        <v>6531</v>
      </c>
      <c r="I2853" s="96" t="s">
        <v>157</v>
      </c>
      <c r="J2853" s="96" t="s">
        <v>173</v>
      </c>
      <c r="K2853" s="96" t="s">
        <v>195</v>
      </c>
      <c r="L2853">
        <v>97</v>
      </c>
      <c r="M2853" t="s">
        <v>28</v>
      </c>
      <c r="N2853" t="s">
        <v>12</v>
      </c>
      <c r="O2853" t="s">
        <v>152</v>
      </c>
      <c r="P2853">
        <v>2025</v>
      </c>
    </row>
    <row r="2854" spans="1:16" x14ac:dyDescent="0.25">
      <c r="A2854" s="96" t="s">
        <v>2</v>
      </c>
      <c r="B2854" s="96" t="s">
        <v>219</v>
      </c>
      <c r="C2854" s="96" t="s">
        <v>2768</v>
      </c>
      <c r="D2854" s="96" t="s">
        <v>223</v>
      </c>
      <c r="E2854" s="43">
        <v>46114</v>
      </c>
      <c r="F2854" s="43">
        <v>46146</v>
      </c>
      <c r="G2854" s="96" t="s">
        <v>92</v>
      </c>
      <c r="H2854" s="96" t="s">
        <v>6532</v>
      </c>
      <c r="I2854" s="96" t="s">
        <v>9</v>
      </c>
      <c r="J2854" s="96" t="s">
        <v>177</v>
      </c>
      <c r="K2854" s="96" t="s">
        <v>200</v>
      </c>
      <c r="L2854">
        <v>32</v>
      </c>
      <c r="M2854" t="s">
        <v>24</v>
      </c>
      <c r="N2854" t="s">
        <v>37</v>
      </c>
      <c r="O2854" t="s">
        <v>149</v>
      </c>
      <c r="P2854">
        <v>2026</v>
      </c>
    </row>
    <row r="2855" spans="1:16" hidden="1" x14ac:dyDescent="0.25">
      <c r="A2855" s="96" t="s">
        <v>21</v>
      </c>
      <c r="B2855" s="96" t="s">
        <v>253</v>
      </c>
      <c r="C2855" s="96" t="s">
        <v>2769</v>
      </c>
      <c r="D2855" s="96" t="s">
        <v>40</v>
      </c>
      <c r="E2855" s="43">
        <v>45690</v>
      </c>
      <c r="F2855" s="43">
        <v>45773</v>
      </c>
      <c r="G2855" s="96" t="s">
        <v>90</v>
      </c>
      <c r="H2855" s="96" t="s">
        <v>6533</v>
      </c>
      <c r="I2855" s="96" t="s">
        <v>209</v>
      </c>
      <c r="J2855" s="96" t="s">
        <v>94</v>
      </c>
      <c r="K2855" s="96" t="s">
        <v>217</v>
      </c>
      <c r="L2855">
        <v>83</v>
      </c>
      <c r="M2855" t="s">
        <v>28</v>
      </c>
      <c r="N2855" t="s">
        <v>188</v>
      </c>
      <c r="O2855" t="s">
        <v>152</v>
      </c>
      <c r="P2855">
        <v>2025</v>
      </c>
    </row>
    <row r="2856" spans="1:16" hidden="1" x14ac:dyDescent="0.25">
      <c r="A2856" s="96" t="s">
        <v>2</v>
      </c>
      <c r="B2856" s="96" t="s">
        <v>257</v>
      </c>
      <c r="C2856" s="96" t="s">
        <v>2771</v>
      </c>
      <c r="D2856" s="96" t="s">
        <v>208</v>
      </c>
      <c r="E2856" s="43">
        <v>45833</v>
      </c>
      <c r="F2856" s="43">
        <v>45843</v>
      </c>
      <c r="G2856" s="96" t="s">
        <v>90</v>
      </c>
      <c r="H2856" s="96" t="s">
        <v>6534</v>
      </c>
      <c r="I2856" s="96" t="s">
        <v>225</v>
      </c>
      <c r="J2856" s="96" t="s">
        <v>177</v>
      </c>
      <c r="K2856" s="96" t="s">
        <v>217</v>
      </c>
      <c r="L2856">
        <v>10</v>
      </c>
      <c r="M2856" t="s">
        <v>15</v>
      </c>
      <c r="N2856" t="s">
        <v>184</v>
      </c>
      <c r="O2856" t="s">
        <v>151</v>
      </c>
      <c r="P2856">
        <v>2025</v>
      </c>
    </row>
    <row r="2857" spans="1:16" x14ac:dyDescent="0.25">
      <c r="A2857" s="96" t="s">
        <v>21</v>
      </c>
      <c r="B2857" s="96" t="s">
        <v>226</v>
      </c>
      <c r="C2857" s="96" t="s">
        <v>2773</v>
      </c>
      <c r="D2857" s="96" t="s">
        <v>34</v>
      </c>
      <c r="E2857" s="43">
        <v>46062</v>
      </c>
      <c r="F2857" s="43">
        <v>46104</v>
      </c>
      <c r="G2857" s="96" t="s">
        <v>90</v>
      </c>
      <c r="H2857" s="96" t="s">
        <v>6535</v>
      </c>
      <c r="I2857" s="96" t="s">
        <v>194</v>
      </c>
      <c r="J2857" s="96" t="s">
        <v>169</v>
      </c>
      <c r="K2857" s="96" t="s">
        <v>205</v>
      </c>
      <c r="L2857">
        <v>42</v>
      </c>
      <c r="M2857" t="s">
        <v>24</v>
      </c>
      <c r="N2857" t="s">
        <v>32</v>
      </c>
      <c r="O2857" t="s">
        <v>151</v>
      </c>
      <c r="P2857">
        <v>2026</v>
      </c>
    </row>
    <row r="2858" spans="1:16" hidden="1" x14ac:dyDescent="0.25">
      <c r="A2858" s="96" t="s">
        <v>2</v>
      </c>
      <c r="B2858" s="96" t="s">
        <v>272</v>
      </c>
      <c r="C2858" s="96" t="s">
        <v>2774</v>
      </c>
      <c r="D2858" s="96" t="s">
        <v>40</v>
      </c>
      <c r="E2858" s="43">
        <v>45943</v>
      </c>
      <c r="F2858" s="43">
        <v>46004</v>
      </c>
      <c r="G2858" s="96" t="s">
        <v>92</v>
      </c>
      <c r="H2858" s="96" t="s">
        <v>6536</v>
      </c>
      <c r="I2858" s="96" t="s">
        <v>194</v>
      </c>
      <c r="J2858" s="96" t="s">
        <v>199</v>
      </c>
      <c r="K2858" s="96" t="s">
        <v>230</v>
      </c>
      <c r="L2858">
        <v>61</v>
      </c>
      <c r="M2858" t="s">
        <v>28</v>
      </c>
      <c r="N2858" t="s">
        <v>16</v>
      </c>
      <c r="O2858" t="s">
        <v>151</v>
      </c>
      <c r="P2858">
        <v>2025</v>
      </c>
    </row>
    <row r="2859" spans="1:16" hidden="1" x14ac:dyDescent="0.25">
      <c r="A2859" s="96" t="s">
        <v>21</v>
      </c>
      <c r="B2859" s="96" t="s">
        <v>253</v>
      </c>
      <c r="C2859" s="96" t="s">
        <v>2775</v>
      </c>
      <c r="D2859" s="96" t="s">
        <v>237</v>
      </c>
      <c r="E2859" s="43">
        <v>45756</v>
      </c>
      <c r="F2859" s="43">
        <v>45814</v>
      </c>
      <c r="G2859" s="96" t="s">
        <v>90</v>
      </c>
      <c r="H2859" s="96" t="s">
        <v>6537</v>
      </c>
      <c r="I2859" s="96" t="s">
        <v>157</v>
      </c>
      <c r="J2859" s="96" t="s">
        <v>97</v>
      </c>
      <c r="K2859" s="96" t="s">
        <v>217</v>
      </c>
      <c r="L2859">
        <v>58</v>
      </c>
      <c r="M2859" t="s">
        <v>24</v>
      </c>
      <c r="N2859" t="s">
        <v>185</v>
      </c>
      <c r="O2859" t="s">
        <v>152</v>
      </c>
      <c r="P2859">
        <v>2025</v>
      </c>
    </row>
    <row r="2860" spans="1:16" x14ac:dyDescent="0.25">
      <c r="A2860" s="96" t="s">
        <v>2</v>
      </c>
      <c r="B2860" s="96" t="s">
        <v>302</v>
      </c>
      <c r="C2860" s="96" t="s">
        <v>2776</v>
      </c>
      <c r="D2860" s="96" t="s">
        <v>40</v>
      </c>
      <c r="E2860" s="43">
        <v>46069</v>
      </c>
      <c r="F2860" s="43">
        <v>46142</v>
      </c>
      <c r="G2860" s="96" t="s">
        <v>92</v>
      </c>
      <c r="H2860" s="96" t="s">
        <v>6538</v>
      </c>
      <c r="I2860" s="96" t="s">
        <v>204</v>
      </c>
      <c r="J2860" s="96" t="s">
        <v>168</v>
      </c>
      <c r="K2860" s="96" t="s">
        <v>195</v>
      </c>
      <c r="L2860">
        <v>73</v>
      </c>
      <c r="M2860" t="s">
        <v>28</v>
      </c>
      <c r="N2860" t="s">
        <v>32</v>
      </c>
      <c r="O2860" t="s">
        <v>150</v>
      </c>
      <c r="P2860">
        <v>2026</v>
      </c>
    </row>
    <row r="2861" spans="1:16" hidden="1" x14ac:dyDescent="0.25">
      <c r="A2861" s="96" t="s">
        <v>189</v>
      </c>
      <c r="B2861" s="96" t="s">
        <v>240</v>
      </c>
      <c r="C2861" s="96" t="s">
        <v>6539</v>
      </c>
      <c r="D2861" s="96" t="s">
        <v>192</v>
      </c>
      <c r="E2861" s="43">
        <v>46020</v>
      </c>
      <c r="F2861" s="43">
        <v>46130</v>
      </c>
      <c r="G2861" s="96" t="s">
        <v>90</v>
      </c>
      <c r="H2861" s="96" t="s">
        <v>6540</v>
      </c>
      <c r="I2861" s="96" t="s">
        <v>225</v>
      </c>
      <c r="J2861" s="96" t="s">
        <v>93</v>
      </c>
      <c r="K2861" s="96" t="s">
        <v>195</v>
      </c>
      <c r="L2861">
        <v>110</v>
      </c>
      <c r="M2861" t="s">
        <v>28</v>
      </c>
      <c r="N2861" t="s">
        <v>25</v>
      </c>
      <c r="O2861" t="s">
        <v>149</v>
      </c>
      <c r="P2861">
        <v>2025</v>
      </c>
    </row>
    <row r="2862" spans="1:16" hidden="1" x14ac:dyDescent="0.25">
      <c r="A2862" s="96" t="s">
        <v>2</v>
      </c>
      <c r="B2862" s="96" t="s">
        <v>221</v>
      </c>
      <c r="C2862" s="96" t="s">
        <v>6541</v>
      </c>
      <c r="D2862" s="96" t="s">
        <v>34</v>
      </c>
      <c r="E2862" s="43">
        <v>46017</v>
      </c>
      <c r="F2862" s="43">
        <v>46110</v>
      </c>
      <c r="G2862" s="96" t="s">
        <v>92</v>
      </c>
      <c r="H2862" s="96" t="s">
        <v>2667</v>
      </c>
      <c r="I2862" s="96" t="s">
        <v>194</v>
      </c>
      <c r="J2862" s="96" t="s">
        <v>229</v>
      </c>
      <c r="K2862" s="96" t="s">
        <v>230</v>
      </c>
      <c r="L2862">
        <v>93</v>
      </c>
      <c r="M2862" t="s">
        <v>28</v>
      </c>
      <c r="N2862" t="s">
        <v>25</v>
      </c>
      <c r="O2862" t="s">
        <v>170</v>
      </c>
      <c r="P2862">
        <v>2025</v>
      </c>
    </row>
    <row r="2863" spans="1:16" hidden="1" x14ac:dyDescent="0.25">
      <c r="A2863" s="96" t="s">
        <v>2</v>
      </c>
      <c r="B2863" s="96" t="s">
        <v>213</v>
      </c>
      <c r="C2863" s="96" t="s">
        <v>2778</v>
      </c>
      <c r="D2863" s="96" t="s">
        <v>223</v>
      </c>
      <c r="E2863" s="43">
        <v>45896</v>
      </c>
      <c r="F2863" s="43">
        <v>45910</v>
      </c>
      <c r="G2863" s="96" t="s">
        <v>92</v>
      </c>
      <c r="H2863" s="96" t="s">
        <v>6542</v>
      </c>
      <c r="I2863" s="96" t="s">
        <v>194</v>
      </c>
      <c r="J2863" s="96" t="s">
        <v>199</v>
      </c>
      <c r="K2863" s="96" t="s">
        <v>217</v>
      </c>
      <c r="L2863">
        <v>14</v>
      </c>
      <c r="M2863" t="s">
        <v>15</v>
      </c>
      <c r="N2863" t="s">
        <v>8</v>
      </c>
      <c r="O2863" t="s">
        <v>149</v>
      </c>
      <c r="P2863">
        <v>2025</v>
      </c>
    </row>
    <row r="2864" spans="1:16" hidden="1" x14ac:dyDescent="0.25">
      <c r="A2864" s="96" t="s">
        <v>2</v>
      </c>
      <c r="B2864" s="96" t="s">
        <v>240</v>
      </c>
      <c r="C2864" s="96" t="s">
        <v>2779</v>
      </c>
      <c r="D2864" s="96" t="s">
        <v>237</v>
      </c>
      <c r="E2864" s="43">
        <v>45768</v>
      </c>
      <c r="F2864" s="43">
        <v>45884</v>
      </c>
      <c r="G2864" s="96" t="s">
        <v>92</v>
      </c>
      <c r="H2864" s="96" t="s">
        <v>2670</v>
      </c>
      <c r="I2864" s="96" t="s">
        <v>225</v>
      </c>
      <c r="J2864" s="96" t="s">
        <v>96</v>
      </c>
      <c r="K2864" s="96" t="s">
        <v>217</v>
      </c>
      <c r="L2864">
        <v>116</v>
      </c>
      <c r="M2864" t="s">
        <v>28</v>
      </c>
      <c r="N2864" t="s">
        <v>185</v>
      </c>
      <c r="O2864" t="s">
        <v>149</v>
      </c>
      <c r="P2864">
        <v>2025</v>
      </c>
    </row>
    <row r="2865" spans="1:16" hidden="1" x14ac:dyDescent="0.25">
      <c r="A2865" s="96" t="s">
        <v>2</v>
      </c>
      <c r="B2865" s="96" t="s">
        <v>280</v>
      </c>
      <c r="C2865" s="96" t="s">
        <v>2780</v>
      </c>
      <c r="D2865" s="96" t="s">
        <v>203</v>
      </c>
      <c r="E2865" s="43">
        <v>45937</v>
      </c>
      <c r="F2865" s="43">
        <v>46004</v>
      </c>
      <c r="G2865" s="96" t="s">
        <v>95</v>
      </c>
      <c r="H2865" s="96" t="s">
        <v>2672</v>
      </c>
      <c r="I2865" s="96" t="s">
        <v>225</v>
      </c>
      <c r="J2865" s="96" t="s">
        <v>229</v>
      </c>
      <c r="K2865" s="96" t="s">
        <v>230</v>
      </c>
      <c r="L2865">
        <v>67</v>
      </c>
      <c r="M2865" t="s">
        <v>28</v>
      </c>
      <c r="N2865" t="s">
        <v>16</v>
      </c>
      <c r="O2865" t="s">
        <v>170</v>
      </c>
      <c r="P2865">
        <v>2025</v>
      </c>
    </row>
    <row r="2866" spans="1:16" hidden="1" x14ac:dyDescent="0.25">
      <c r="A2866" s="96" t="s">
        <v>2</v>
      </c>
      <c r="B2866" s="96" t="s">
        <v>190</v>
      </c>
      <c r="C2866" s="96" t="s">
        <v>2781</v>
      </c>
      <c r="D2866" s="96" t="s">
        <v>208</v>
      </c>
      <c r="E2866" s="43">
        <v>45980</v>
      </c>
      <c r="F2866" s="43">
        <v>46061</v>
      </c>
      <c r="G2866" s="96" t="s">
        <v>92</v>
      </c>
      <c r="H2866" s="96" t="s">
        <v>2674</v>
      </c>
      <c r="I2866" s="96" t="s">
        <v>9</v>
      </c>
      <c r="J2866" s="96" t="s">
        <v>93</v>
      </c>
      <c r="K2866" s="96" t="s">
        <v>233</v>
      </c>
      <c r="L2866">
        <v>81</v>
      </c>
      <c r="M2866" t="s">
        <v>28</v>
      </c>
      <c r="N2866" t="s">
        <v>20</v>
      </c>
      <c r="O2866" t="s">
        <v>150</v>
      </c>
      <c r="P2866">
        <v>2025</v>
      </c>
    </row>
    <row r="2867" spans="1:16" hidden="1" x14ac:dyDescent="0.25">
      <c r="A2867" s="96" t="s">
        <v>2</v>
      </c>
      <c r="B2867" s="96" t="s">
        <v>253</v>
      </c>
      <c r="C2867" s="96" t="s">
        <v>2782</v>
      </c>
      <c r="D2867" s="96" t="s">
        <v>223</v>
      </c>
      <c r="E2867" s="43">
        <v>45884</v>
      </c>
      <c r="F2867" s="43">
        <v>45896</v>
      </c>
      <c r="G2867" s="96" t="s">
        <v>92</v>
      </c>
      <c r="H2867" s="96" t="s">
        <v>2676</v>
      </c>
      <c r="I2867" s="96" t="s">
        <v>194</v>
      </c>
      <c r="J2867" s="96" t="s">
        <v>98</v>
      </c>
      <c r="K2867" s="96" t="s">
        <v>200</v>
      </c>
      <c r="L2867">
        <v>12</v>
      </c>
      <c r="M2867" t="s">
        <v>15</v>
      </c>
      <c r="N2867" t="s">
        <v>8</v>
      </c>
      <c r="O2867" t="s">
        <v>152</v>
      </c>
      <c r="P2867">
        <v>2025</v>
      </c>
    </row>
    <row r="2868" spans="1:16" hidden="1" x14ac:dyDescent="0.25">
      <c r="A2868" s="96" t="s">
        <v>171</v>
      </c>
      <c r="B2868" s="96" t="s">
        <v>322</v>
      </c>
      <c r="C2868" s="96" t="s">
        <v>6543</v>
      </c>
      <c r="D2868" s="96" t="s">
        <v>40</v>
      </c>
      <c r="E2868" s="43">
        <v>45756</v>
      </c>
      <c r="F2868" s="43">
        <v>45797</v>
      </c>
      <c r="G2868" s="96" t="s">
        <v>92</v>
      </c>
      <c r="H2868" s="96" t="s">
        <v>2678</v>
      </c>
      <c r="I2868" s="96" t="s">
        <v>157</v>
      </c>
      <c r="J2868" s="96" t="s">
        <v>165</v>
      </c>
      <c r="K2868" s="96" t="s">
        <v>205</v>
      </c>
      <c r="L2868">
        <v>41</v>
      </c>
      <c r="M2868" t="s">
        <v>24</v>
      </c>
      <c r="N2868" t="s">
        <v>185</v>
      </c>
      <c r="O2868" t="s">
        <v>150</v>
      </c>
      <c r="P2868">
        <v>2025</v>
      </c>
    </row>
    <row r="2869" spans="1:16" x14ac:dyDescent="0.25">
      <c r="A2869" s="96" t="s">
        <v>2</v>
      </c>
      <c r="B2869" s="96" t="s">
        <v>196</v>
      </c>
      <c r="C2869" s="96" t="s">
        <v>2784</v>
      </c>
      <c r="D2869" s="96" t="s">
        <v>223</v>
      </c>
      <c r="E2869" s="43">
        <v>46084</v>
      </c>
      <c r="F2869" s="43">
        <v>46117</v>
      </c>
      <c r="G2869" s="96" t="s">
        <v>92</v>
      </c>
      <c r="H2869" s="96" t="s">
        <v>2680</v>
      </c>
      <c r="I2869" s="96" t="s">
        <v>204</v>
      </c>
      <c r="J2869" s="96" t="s">
        <v>169</v>
      </c>
      <c r="K2869" s="96" t="s">
        <v>210</v>
      </c>
      <c r="L2869">
        <v>33</v>
      </c>
      <c r="M2869" t="s">
        <v>24</v>
      </c>
      <c r="N2869" t="s">
        <v>35</v>
      </c>
      <c r="O2869" t="s">
        <v>152</v>
      </c>
      <c r="P2869">
        <v>2026</v>
      </c>
    </row>
    <row r="2870" spans="1:16" x14ac:dyDescent="0.25">
      <c r="A2870" s="96" t="s">
        <v>2</v>
      </c>
      <c r="B2870" s="96" t="s">
        <v>290</v>
      </c>
      <c r="C2870" s="96" t="s">
        <v>6544</v>
      </c>
      <c r="D2870" s="96" t="s">
        <v>208</v>
      </c>
      <c r="E2870" s="43">
        <v>46039</v>
      </c>
      <c r="F2870" s="43">
        <v>46111</v>
      </c>
      <c r="G2870" s="96" t="s">
        <v>92</v>
      </c>
      <c r="H2870" s="96" t="s">
        <v>2682</v>
      </c>
      <c r="I2870" s="96" t="s">
        <v>157</v>
      </c>
      <c r="J2870" s="96" t="s">
        <v>172</v>
      </c>
      <c r="K2870" s="96" t="s">
        <v>217</v>
      </c>
      <c r="L2870">
        <v>72</v>
      </c>
      <c r="M2870" t="s">
        <v>28</v>
      </c>
      <c r="N2870" t="s">
        <v>29</v>
      </c>
      <c r="O2870" t="s">
        <v>149</v>
      </c>
      <c r="P2870">
        <v>2026</v>
      </c>
    </row>
    <row r="2871" spans="1:16" hidden="1" x14ac:dyDescent="0.25">
      <c r="A2871" s="96" t="s">
        <v>175</v>
      </c>
      <c r="B2871" s="96" t="s">
        <v>231</v>
      </c>
      <c r="C2871" s="96" t="s">
        <v>2785</v>
      </c>
      <c r="D2871" s="96" t="s">
        <v>40</v>
      </c>
      <c r="E2871" s="43">
        <v>45992</v>
      </c>
      <c r="F2871" s="43">
        <v>46047</v>
      </c>
      <c r="G2871" s="96" t="s">
        <v>92</v>
      </c>
      <c r="H2871" s="96" t="s">
        <v>2684</v>
      </c>
      <c r="I2871" s="96" t="s">
        <v>204</v>
      </c>
      <c r="J2871" s="96" t="s">
        <v>94</v>
      </c>
      <c r="K2871" s="96" t="s">
        <v>157</v>
      </c>
      <c r="L2871">
        <v>55</v>
      </c>
      <c r="M2871" t="s">
        <v>24</v>
      </c>
      <c r="N2871" t="s">
        <v>25</v>
      </c>
      <c r="O2871" t="s">
        <v>170</v>
      </c>
      <c r="P2871">
        <v>2025</v>
      </c>
    </row>
    <row r="2872" spans="1:16" hidden="1" x14ac:dyDescent="0.25">
      <c r="A2872" s="96" t="s">
        <v>2</v>
      </c>
      <c r="B2872" s="96" t="s">
        <v>257</v>
      </c>
      <c r="C2872" s="96" t="s">
        <v>2786</v>
      </c>
      <c r="D2872" s="96" t="s">
        <v>223</v>
      </c>
      <c r="E2872" s="43">
        <v>45777</v>
      </c>
      <c r="F2872" s="43">
        <v>45790</v>
      </c>
      <c r="G2872" s="96" t="s">
        <v>92</v>
      </c>
      <c r="H2872" s="96" t="s">
        <v>2686</v>
      </c>
      <c r="I2872" s="96" t="s">
        <v>228</v>
      </c>
      <c r="J2872" s="96" t="s">
        <v>91</v>
      </c>
      <c r="K2872" s="96" t="s">
        <v>210</v>
      </c>
      <c r="L2872">
        <v>13</v>
      </c>
      <c r="M2872" t="s">
        <v>15</v>
      </c>
      <c r="N2872" t="s">
        <v>185</v>
      </c>
      <c r="O2872" t="s">
        <v>151</v>
      </c>
      <c r="P2872">
        <v>2025</v>
      </c>
    </row>
    <row r="2873" spans="1:16" hidden="1" x14ac:dyDescent="0.25">
      <c r="A2873" s="96" t="s">
        <v>2</v>
      </c>
      <c r="B2873" s="96" t="s">
        <v>280</v>
      </c>
      <c r="C2873" s="96" t="s">
        <v>2787</v>
      </c>
      <c r="D2873" s="96" t="s">
        <v>40</v>
      </c>
      <c r="E2873" s="43">
        <v>45775</v>
      </c>
      <c r="F2873" s="43">
        <v>45831</v>
      </c>
      <c r="G2873" s="96" t="s">
        <v>90</v>
      </c>
      <c r="H2873" s="96" t="s">
        <v>2688</v>
      </c>
      <c r="I2873" s="96" t="s">
        <v>228</v>
      </c>
      <c r="J2873" s="96" t="s">
        <v>169</v>
      </c>
      <c r="K2873" s="96" t="s">
        <v>233</v>
      </c>
      <c r="L2873">
        <v>56</v>
      </c>
      <c r="M2873" t="s">
        <v>24</v>
      </c>
      <c r="N2873" t="s">
        <v>185</v>
      </c>
      <c r="O2873" t="s">
        <v>170</v>
      </c>
      <c r="P2873">
        <v>2025</v>
      </c>
    </row>
    <row r="2874" spans="1:16" hidden="1" x14ac:dyDescent="0.25">
      <c r="A2874" s="96" t="s">
        <v>2</v>
      </c>
      <c r="B2874" s="96" t="s">
        <v>257</v>
      </c>
      <c r="C2874" s="96" t="s">
        <v>2789</v>
      </c>
      <c r="D2874" s="96" t="s">
        <v>203</v>
      </c>
      <c r="E2874" s="43">
        <v>45810</v>
      </c>
      <c r="F2874" s="43">
        <v>45873</v>
      </c>
      <c r="G2874" s="96" t="s">
        <v>95</v>
      </c>
      <c r="H2874" s="96" t="s">
        <v>6545</v>
      </c>
      <c r="I2874" s="96" t="s">
        <v>9</v>
      </c>
      <c r="J2874" s="96" t="s">
        <v>94</v>
      </c>
      <c r="K2874" s="96" t="s">
        <v>195</v>
      </c>
      <c r="L2874">
        <v>63</v>
      </c>
      <c r="M2874" t="s">
        <v>28</v>
      </c>
      <c r="N2874" t="s">
        <v>184</v>
      </c>
      <c r="O2874" t="s">
        <v>151</v>
      </c>
      <c r="P2874">
        <v>2025</v>
      </c>
    </row>
    <row r="2875" spans="1:16" hidden="1" x14ac:dyDescent="0.25">
      <c r="A2875" s="96" t="s">
        <v>171</v>
      </c>
      <c r="B2875" s="96" t="s">
        <v>253</v>
      </c>
      <c r="C2875" s="96" t="s">
        <v>6546</v>
      </c>
      <c r="D2875" s="96" t="s">
        <v>10</v>
      </c>
      <c r="E2875" s="43">
        <v>45673</v>
      </c>
      <c r="F2875" s="43">
        <v>45674</v>
      </c>
      <c r="G2875" s="96" t="s">
        <v>92</v>
      </c>
      <c r="H2875" s="96" t="s">
        <v>6547</v>
      </c>
      <c r="I2875" s="96" t="s">
        <v>9</v>
      </c>
      <c r="J2875" s="96" t="s">
        <v>91</v>
      </c>
      <c r="K2875" s="96" t="s">
        <v>233</v>
      </c>
      <c r="L2875">
        <v>1</v>
      </c>
      <c r="M2875" t="s">
        <v>11</v>
      </c>
      <c r="N2875" t="s">
        <v>181</v>
      </c>
      <c r="O2875" t="s">
        <v>152</v>
      </c>
      <c r="P2875">
        <v>2025</v>
      </c>
    </row>
    <row r="2876" spans="1:16" x14ac:dyDescent="0.25">
      <c r="A2876" s="96" t="s">
        <v>2</v>
      </c>
      <c r="B2876" s="96" t="s">
        <v>302</v>
      </c>
      <c r="C2876" s="96" t="s">
        <v>6548</v>
      </c>
      <c r="D2876" s="96" t="s">
        <v>34</v>
      </c>
      <c r="E2876" s="43">
        <v>46093</v>
      </c>
      <c r="F2876" s="43">
        <v>46121</v>
      </c>
      <c r="G2876" s="96" t="s">
        <v>92</v>
      </c>
      <c r="H2876" s="96" t="s">
        <v>2690</v>
      </c>
      <c r="I2876" s="96" t="s">
        <v>9</v>
      </c>
      <c r="J2876" s="96" t="s">
        <v>199</v>
      </c>
      <c r="K2876" s="96" t="s">
        <v>233</v>
      </c>
      <c r="L2876">
        <v>28</v>
      </c>
      <c r="M2876" t="s">
        <v>19</v>
      </c>
      <c r="N2876" t="s">
        <v>35</v>
      </c>
      <c r="O2876" t="s">
        <v>150</v>
      </c>
      <c r="P2876">
        <v>2026</v>
      </c>
    </row>
    <row r="2877" spans="1:16" x14ac:dyDescent="0.25">
      <c r="A2877" s="96" t="s">
        <v>2</v>
      </c>
      <c r="B2877" s="96" t="s">
        <v>249</v>
      </c>
      <c r="C2877" s="96" t="s">
        <v>2790</v>
      </c>
      <c r="D2877" s="96" t="s">
        <v>192</v>
      </c>
      <c r="E2877" s="43">
        <v>46111</v>
      </c>
      <c r="F2877" s="43">
        <v>46146</v>
      </c>
      <c r="G2877" s="96" t="s">
        <v>90</v>
      </c>
      <c r="H2877" s="96" t="s">
        <v>2692</v>
      </c>
      <c r="I2877" s="96" t="s">
        <v>9</v>
      </c>
      <c r="J2877" s="96" t="s">
        <v>216</v>
      </c>
      <c r="K2877" s="96" t="s">
        <v>233</v>
      </c>
      <c r="L2877">
        <v>35</v>
      </c>
      <c r="M2877" t="s">
        <v>24</v>
      </c>
      <c r="N2877" t="s">
        <v>35</v>
      </c>
      <c r="O2877" t="s">
        <v>170</v>
      </c>
      <c r="P2877">
        <v>2026</v>
      </c>
    </row>
    <row r="2878" spans="1:16" hidden="1" x14ac:dyDescent="0.25">
      <c r="A2878" s="96" t="s">
        <v>2</v>
      </c>
      <c r="B2878" s="96" t="s">
        <v>240</v>
      </c>
      <c r="C2878" s="96" t="s">
        <v>2791</v>
      </c>
      <c r="D2878" s="96" t="s">
        <v>223</v>
      </c>
      <c r="E2878" s="43">
        <v>45976</v>
      </c>
      <c r="F2878" s="43">
        <v>46079</v>
      </c>
      <c r="G2878" s="96" t="s">
        <v>92</v>
      </c>
      <c r="H2878" s="96" t="s">
        <v>2693</v>
      </c>
      <c r="I2878" s="96" t="s">
        <v>209</v>
      </c>
      <c r="J2878" s="96" t="s">
        <v>173</v>
      </c>
      <c r="K2878" s="96" t="s">
        <v>195</v>
      </c>
      <c r="L2878">
        <v>103</v>
      </c>
      <c r="M2878" t="s">
        <v>28</v>
      </c>
      <c r="N2878" t="s">
        <v>20</v>
      </c>
      <c r="O2878" t="s">
        <v>149</v>
      </c>
      <c r="P2878">
        <v>2025</v>
      </c>
    </row>
    <row r="2879" spans="1:16" x14ac:dyDescent="0.25">
      <c r="A2879" s="96" t="s">
        <v>175</v>
      </c>
      <c r="B2879" s="96" t="s">
        <v>288</v>
      </c>
      <c r="C2879" s="96" t="s">
        <v>6549</v>
      </c>
      <c r="D2879" s="96" t="s">
        <v>14</v>
      </c>
      <c r="E2879" s="43">
        <v>46117</v>
      </c>
      <c r="F2879" s="43">
        <v>46149</v>
      </c>
      <c r="G2879" s="96" t="s">
        <v>92</v>
      </c>
      <c r="H2879" s="96" t="s">
        <v>2695</v>
      </c>
      <c r="I2879" s="96" t="s">
        <v>194</v>
      </c>
      <c r="J2879" s="96" t="s">
        <v>169</v>
      </c>
      <c r="K2879" s="96" t="s">
        <v>195</v>
      </c>
      <c r="L2879">
        <v>32</v>
      </c>
      <c r="M2879" t="s">
        <v>24</v>
      </c>
      <c r="N2879" t="s">
        <v>37</v>
      </c>
      <c r="O2879" t="s">
        <v>170</v>
      </c>
      <c r="P2879">
        <v>2026</v>
      </c>
    </row>
    <row r="2880" spans="1:16" x14ac:dyDescent="0.25">
      <c r="A2880" s="96" t="s">
        <v>175</v>
      </c>
      <c r="B2880" s="96" t="s">
        <v>219</v>
      </c>
      <c r="C2880" s="96" t="s">
        <v>2792</v>
      </c>
      <c r="D2880" s="96" t="s">
        <v>215</v>
      </c>
      <c r="E2880" s="43">
        <v>46149</v>
      </c>
      <c r="F2880" s="43">
        <v>46150</v>
      </c>
      <c r="G2880" s="96" t="s">
        <v>92</v>
      </c>
      <c r="H2880" s="96" t="s">
        <v>2697</v>
      </c>
      <c r="I2880" s="96" t="s">
        <v>204</v>
      </c>
      <c r="J2880" s="96" t="s">
        <v>91</v>
      </c>
      <c r="K2880" s="96" t="s">
        <v>195</v>
      </c>
      <c r="L2880">
        <v>1</v>
      </c>
      <c r="M2880" t="s">
        <v>11</v>
      </c>
      <c r="N2880" t="s">
        <v>183</v>
      </c>
      <c r="O2880" t="s">
        <v>149</v>
      </c>
      <c r="P2880">
        <v>2026</v>
      </c>
    </row>
    <row r="2881" spans="1:16" hidden="1" x14ac:dyDescent="0.25">
      <c r="A2881" s="96" t="s">
        <v>2</v>
      </c>
      <c r="B2881" s="96" t="s">
        <v>264</v>
      </c>
      <c r="C2881" s="96" t="s">
        <v>2793</v>
      </c>
      <c r="D2881" s="96" t="s">
        <v>40</v>
      </c>
      <c r="E2881" s="43">
        <v>45749</v>
      </c>
      <c r="F2881" s="43">
        <v>45851</v>
      </c>
      <c r="G2881" s="96" t="s">
        <v>95</v>
      </c>
      <c r="H2881" s="96" t="s">
        <v>2699</v>
      </c>
      <c r="I2881" s="96" t="s">
        <v>228</v>
      </c>
      <c r="J2881" s="96" t="s">
        <v>216</v>
      </c>
      <c r="K2881" s="96" t="s">
        <v>195</v>
      </c>
      <c r="L2881">
        <v>102</v>
      </c>
      <c r="M2881" t="s">
        <v>28</v>
      </c>
      <c r="N2881" t="s">
        <v>185</v>
      </c>
      <c r="O2881" t="s">
        <v>152</v>
      </c>
      <c r="P2881">
        <v>2025</v>
      </c>
    </row>
    <row r="2882" spans="1:16" hidden="1" x14ac:dyDescent="0.25">
      <c r="A2882" s="96" t="s">
        <v>21</v>
      </c>
      <c r="B2882" s="96" t="s">
        <v>253</v>
      </c>
      <c r="C2882" s="96" t="s">
        <v>6550</v>
      </c>
      <c r="D2882" s="96" t="s">
        <v>14</v>
      </c>
      <c r="E2882" s="43">
        <v>45674</v>
      </c>
      <c r="F2882" s="43">
        <v>45782</v>
      </c>
      <c r="G2882" s="96" t="s">
        <v>90</v>
      </c>
      <c r="H2882" s="96" t="s">
        <v>6551</v>
      </c>
      <c r="I2882" s="96" t="s">
        <v>9</v>
      </c>
      <c r="J2882" s="96" t="s">
        <v>91</v>
      </c>
      <c r="K2882" s="96" t="s">
        <v>200</v>
      </c>
      <c r="L2882">
        <v>108</v>
      </c>
      <c r="M2882" t="s">
        <v>28</v>
      </c>
      <c r="N2882" t="s">
        <v>181</v>
      </c>
      <c r="O2882" t="s">
        <v>152</v>
      </c>
      <c r="P2882">
        <v>2025</v>
      </c>
    </row>
    <row r="2883" spans="1:16" hidden="1" x14ac:dyDescent="0.25">
      <c r="A2883" s="96" t="s">
        <v>171</v>
      </c>
      <c r="B2883" s="96" t="s">
        <v>322</v>
      </c>
      <c r="C2883" s="96" t="s">
        <v>2795</v>
      </c>
      <c r="D2883" s="96" t="s">
        <v>237</v>
      </c>
      <c r="E2883" s="43">
        <v>46005</v>
      </c>
      <c r="F2883" s="43">
        <v>46052</v>
      </c>
      <c r="G2883" s="96" t="s">
        <v>90</v>
      </c>
      <c r="H2883" s="96" t="s">
        <v>6552</v>
      </c>
      <c r="I2883" s="96" t="s">
        <v>228</v>
      </c>
      <c r="J2883" s="96" t="s">
        <v>177</v>
      </c>
      <c r="K2883" s="96" t="s">
        <v>230</v>
      </c>
      <c r="L2883">
        <v>47</v>
      </c>
      <c r="M2883" t="s">
        <v>24</v>
      </c>
      <c r="N2883" t="s">
        <v>25</v>
      </c>
      <c r="O2883" t="s">
        <v>150</v>
      </c>
      <c r="P2883">
        <v>2025</v>
      </c>
    </row>
    <row r="2884" spans="1:16" hidden="1" x14ac:dyDescent="0.25">
      <c r="A2884" s="96" t="s">
        <v>2</v>
      </c>
      <c r="B2884" s="96" t="s">
        <v>206</v>
      </c>
      <c r="C2884" s="96" t="s">
        <v>2796</v>
      </c>
      <c r="D2884" s="96" t="s">
        <v>192</v>
      </c>
      <c r="E2884" s="43">
        <v>45754</v>
      </c>
      <c r="F2884" s="43">
        <v>45832</v>
      </c>
      <c r="G2884" s="96" t="s">
        <v>92</v>
      </c>
      <c r="H2884" s="96" t="s">
        <v>6553</v>
      </c>
      <c r="I2884" s="96" t="s">
        <v>225</v>
      </c>
      <c r="J2884" s="96" t="s">
        <v>174</v>
      </c>
      <c r="K2884" s="96" t="s">
        <v>157</v>
      </c>
      <c r="L2884">
        <v>78</v>
      </c>
      <c r="M2884" t="s">
        <v>28</v>
      </c>
      <c r="N2884" t="s">
        <v>185</v>
      </c>
      <c r="O2884" t="s">
        <v>152</v>
      </c>
      <c r="P2884">
        <v>2025</v>
      </c>
    </row>
    <row r="2885" spans="1:16" x14ac:dyDescent="0.25">
      <c r="A2885" s="96" t="s">
        <v>2</v>
      </c>
      <c r="B2885" s="96" t="s">
        <v>374</v>
      </c>
      <c r="C2885" s="96" t="s">
        <v>2797</v>
      </c>
      <c r="D2885" s="96" t="s">
        <v>215</v>
      </c>
      <c r="E2885" s="43">
        <v>46106</v>
      </c>
      <c r="F2885" s="43">
        <v>46147</v>
      </c>
      <c r="G2885" s="96" t="s">
        <v>92</v>
      </c>
      <c r="H2885" s="96" t="s">
        <v>6554</v>
      </c>
      <c r="I2885" s="96" t="s">
        <v>157</v>
      </c>
      <c r="J2885" s="96" t="s">
        <v>165</v>
      </c>
      <c r="K2885" s="96" t="s">
        <v>210</v>
      </c>
      <c r="L2885">
        <v>41</v>
      </c>
      <c r="M2885" t="s">
        <v>24</v>
      </c>
      <c r="N2885" t="s">
        <v>35</v>
      </c>
      <c r="O2885" t="s">
        <v>150</v>
      </c>
      <c r="P2885">
        <v>2026</v>
      </c>
    </row>
    <row r="2886" spans="1:16" hidden="1" x14ac:dyDescent="0.25">
      <c r="A2886" s="96" t="s">
        <v>2</v>
      </c>
      <c r="B2886" s="96" t="s">
        <v>211</v>
      </c>
      <c r="C2886" s="96" t="s">
        <v>2798</v>
      </c>
      <c r="D2886" s="96" t="s">
        <v>10</v>
      </c>
      <c r="E2886" s="43">
        <v>45841</v>
      </c>
      <c r="F2886" s="43">
        <v>45880</v>
      </c>
      <c r="G2886" s="96" t="s">
        <v>90</v>
      </c>
      <c r="H2886" s="96" t="s">
        <v>6555</v>
      </c>
      <c r="I2886" s="96" t="s">
        <v>157</v>
      </c>
      <c r="J2886" s="96" t="s">
        <v>96</v>
      </c>
      <c r="K2886" s="96" t="s">
        <v>200</v>
      </c>
      <c r="L2886">
        <v>39</v>
      </c>
      <c r="M2886" t="s">
        <v>24</v>
      </c>
      <c r="N2886" t="s">
        <v>187</v>
      </c>
      <c r="O2886" t="s">
        <v>170</v>
      </c>
      <c r="P2886">
        <v>2025</v>
      </c>
    </row>
    <row r="2887" spans="1:16" hidden="1" x14ac:dyDescent="0.25">
      <c r="A2887" s="96" t="s">
        <v>2</v>
      </c>
      <c r="B2887" s="96" t="s">
        <v>280</v>
      </c>
      <c r="C2887" s="96" t="s">
        <v>2799</v>
      </c>
      <c r="D2887" s="96" t="s">
        <v>34</v>
      </c>
      <c r="E2887" s="43">
        <v>46012</v>
      </c>
      <c r="F2887" s="43">
        <v>46112</v>
      </c>
      <c r="G2887" s="96" t="s">
        <v>90</v>
      </c>
      <c r="H2887" s="96" t="s">
        <v>6556</v>
      </c>
      <c r="I2887" s="96" t="s">
        <v>9</v>
      </c>
      <c r="J2887" s="96" t="s">
        <v>174</v>
      </c>
      <c r="K2887" s="96" t="s">
        <v>210</v>
      </c>
      <c r="L2887">
        <v>100</v>
      </c>
      <c r="M2887" t="s">
        <v>28</v>
      </c>
      <c r="N2887" t="s">
        <v>25</v>
      </c>
      <c r="O2887" t="s">
        <v>170</v>
      </c>
      <c r="P2887">
        <v>2025</v>
      </c>
    </row>
    <row r="2888" spans="1:16" hidden="1" x14ac:dyDescent="0.25">
      <c r="A2888" s="96" t="s">
        <v>2</v>
      </c>
      <c r="B2888" s="96" t="s">
        <v>257</v>
      </c>
      <c r="C2888" s="96" t="s">
        <v>2800</v>
      </c>
      <c r="D2888" s="96" t="s">
        <v>215</v>
      </c>
      <c r="E2888" s="43">
        <v>45713</v>
      </c>
      <c r="F2888" s="43">
        <v>45777</v>
      </c>
      <c r="G2888" s="96" t="s">
        <v>90</v>
      </c>
      <c r="H2888" s="96" t="s">
        <v>6557</v>
      </c>
      <c r="I2888" s="96" t="s">
        <v>225</v>
      </c>
      <c r="J2888" s="96" t="s">
        <v>168</v>
      </c>
      <c r="K2888" s="96" t="s">
        <v>195</v>
      </c>
      <c r="L2888">
        <v>64</v>
      </c>
      <c r="M2888" t="s">
        <v>28</v>
      </c>
      <c r="N2888" t="s">
        <v>188</v>
      </c>
      <c r="O2888" t="s">
        <v>151</v>
      </c>
      <c r="P2888">
        <v>2025</v>
      </c>
    </row>
    <row r="2889" spans="1:16" hidden="1" x14ac:dyDescent="0.25">
      <c r="A2889" s="96" t="s">
        <v>175</v>
      </c>
      <c r="B2889" s="96" t="s">
        <v>247</v>
      </c>
      <c r="C2889" s="96" t="s">
        <v>6558</v>
      </c>
      <c r="D2889" s="96" t="s">
        <v>192</v>
      </c>
      <c r="E2889" s="43">
        <v>45833</v>
      </c>
      <c r="F2889" s="43">
        <v>45952</v>
      </c>
      <c r="G2889" s="96" t="s">
        <v>92</v>
      </c>
      <c r="H2889" s="96" t="s">
        <v>6559</v>
      </c>
      <c r="I2889" s="96" t="s">
        <v>204</v>
      </c>
      <c r="J2889" s="96" t="s">
        <v>169</v>
      </c>
      <c r="K2889" s="96" t="s">
        <v>233</v>
      </c>
      <c r="L2889">
        <v>119</v>
      </c>
      <c r="M2889" t="s">
        <v>28</v>
      </c>
      <c r="N2889" t="s">
        <v>184</v>
      </c>
      <c r="O2889" t="s">
        <v>150</v>
      </c>
      <c r="P2889">
        <v>2025</v>
      </c>
    </row>
    <row r="2890" spans="1:16" x14ac:dyDescent="0.25">
      <c r="A2890" s="96" t="s">
        <v>2</v>
      </c>
      <c r="B2890" s="96" t="s">
        <v>219</v>
      </c>
      <c r="C2890" s="96" t="s">
        <v>6560</v>
      </c>
      <c r="D2890" s="96" t="s">
        <v>14</v>
      </c>
      <c r="E2890" s="43">
        <v>46038</v>
      </c>
      <c r="F2890" s="43">
        <v>46039</v>
      </c>
      <c r="G2890" s="96" t="s">
        <v>92</v>
      </c>
      <c r="H2890" s="96" t="s">
        <v>6561</v>
      </c>
      <c r="I2890" s="96" t="s">
        <v>194</v>
      </c>
      <c r="J2890" s="96" t="s">
        <v>93</v>
      </c>
      <c r="K2890" s="96" t="s">
        <v>217</v>
      </c>
      <c r="L2890">
        <v>1</v>
      </c>
      <c r="M2890" t="s">
        <v>11</v>
      </c>
      <c r="N2890" t="s">
        <v>29</v>
      </c>
      <c r="O2890" t="s">
        <v>149</v>
      </c>
      <c r="P2890">
        <v>2026</v>
      </c>
    </row>
    <row r="2891" spans="1:16" hidden="1" x14ac:dyDescent="0.25">
      <c r="A2891" s="96" t="s">
        <v>21</v>
      </c>
      <c r="B2891" s="96" t="s">
        <v>272</v>
      </c>
      <c r="C2891" s="96" t="s">
        <v>2801</v>
      </c>
      <c r="D2891" s="96" t="s">
        <v>237</v>
      </c>
      <c r="E2891" s="43">
        <v>45846</v>
      </c>
      <c r="F2891" s="43">
        <v>45927</v>
      </c>
      <c r="G2891" s="96" t="s">
        <v>92</v>
      </c>
      <c r="H2891" s="96" t="s">
        <v>6562</v>
      </c>
      <c r="I2891" s="96" t="s">
        <v>228</v>
      </c>
      <c r="J2891" s="96" t="s">
        <v>96</v>
      </c>
      <c r="K2891" s="96" t="s">
        <v>233</v>
      </c>
      <c r="L2891">
        <v>81</v>
      </c>
      <c r="M2891" t="s">
        <v>28</v>
      </c>
      <c r="N2891" t="s">
        <v>187</v>
      </c>
      <c r="O2891" t="s">
        <v>151</v>
      </c>
      <c r="P2891">
        <v>2025</v>
      </c>
    </row>
    <row r="2892" spans="1:16" x14ac:dyDescent="0.25">
      <c r="A2892" s="96" t="s">
        <v>2</v>
      </c>
      <c r="B2892" s="96" t="s">
        <v>249</v>
      </c>
      <c r="C2892" s="96" t="s">
        <v>6563</v>
      </c>
      <c r="D2892" s="96" t="s">
        <v>34</v>
      </c>
      <c r="E2892" s="43">
        <v>46026</v>
      </c>
      <c r="F2892" s="43">
        <v>46070</v>
      </c>
      <c r="G2892" s="96" t="s">
        <v>90</v>
      </c>
      <c r="H2892" s="96" t="s">
        <v>6564</v>
      </c>
      <c r="I2892" s="96" t="s">
        <v>228</v>
      </c>
      <c r="J2892" s="96" t="s">
        <v>165</v>
      </c>
      <c r="K2892" s="96" t="s">
        <v>217</v>
      </c>
      <c r="L2892">
        <v>44</v>
      </c>
      <c r="M2892" t="s">
        <v>24</v>
      </c>
      <c r="N2892" t="s">
        <v>29</v>
      </c>
      <c r="O2892" t="s">
        <v>170</v>
      </c>
      <c r="P2892">
        <v>2026</v>
      </c>
    </row>
    <row r="2893" spans="1:16" hidden="1" x14ac:dyDescent="0.25">
      <c r="A2893" s="96" t="s">
        <v>2</v>
      </c>
      <c r="B2893" s="96" t="s">
        <v>264</v>
      </c>
      <c r="C2893" s="96" t="s">
        <v>6565</v>
      </c>
      <c r="D2893" s="96" t="s">
        <v>208</v>
      </c>
      <c r="E2893" s="43">
        <v>45861</v>
      </c>
      <c r="F2893" s="43">
        <v>45881</v>
      </c>
      <c r="G2893" s="96" t="s">
        <v>92</v>
      </c>
      <c r="H2893" s="96" t="s">
        <v>6566</v>
      </c>
      <c r="I2893" s="96" t="s">
        <v>225</v>
      </c>
      <c r="J2893" s="96" t="s">
        <v>93</v>
      </c>
      <c r="K2893" s="96" t="s">
        <v>230</v>
      </c>
      <c r="L2893">
        <v>20</v>
      </c>
      <c r="M2893" t="s">
        <v>19</v>
      </c>
      <c r="N2893" t="s">
        <v>187</v>
      </c>
      <c r="O2893" t="s">
        <v>152</v>
      </c>
      <c r="P2893">
        <v>2025</v>
      </c>
    </row>
    <row r="2894" spans="1:16" x14ac:dyDescent="0.25">
      <c r="A2894" s="96" t="s">
        <v>2</v>
      </c>
      <c r="B2894" s="96" t="s">
        <v>269</v>
      </c>
      <c r="C2894" s="96" t="s">
        <v>6567</v>
      </c>
      <c r="D2894" s="96" t="s">
        <v>192</v>
      </c>
      <c r="E2894" s="43">
        <v>46054</v>
      </c>
      <c r="F2894" s="43">
        <v>46061</v>
      </c>
      <c r="G2894" s="96" t="s">
        <v>95</v>
      </c>
      <c r="H2894" s="96" t="s">
        <v>6568</v>
      </c>
      <c r="I2894" s="96" t="s">
        <v>228</v>
      </c>
      <c r="J2894" s="96" t="s">
        <v>165</v>
      </c>
      <c r="K2894" s="96" t="s">
        <v>200</v>
      </c>
      <c r="L2894">
        <v>7</v>
      </c>
      <c r="M2894" t="s">
        <v>11</v>
      </c>
      <c r="N2894" t="s">
        <v>32</v>
      </c>
      <c r="O2894" t="s">
        <v>152</v>
      </c>
      <c r="P2894">
        <v>2026</v>
      </c>
    </row>
    <row r="2895" spans="1:16" hidden="1" x14ac:dyDescent="0.25">
      <c r="A2895" s="96" t="s">
        <v>2</v>
      </c>
      <c r="B2895" s="96" t="s">
        <v>253</v>
      </c>
      <c r="C2895" s="96" t="s">
        <v>2802</v>
      </c>
      <c r="D2895" s="96" t="s">
        <v>192</v>
      </c>
      <c r="E2895" s="43">
        <v>45704</v>
      </c>
      <c r="F2895" s="43">
        <v>45775</v>
      </c>
      <c r="G2895" s="96" t="s">
        <v>95</v>
      </c>
      <c r="H2895" s="96" t="s">
        <v>6569</v>
      </c>
      <c r="I2895" s="96" t="s">
        <v>194</v>
      </c>
      <c r="J2895" s="96" t="s">
        <v>168</v>
      </c>
      <c r="K2895" s="96" t="s">
        <v>205</v>
      </c>
      <c r="L2895">
        <v>71</v>
      </c>
      <c r="M2895" t="s">
        <v>28</v>
      </c>
      <c r="N2895" t="s">
        <v>188</v>
      </c>
      <c r="O2895" t="s">
        <v>152</v>
      </c>
      <c r="P2895">
        <v>2025</v>
      </c>
    </row>
    <row r="2896" spans="1:16" hidden="1" x14ac:dyDescent="0.25">
      <c r="A2896" s="96" t="s">
        <v>2</v>
      </c>
      <c r="B2896" s="96" t="s">
        <v>251</v>
      </c>
      <c r="C2896" s="96" t="s">
        <v>2803</v>
      </c>
      <c r="D2896" s="96" t="s">
        <v>203</v>
      </c>
      <c r="E2896" s="43">
        <v>45729</v>
      </c>
      <c r="F2896" s="43">
        <v>45747</v>
      </c>
      <c r="G2896" s="96" t="s">
        <v>92</v>
      </c>
      <c r="H2896" s="96" t="s">
        <v>6570</v>
      </c>
      <c r="I2896" s="96" t="s">
        <v>194</v>
      </c>
      <c r="J2896" s="96" t="s">
        <v>229</v>
      </c>
      <c r="K2896" s="96" t="s">
        <v>157</v>
      </c>
      <c r="L2896">
        <v>18</v>
      </c>
      <c r="M2896" t="s">
        <v>19</v>
      </c>
      <c r="N2896" t="s">
        <v>186</v>
      </c>
      <c r="O2896" t="s">
        <v>170</v>
      </c>
      <c r="P2896">
        <v>2025</v>
      </c>
    </row>
    <row r="2897" spans="1:16" hidden="1" x14ac:dyDescent="0.25">
      <c r="A2897" s="96" t="s">
        <v>2</v>
      </c>
      <c r="B2897" s="96" t="s">
        <v>253</v>
      </c>
      <c r="C2897" s="96" t="s">
        <v>2804</v>
      </c>
      <c r="D2897" s="96" t="s">
        <v>14</v>
      </c>
      <c r="E2897" s="43">
        <v>45732</v>
      </c>
      <c r="F2897" s="43">
        <v>45737</v>
      </c>
      <c r="G2897" s="96" t="s">
        <v>92</v>
      </c>
      <c r="H2897" s="96" t="s">
        <v>6571</v>
      </c>
      <c r="I2897" s="96" t="s">
        <v>204</v>
      </c>
      <c r="J2897" s="96" t="s">
        <v>97</v>
      </c>
      <c r="K2897" s="96" t="s">
        <v>217</v>
      </c>
      <c r="L2897">
        <v>5</v>
      </c>
      <c r="M2897" t="s">
        <v>11</v>
      </c>
      <c r="N2897" t="s">
        <v>186</v>
      </c>
      <c r="O2897" t="s">
        <v>152</v>
      </c>
      <c r="P2897">
        <v>2025</v>
      </c>
    </row>
    <row r="2898" spans="1:16" hidden="1" x14ac:dyDescent="0.25">
      <c r="A2898" s="96" t="s">
        <v>171</v>
      </c>
      <c r="B2898" s="96" t="s">
        <v>247</v>
      </c>
      <c r="C2898" s="96" t="s">
        <v>2805</v>
      </c>
      <c r="D2898" s="96" t="s">
        <v>237</v>
      </c>
      <c r="E2898" s="43">
        <v>45973</v>
      </c>
      <c r="F2898" s="43">
        <v>45991</v>
      </c>
      <c r="G2898" s="96" t="s">
        <v>92</v>
      </c>
      <c r="H2898" s="96" t="s">
        <v>2710</v>
      </c>
      <c r="I2898" s="96" t="s">
        <v>9</v>
      </c>
      <c r="J2898" s="96" t="s">
        <v>96</v>
      </c>
      <c r="K2898" s="96" t="s">
        <v>246</v>
      </c>
      <c r="L2898">
        <v>18</v>
      </c>
      <c r="M2898" t="s">
        <v>19</v>
      </c>
      <c r="N2898" t="s">
        <v>20</v>
      </c>
      <c r="O2898" t="s">
        <v>150</v>
      </c>
      <c r="P2898">
        <v>2025</v>
      </c>
    </row>
    <row r="2899" spans="1:16" hidden="1" x14ac:dyDescent="0.25">
      <c r="A2899" s="96" t="s">
        <v>2</v>
      </c>
      <c r="B2899" s="96" t="s">
        <v>280</v>
      </c>
      <c r="C2899" s="96" t="s">
        <v>6572</v>
      </c>
      <c r="D2899" s="96" t="s">
        <v>40</v>
      </c>
      <c r="E2899" s="43">
        <v>45991</v>
      </c>
      <c r="F2899" s="43">
        <v>46052</v>
      </c>
      <c r="G2899" s="96" t="s">
        <v>92</v>
      </c>
      <c r="H2899" s="96" t="s">
        <v>2711</v>
      </c>
      <c r="I2899" s="96" t="s">
        <v>9</v>
      </c>
      <c r="J2899" s="96" t="s">
        <v>165</v>
      </c>
      <c r="K2899" s="96" t="s">
        <v>205</v>
      </c>
      <c r="L2899">
        <v>61</v>
      </c>
      <c r="M2899" t="s">
        <v>28</v>
      </c>
      <c r="N2899" t="s">
        <v>20</v>
      </c>
      <c r="O2899" t="s">
        <v>170</v>
      </c>
      <c r="P2899">
        <v>2025</v>
      </c>
    </row>
    <row r="2900" spans="1:16" hidden="1" x14ac:dyDescent="0.25">
      <c r="A2900" s="96" t="s">
        <v>2</v>
      </c>
      <c r="B2900" s="96" t="s">
        <v>272</v>
      </c>
      <c r="C2900" s="96" t="s">
        <v>2806</v>
      </c>
      <c r="D2900" s="96" t="s">
        <v>237</v>
      </c>
      <c r="E2900" s="43">
        <v>45887</v>
      </c>
      <c r="F2900" s="43">
        <v>45976</v>
      </c>
      <c r="G2900" s="96" t="s">
        <v>92</v>
      </c>
      <c r="H2900" s="96" t="s">
        <v>6573</v>
      </c>
      <c r="I2900" s="96" t="s">
        <v>225</v>
      </c>
      <c r="J2900" s="96" t="s">
        <v>91</v>
      </c>
      <c r="K2900" s="96" t="s">
        <v>217</v>
      </c>
      <c r="L2900">
        <v>89</v>
      </c>
      <c r="M2900" t="s">
        <v>28</v>
      </c>
      <c r="N2900" t="s">
        <v>8</v>
      </c>
      <c r="O2900" t="s">
        <v>151</v>
      </c>
      <c r="P2900">
        <v>2025</v>
      </c>
    </row>
    <row r="2901" spans="1:16" hidden="1" x14ac:dyDescent="0.25">
      <c r="A2901" s="96" t="s">
        <v>2</v>
      </c>
      <c r="B2901" s="96" t="s">
        <v>240</v>
      </c>
      <c r="C2901" s="96" t="s">
        <v>2807</v>
      </c>
      <c r="D2901" s="96" t="s">
        <v>223</v>
      </c>
      <c r="E2901" s="43">
        <v>45678</v>
      </c>
      <c r="F2901" s="43">
        <v>45735</v>
      </c>
      <c r="G2901" s="96" t="s">
        <v>92</v>
      </c>
      <c r="H2901" s="96" t="s">
        <v>6574</v>
      </c>
      <c r="I2901" s="96" t="s">
        <v>209</v>
      </c>
      <c r="J2901" s="96" t="s">
        <v>229</v>
      </c>
      <c r="K2901" s="96" t="s">
        <v>210</v>
      </c>
      <c r="L2901">
        <v>57</v>
      </c>
      <c r="M2901" t="s">
        <v>24</v>
      </c>
      <c r="N2901" t="s">
        <v>181</v>
      </c>
      <c r="O2901" t="s">
        <v>149</v>
      </c>
      <c r="P2901">
        <v>2025</v>
      </c>
    </row>
    <row r="2902" spans="1:16" hidden="1" x14ac:dyDescent="0.25">
      <c r="A2902" s="96" t="s">
        <v>175</v>
      </c>
      <c r="B2902" s="96" t="s">
        <v>221</v>
      </c>
      <c r="C2902" s="96" t="s">
        <v>2808</v>
      </c>
      <c r="D2902" s="96" t="s">
        <v>14</v>
      </c>
      <c r="E2902" s="43">
        <v>45728</v>
      </c>
      <c r="F2902" s="43">
        <v>45755</v>
      </c>
      <c r="G2902" s="96" t="s">
        <v>92</v>
      </c>
      <c r="H2902" s="96" t="s">
        <v>6575</v>
      </c>
      <c r="I2902" s="96" t="s">
        <v>194</v>
      </c>
      <c r="J2902" s="96" t="s">
        <v>176</v>
      </c>
      <c r="K2902" s="96" t="s">
        <v>246</v>
      </c>
      <c r="L2902">
        <v>27</v>
      </c>
      <c r="M2902" t="s">
        <v>19</v>
      </c>
      <c r="N2902" t="s">
        <v>186</v>
      </c>
      <c r="O2902" t="s">
        <v>170</v>
      </c>
      <c r="P2902">
        <v>2025</v>
      </c>
    </row>
    <row r="2903" spans="1:16" hidden="1" x14ac:dyDescent="0.25">
      <c r="A2903" s="96" t="s">
        <v>2</v>
      </c>
      <c r="B2903" s="96" t="s">
        <v>272</v>
      </c>
      <c r="C2903" s="96" t="s">
        <v>2809</v>
      </c>
      <c r="D2903" s="96" t="s">
        <v>192</v>
      </c>
      <c r="E2903" s="43">
        <v>45815</v>
      </c>
      <c r="F2903" s="43">
        <v>45932</v>
      </c>
      <c r="G2903" s="96" t="s">
        <v>92</v>
      </c>
      <c r="H2903" s="96" t="s">
        <v>6576</v>
      </c>
      <c r="I2903" s="96" t="s">
        <v>204</v>
      </c>
      <c r="J2903" s="96" t="s">
        <v>165</v>
      </c>
      <c r="K2903" s="96" t="s">
        <v>233</v>
      </c>
      <c r="L2903">
        <v>117</v>
      </c>
      <c r="M2903" t="s">
        <v>28</v>
      </c>
      <c r="N2903" t="s">
        <v>184</v>
      </c>
      <c r="O2903" t="s">
        <v>151</v>
      </c>
      <c r="P2903">
        <v>2025</v>
      </c>
    </row>
    <row r="2904" spans="1:16" hidden="1" x14ac:dyDescent="0.25">
      <c r="A2904" s="96" t="s">
        <v>2</v>
      </c>
      <c r="B2904" s="96" t="s">
        <v>206</v>
      </c>
      <c r="C2904" s="96" t="s">
        <v>2810</v>
      </c>
      <c r="D2904" s="96" t="s">
        <v>223</v>
      </c>
      <c r="E2904" s="43">
        <v>45751</v>
      </c>
      <c r="F2904" s="43">
        <v>45803</v>
      </c>
      <c r="G2904" s="96" t="s">
        <v>90</v>
      </c>
      <c r="H2904" s="96" t="s">
        <v>6577</v>
      </c>
      <c r="I2904" s="96" t="s">
        <v>157</v>
      </c>
      <c r="J2904" s="96" t="s">
        <v>169</v>
      </c>
      <c r="K2904" s="96" t="s">
        <v>157</v>
      </c>
      <c r="L2904">
        <v>52</v>
      </c>
      <c r="M2904" t="s">
        <v>24</v>
      </c>
      <c r="N2904" t="s">
        <v>185</v>
      </c>
      <c r="O2904" t="s">
        <v>152</v>
      </c>
      <c r="P2904">
        <v>2025</v>
      </c>
    </row>
    <row r="2905" spans="1:16" hidden="1" x14ac:dyDescent="0.25">
      <c r="A2905" s="96" t="s">
        <v>2</v>
      </c>
      <c r="B2905" s="96" t="s">
        <v>257</v>
      </c>
      <c r="C2905" s="96" t="s">
        <v>2811</v>
      </c>
      <c r="D2905" s="96" t="s">
        <v>223</v>
      </c>
      <c r="E2905" s="43">
        <v>45804</v>
      </c>
      <c r="F2905" s="43">
        <v>45896</v>
      </c>
      <c r="G2905" s="96" t="s">
        <v>90</v>
      </c>
      <c r="H2905" s="96" t="s">
        <v>6578</v>
      </c>
      <c r="I2905" s="96" t="s">
        <v>157</v>
      </c>
      <c r="J2905" s="96" t="s">
        <v>172</v>
      </c>
      <c r="K2905" s="96" t="s">
        <v>157</v>
      </c>
      <c r="L2905">
        <v>92</v>
      </c>
      <c r="M2905" t="s">
        <v>28</v>
      </c>
      <c r="N2905" t="s">
        <v>182</v>
      </c>
      <c r="O2905" t="s">
        <v>151</v>
      </c>
      <c r="P2905">
        <v>2025</v>
      </c>
    </row>
    <row r="2906" spans="1:16" hidden="1" x14ac:dyDescent="0.25">
      <c r="A2906" s="96" t="s">
        <v>2</v>
      </c>
      <c r="B2906" s="96" t="s">
        <v>257</v>
      </c>
      <c r="C2906" s="96" t="s">
        <v>2812</v>
      </c>
      <c r="D2906" s="96" t="s">
        <v>40</v>
      </c>
      <c r="E2906" s="43">
        <v>45840</v>
      </c>
      <c r="F2906" s="43">
        <v>45923</v>
      </c>
      <c r="G2906" s="96" t="s">
        <v>95</v>
      </c>
      <c r="H2906" s="96" t="s">
        <v>6579</v>
      </c>
      <c r="I2906" s="96" t="s">
        <v>209</v>
      </c>
      <c r="J2906" s="96" t="s">
        <v>96</v>
      </c>
      <c r="K2906" s="96" t="s">
        <v>230</v>
      </c>
      <c r="L2906">
        <v>83</v>
      </c>
      <c r="M2906" t="s">
        <v>28</v>
      </c>
      <c r="N2906" t="s">
        <v>187</v>
      </c>
      <c r="O2906" t="s">
        <v>151</v>
      </c>
      <c r="P2906">
        <v>2025</v>
      </c>
    </row>
    <row r="2907" spans="1:16" hidden="1" x14ac:dyDescent="0.25">
      <c r="A2907" s="96" t="s">
        <v>2</v>
      </c>
      <c r="B2907" s="96" t="s">
        <v>264</v>
      </c>
      <c r="C2907" s="96" t="s">
        <v>2813</v>
      </c>
      <c r="D2907" s="96" t="s">
        <v>14</v>
      </c>
      <c r="E2907" s="43">
        <v>45877</v>
      </c>
      <c r="F2907" s="43">
        <v>45884</v>
      </c>
      <c r="G2907" s="96" t="s">
        <v>92</v>
      </c>
      <c r="H2907" s="96" t="s">
        <v>6580</v>
      </c>
      <c r="I2907" s="96" t="s">
        <v>9</v>
      </c>
      <c r="J2907" s="96" t="s">
        <v>98</v>
      </c>
      <c r="K2907" s="96" t="s">
        <v>157</v>
      </c>
      <c r="L2907">
        <v>7</v>
      </c>
      <c r="M2907" t="s">
        <v>11</v>
      </c>
      <c r="N2907" t="s">
        <v>8</v>
      </c>
      <c r="O2907" t="s">
        <v>152</v>
      </c>
      <c r="P2907">
        <v>2025</v>
      </c>
    </row>
    <row r="2908" spans="1:16" x14ac:dyDescent="0.25">
      <c r="A2908" s="96" t="s">
        <v>21</v>
      </c>
      <c r="B2908" s="96" t="s">
        <v>302</v>
      </c>
      <c r="C2908" s="96" t="s">
        <v>6581</v>
      </c>
      <c r="D2908" s="96" t="s">
        <v>203</v>
      </c>
      <c r="E2908" s="43">
        <v>46097</v>
      </c>
      <c r="F2908" s="43">
        <v>46145</v>
      </c>
      <c r="G2908" s="96" t="s">
        <v>90</v>
      </c>
      <c r="H2908" s="96" t="s">
        <v>6582</v>
      </c>
      <c r="I2908" s="96" t="s">
        <v>157</v>
      </c>
      <c r="J2908" s="96" t="s">
        <v>169</v>
      </c>
      <c r="K2908" s="96" t="s">
        <v>233</v>
      </c>
      <c r="L2908">
        <v>48</v>
      </c>
      <c r="M2908" t="s">
        <v>24</v>
      </c>
      <c r="N2908" t="s">
        <v>35</v>
      </c>
      <c r="O2908" t="s">
        <v>150</v>
      </c>
      <c r="P2908">
        <v>2026</v>
      </c>
    </row>
    <row r="2909" spans="1:16" hidden="1" x14ac:dyDescent="0.25">
      <c r="A2909" s="96" t="s">
        <v>175</v>
      </c>
      <c r="B2909" s="96" t="s">
        <v>206</v>
      </c>
      <c r="C2909" s="96" t="s">
        <v>6583</v>
      </c>
      <c r="D2909" s="96" t="s">
        <v>223</v>
      </c>
      <c r="E2909" s="43">
        <v>45911</v>
      </c>
      <c r="F2909" s="43">
        <v>45953</v>
      </c>
      <c r="G2909" s="96" t="s">
        <v>90</v>
      </c>
      <c r="H2909" s="96" t="s">
        <v>6584</v>
      </c>
      <c r="I2909" s="96" t="s">
        <v>209</v>
      </c>
      <c r="J2909" s="96" t="s">
        <v>93</v>
      </c>
      <c r="K2909" s="96" t="s">
        <v>246</v>
      </c>
      <c r="L2909">
        <v>42</v>
      </c>
      <c r="M2909" t="s">
        <v>24</v>
      </c>
      <c r="N2909" t="s">
        <v>12</v>
      </c>
      <c r="O2909" t="s">
        <v>152</v>
      </c>
      <c r="P2909">
        <v>2025</v>
      </c>
    </row>
    <row r="2910" spans="1:16" hidden="1" x14ac:dyDescent="0.25">
      <c r="A2910" s="96" t="s">
        <v>2</v>
      </c>
      <c r="B2910" s="96" t="s">
        <v>257</v>
      </c>
      <c r="C2910" s="96" t="s">
        <v>6585</v>
      </c>
      <c r="D2910" s="96" t="s">
        <v>223</v>
      </c>
      <c r="E2910" s="43">
        <v>45673</v>
      </c>
      <c r="F2910" s="43">
        <v>45766</v>
      </c>
      <c r="G2910" s="96" t="s">
        <v>92</v>
      </c>
      <c r="H2910" s="96" t="s">
        <v>2719</v>
      </c>
      <c r="I2910" s="96" t="s">
        <v>204</v>
      </c>
      <c r="J2910" s="96" t="s">
        <v>91</v>
      </c>
      <c r="K2910" s="96" t="s">
        <v>195</v>
      </c>
      <c r="L2910">
        <v>93</v>
      </c>
      <c r="M2910" t="s">
        <v>28</v>
      </c>
      <c r="N2910" t="s">
        <v>181</v>
      </c>
      <c r="O2910" t="s">
        <v>151</v>
      </c>
      <c r="P2910">
        <v>2025</v>
      </c>
    </row>
    <row r="2911" spans="1:16" x14ac:dyDescent="0.25">
      <c r="A2911" s="96" t="s">
        <v>2</v>
      </c>
      <c r="B2911" s="96" t="s">
        <v>374</v>
      </c>
      <c r="C2911" s="96" t="s">
        <v>2814</v>
      </c>
      <c r="D2911" s="96" t="s">
        <v>34</v>
      </c>
      <c r="E2911" s="43">
        <v>46041</v>
      </c>
      <c r="F2911" s="43">
        <v>46104</v>
      </c>
      <c r="G2911" s="96" t="s">
        <v>92</v>
      </c>
      <c r="H2911" s="96" t="s">
        <v>6586</v>
      </c>
      <c r="I2911" s="96" t="s">
        <v>204</v>
      </c>
      <c r="J2911" s="96" t="s">
        <v>229</v>
      </c>
      <c r="K2911" s="96" t="s">
        <v>233</v>
      </c>
      <c r="L2911">
        <v>63</v>
      </c>
      <c r="M2911" t="s">
        <v>28</v>
      </c>
      <c r="N2911" t="s">
        <v>29</v>
      </c>
      <c r="O2911" t="s">
        <v>150</v>
      </c>
      <c r="P2911">
        <v>2026</v>
      </c>
    </row>
    <row r="2912" spans="1:16" hidden="1" x14ac:dyDescent="0.25">
      <c r="A2912" s="96" t="s">
        <v>2</v>
      </c>
      <c r="B2912" s="96" t="s">
        <v>238</v>
      </c>
      <c r="C2912" s="96" t="s">
        <v>2815</v>
      </c>
      <c r="D2912" s="96" t="s">
        <v>223</v>
      </c>
      <c r="E2912" s="43">
        <v>45952</v>
      </c>
      <c r="F2912" s="43">
        <v>46033</v>
      </c>
      <c r="G2912" s="96" t="s">
        <v>90</v>
      </c>
      <c r="H2912" s="96" t="s">
        <v>6587</v>
      </c>
      <c r="I2912" s="96" t="s">
        <v>204</v>
      </c>
      <c r="J2912" s="96" t="s">
        <v>174</v>
      </c>
      <c r="K2912" s="96" t="s">
        <v>210</v>
      </c>
      <c r="L2912">
        <v>81</v>
      </c>
      <c r="M2912" t="s">
        <v>28</v>
      </c>
      <c r="N2912" t="s">
        <v>16</v>
      </c>
      <c r="O2912" t="s">
        <v>170</v>
      </c>
      <c r="P2912">
        <v>2025</v>
      </c>
    </row>
    <row r="2913" spans="1:16" hidden="1" x14ac:dyDescent="0.25">
      <c r="A2913" s="96" t="s">
        <v>2</v>
      </c>
      <c r="B2913" s="96" t="s">
        <v>272</v>
      </c>
      <c r="C2913" s="96" t="s">
        <v>2816</v>
      </c>
      <c r="D2913" s="96" t="s">
        <v>237</v>
      </c>
      <c r="E2913" s="43">
        <v>45711</v>
      </c>
      <c r="F2913" s="43">
        <v>45775</v>
      </c>
      <c r="G2913" s="96" t="s">
        <v>92</v>
      </c>
      <c r="H2913" s="96" t="s">
        <v>6588</v>
      </c>
      <c r="I2913" s="96" t="s">
        <v>204</v>
      </c>
      <c r="J2913" s="96" t="s">
        <v>173</v>
      </c>
      <c r="K2913" s="96" t="s">
        <v>230</v>
      </c>
      <c r="L2913">
        <v>64</v>
      </c>
      <c r="M2913" t="s">
        <v>28</v>
      </c>
      <c r="N2913" t="s">
        <v>188</v>
      </c>
      <c r="O2913" t="s">
        <v>151</v>
      </c>
      <c r="P2913">
        <v>2025</v>
      </c>
    </row>
    <row r="2914" spans="1:16" hidden="1" x14ac:dyDescent="0.25">
      <c r="A2914" s="96" t="s">
        <v>171</v>
      </c>
      <c r="B2914" s="96" t="s">
        <v>272</v>
      </c>
      <c r="C2914" s="96" t="s">
        <v>6589</v>
      </c>
      <c r="D2914" s="96" t="s">
        <v>10</v>
      </c>
      <c r="E2914" s="43">
        <v>45682</v>
      </c>
      <c r="F2914" s="43">
        <v>45762</v>
      </c>
      <c r="G2914" s="96" t="s">
        <v>92</v>
      </c>
      <c r="H2914" s="96" t="s">
        <v>6590</v>
      </c>
      <c r="I2914" s="96" t="s">
        <v>228</v>
      </c>
      <c r="J2914" s="96" t="s">
        <v>94</v>
      </c>
      <c r="K2914" s="96" t="s">
        <v>210</v>
      </c>
      <c r="L2914">
        <v>80</v>
      </c>
      <c r="M2914" t="s">
        <v>28</v>
      </c>
      <c r="N2914" t="s">
        <v>181</v>
      </c>
      <c r="O2914" t="s">
        <v>151</v>
      </c>
      <c r="P2914">
        <v>2025</v>
      </c>
    </row>
    <row r="2915" spans="1:16" x14ac:dyDescent="0.25">
      <c r="A2915" s="96" t="s">
        <v>175</v>
      </c>
      <c r="B2915" s="96" t="s">
        <v>288</v>
      </c>
      <c r="C2915" s="96" t="s">
        <v>6591</v>
      </c>
      <c r="D2915" s="96" t="s">
        <v>237</v>
      </c>
      <c r="E2915" s="43">
        <v>46110</v>
      </c>
      <c r="F2915" s="43">
        <v>46146</v>
      </c>
      <c r="G2915" s="96" t="s">
        <v>92</v>
      </c>
      <c r="H2915" s="96" t="s">
        <v>6592</v>
      </c>
      <c r="I2915" s="96" t="s">
        <v>209</v>
      </c>
      <c r="J2915" s="96" t="s">
        <v>97</v>
      </c>
      <c r="K2915" s="96" t="s">
        <v>195</v>
      </c>
      <c r="L2915">
        <v>36</v>
      </c>
      <c r="M2915" t="s">
        <v>24</v>
      </c>
      <c r="N2915" t="s">
        <v>35</v>
      </c>
      <c r="O2915" t="s">
        <v>170</v>
      </c>
      <c r="P2915">
        <v>2026</v>
      </c>
    </row>
    <row r="2916" spans="1:16" hidden="1" x14ac:dyDescent="0.25">
      <c r="A2916" s="96" t="s">
        <v>21</v>
      </c>
      <c r="B2916" s="96" t="s">
        <v>213</v>
      </c>
      <c r="C2916" s="96" t="s">
        <v>6593</v>
      </c>
      <c r="D2916" s="96" t="s">
        <v>34</v>
      </c>
      <c r="E2916" s="43">
        <v>45948</v>
      </c>
      <c r="F2916" s="43">
        <v>45998</v>
      </c>
      <c r="G2916" s="96" t="s">
        <v>92</v>
      </c>
      <c r="H2916" s="96" t="s">
        <v>6594</v>
      </c>
      <c r="I2916" s="96" t="s">
        <v>225</v>
      </c>
      <c r="J2916" s="96" t="s">
        <v>176</v>
      </c>
      <c r="K2916" s="96" t="s">
        <v>230</v>
      </c>
      <c r="L2916">
        <v>50</v>
      </c>
      <c r="M2916" t="s">
        <v>24</v>
      </c>
      <c r="N2916" t="s">
        <v>16</v>
      </c>
      <c r="O2916" t="s">
        <v>149</v>
      </c>
      <c r="P2916">
        <v>2025</v>
      </c>
    </row>
    <row r="2917" spans="1:16" hidden="1" x14ac:dyDescent="0.25">
      <c r="A2917" s="96" t="s">
        <v>175</v>
      </c>
      <c r="B2917" s="96" t="s">
        <v>240</v>
      </c>
      <c r="C2917" s="96" t="s">
        <v>2817</v>
      </c>
      <c r="D2917" s="96" t="s">
        <v>10</v>
      </c>
      <c r="E2917" s="43">
        <v>45793</v>
      </c>
      <c r="F2917" s="43">
        <v>45803</v>
      </c>
      <c r="G2917" s="96" t="s">
        <v>90</v>
      </c>
      <c r="H2917" s="96" t="s">
        <v>6595</v>
      </c>
      <c r="I2917" s="96" t="s">
        <v>228</v>
      </c>
      <c r="J2917" s="96" t="s">
        <v>176</v>
      </c>
      <c r="K2917" s="96" t="s">
        <v>246</v>
      </c>
      <c r="L2917">
        <v>10</v>
      </c>
      <c r="M2917" t="s">
        <v>15</v>
      </c>
      <c r="N2917" t="s">
        <v>182</v>
      </c>
      <c r="O2917" t="s">
        <v>149</v>
      </c>
      <c r="P2917">
        <v>2025</v>
      </c>
    </row>
    <row r="2918" spans="1:16" hidden="1" x14ac:dyDescent="0.25">
      <c r="A2918" s="96" t="s">
        <v>2</v>
      </c>
      <c r="B2918" s="96" t="s">
        <v>251</v>
      </c>
      <c r="C2918" s="96" t="s">
        <v>6596</v>
      </c>
      <c r="D2918" s="96" t="s">
        <v>14</v>
      </c>
      <c r="E2918" s="43">
        <v>45675</v>
      </c>
      <c r="F2918" s="43">
        <v>45714</v>
      </c>
      <c r="G2918" s="96" t="s">
        <v>95</v>
      </c>
      <c r="H2918" s="96" t="s">
        <v>6597</v>
      </c>
      <c r="I2918" s="96" t="s">
        <v>209</v>
      </c>
      <c r="J2918" s="96" t="s">
        <v>93</v>
      </c>
      <c r="K2918" s="96" t="s">
        <v>200</v>
      </c>
      <c r="L2918">
        <v>39</v>
      </c>
      <c r="M2918" t="s">
        <v>24</v>
      </c>
      <c r="N2918" t="s">
        <v>181</v>
      </c>
      <c r="O2918" t="s">
        <v>170</v>
      </c>
      <c r="P2918">
        <v>2025</v>
      </c>
    </row>
    <row r="2919" spans="1:16" x14ac:dyDescent="0.25">
      <c r="A2919" s="96" t="s">
        <v>2</v>
      </c>
      <c r="B2919" s="96" t="s">
        <v>234</v>
      </c>
      <c r="C2919" s="96" t="s">
        <v>2819</v>
      </c>
      <c r="D2919" s="96" t="s">
        <v>14</v>
      </c>
      <c r="E2919" s="43">
        <v>46077</v>
      </c>
      <c r="F2919" s="43">
        <v>46112</v>
      </c>
      <c r="G2919" s="96" t="s">
        <v>90</v>
      </c>
      <c r="H2919" s="96" t="s">
        <v>6598</v>
      </c>
      <c r="I2919" s="96" t="s">
        <v>157</v>
      </c>
      <c r="J2919" s="96" t="s">
        <v>177</v>
      </c>
      <c r="K2919" s="96" t="s">
        <v>246</v>
      </c>
      <c r="L2919">
        <v>35</v>
      </c>
      <c r="M2919" t="s">
        <v>24</v>
      </c>
      <c r="N2919" t="s">
        <v>32</v>
      </c>
      <c r="O2919" t="s">
        <v>150</v>
      </c>
      <c r="P2919">
        <v>2026</v>
      </c>
    </row>
    <row r="2920" spans="1:16" hidden="1" x14ac:dyDescent="0.25">
      <c r="A2920" s="96" t="s">
        <v>2</v>
      </c>
      <c r="B2920" s="96" t="s">
        <v>280</v>
      </c>
      <c r="C2920" s="96" t="s">
        <v>6599</v>
      </c>
      <c r="D2920" s="96" t="s">
        <v>203</v>
      </c>
      <c r="E2920" s="43">
        <v>45742</v>
      </c>
      <c r="F2920" s="43">
        <v>45761</v>
      </c>
      <c r="G2920" s="96" t="s">
        <v>95</v>
      </c>
      <c r="H2920" s="96" t="s">
        <v>2726</v>
      </c>
      <c r="I2920" s="96" t="s">
        <v>228</v>
      </c>
      <c r="J2920" s="96" t="s">
        <v>91</v>
      </c>
      <c r="K2920" s="96" t="s">
        <v>217</v>
      </c>
      <c r="L2920">
        <v>19</v>
      </c>
      <c r="M2920" t="s">
        <v>19</v>
      </c>
      <c r="N2920" t="s">
        <v>186</v>
      </c>
      <c r="O2920" t="s">
        <v>170</v>
      </c>
      <c r="P2920">
        <v>2025</v>
      </c>
    </row>
    <row r="2921" spans="1:16" hidden="1" x14ac:dyDescent="0.25">
      <c r="A2921" s="96" t="s">
        <v>2</v>
      </c>
      <c r="B2921" s="96" t="s">
        <v>280</v>
      </c>
      <c r="C2921" s="96" t="s">
        <v>6600</v>
      </c>
      <c r="D2921" s="96" t="s">
        <v>203</v>
      </c>
      <c r="E2921" s="43">
        <v>45808</v>
      </c>
      <c r="F2921" s="43">
        <v>45830</v>
      </c>
      <c r="G2921" s="96" t="s">
        <v>92</v>
      </c>
      <c r="H2921" s="96" t="s">
        <v>6601</v>
      </c>
      <c r="I2921" s="96" t="s">
        <v>194</v>
      </c>
      <c r="J2921" s="96" t="s">
        <v>91</v>
      </c>
      <c r="K2921" s="96" t="s">
        <v>157</v>
      </c>
      <c r="L2921">
        <v>22</v>
      </c>
      <c r="M2921" t="s">
        <v>19</v>
      </c>
      <c r="N2921" t="s">
        <v>182</v>
      </c>
      <c r="O2921" t="s">
        <v>170</v>
      </c>
      <c r="P2921">
        <v>2025</v>
      </c>
    </row>
    <row r="2922" spans="1:16" x14ac:dyDescent="0.25">
      <c r="A2922" s="96" t="s">
        <v>175</v>
      </c>
      <c r="B2922" s="96" t="s">
        <v>219</v>
      </c>
      <c r="C2922" s="96" t="s">
        <v>6602</v>
      </c>
      <c r="D2922" s="96" t="s">
        <v>192</v>
      </c>
      <c r="E2922" s="43">
        <v>46037</v>
      </c>
      <c r="F2922" s="43">
        <v>46053</v>
      </c>
      <c r="G2922" s="96" t="s">
        <v>92</v>
      </c>
      <c r="H2922" s="96" t="s">
        <v>2728</v>
      </c>
      <c r="I2922" s="96" t="s">
        <v>225</v>
      </c>
      <c r="J2922" s="96" t="s">
        <v>91</v>
      </c>
      <c r="K2922" s="96" t="s">
        <v>157</v>
      </c>
      <c r="L2922">
        <v>16</v>
      </c>
      <c r="M2922" t="s">
        <v>19</v>
      </c>
      <c r="N2922" t="s">
        <v>29</v>
      </c>
      <c r="O2922" t="s">
        <v>149</v>
      </c>
      <c r="P2922">
        <v>2026</v>
      </c>
    </row>
    <row r="2923" spans="1:16" hidden="1" x14ac:dyDescent="0.25">
      <c r="A2923" s="96" t="s">
        <v>2</v>
      </c>
      <c r="B2923" s="96" t="s">
        <v>206</v>
      </c>
      <c r="C2923" s="96" t="s">
        <v>2820</v>
      </c>
      <c r="D2923" s="96" t="s">
        <v>10</v>
      </c>
      <c r="E2923" s="43">
        <v>45845</v>
      </c>
      <c r="F2923" s="43">
        <v>45887</v>
      </c>
      <c r="G2923" s="96" t="s">
        <v>92</v>
      </c>
      <c r="H2923" s="96" t="s">
        <v>6603</v>
      </c>
      <c r="I2923" s="96" t="s">
        <v>225</v>
      </c>
      <c r="J2923" s="96" t="s">
        <v>199</v>
      </c>
      <c r="K2923" s="96" t="s">
        <v>230</v>
      </c>
      <c r="L2923">
        <v>42</v>
      </c>
      <c r="M2923" t="s">
        <v>24</v>
      </c>
      <c r="N2923" t="s">
        <v>187</v>
      </c>
      <c r="O2923" t="s">
        <v>152</v>
      </c>
      <c r="P2923">
        <v>2025</v>
      </c>
    </row>
    <row r="2924" spans="1:16" hidden="1" x14ac:dyDescent="0.25">
      <c r="A2924" s="96" t="s">
        <v>2</v>
      </c>
      <c r="B2924" s="96" t="s">
        <v>257</v>
      </c>
      <c r="C2924" s="96" t="s">
        <v>2822</v>
      </c>
      <c r="D2924" s="96" t="s">
        <v>34</v>
      </c>
      <c r="E2924" s="43">
        <v>45697</v>
      </c>
      <c r="F2924" s="43">
        <v>45792</v>
      </c>
      <c r="G2924" s="96" t="s">
        <v>90</v>
      </c>
      <c r="H2924" s="96" t="s">
        <v>6604</v>
      </c>
      <c r="I2924" s="96" t="s">
        <v>228</v>
      </c>
      <c r="J2924" s="96" t="s">
        <v>283</v>
      </c>
      <c r="K2924" s="96" t="s">
        <v>200</v>
      </c>
      <c r="L2924">
        <v>95</v>
      </c>
      <c r="M2924" t="s">
        <v>28</v>
      </c>
      <c r="N2924" t="s">
        <v>188</v>
      </c>
      <c r="O2924" t="s">
        <v>151</v>
      </c>
      <c r="P2924">
        <v>2025</v>
      </c>
    </row>
    <row r="2925" spans="1:16" x14ac:dyDescent="0.25">
      <c r="A2925" s="96" t="s">
        <v>2</v>
      </c>
      <c r="B2925" s="96" t="s">
        <v>305</v>
      </c>
      <c r="C2925" s="96" t="s">
        <v>2825</v>
      </c>
      <c r="D2925" s="96" t="s">
        <v>208</v>
      </c>
      <c r="E2925" s="43">
        <v>46031</v>
      </c>
      <c r="F2925" s="43">
        <v>46074</v>
      </c>
      <c r="G2925" s="96" t="s">
        <v>90</v>
      </c>
      <c r="H2925" s="96" t="s">
        <v>2731</v>
      </c>
      <c r="I2925" s="96" t="s">
        <v>157</v>
      </c>
      <c r="J2925" s="96" t="s">
        <v>229</v>
      </c>
      <c r="K2925" s="96" t="s">
        <v>230</v>
      </c>
      <c r="L2925">
        <v>43</v>
      </c>
      <c r="M2925" t="s">
        <v>24</v>
      </c>
      <c r="N2925" t="s">
        <v>29</v>
      </c>
      <c r="O2925" t="s">
        <v>170</v>
      </c>
      <c r="P2925">
        <v>2026</v>
      </c>
    </row>
    <row r="2926" spans="1:16" hidden="1" x14ac:dyDescent="0.25">
      <c r="A2926" s="96" t="s">
        <v>2</v>
      </c>
      <c r="B2926" s="96" t="s">
        <v>264</v>
      </c>
      <c r="C2926" s="96" t="s">
        <v>2827</v>
      </c>
      <c r="D2926" s="96" t="s">
        <v>14</v>
      </c>
      <c r="E2926" s="43">
        <v>45795</v>
      </c>
      <c r="F2926" s="43">
        <v>45894</v>
      </c>
      <c r="G2926" s="96" t="s">
        <v>92</v>
      </c>
      <c r="H2926" s="96" t="s">
        <v>2733</v>
      </c>
      <c r="I2926" s="96" t="s">
        <v>228</v>
      </c>
      <c r="J2926" s="96" t="s">
        <v>177</v>
      </c>
      <c r="K2926" s="96" t="s">
        <v>217</v>
      </c>
      <c r="L2926">
        <v>99</v>
      </c>
      <c r="M2926" t="s">
        <v>28</v>
      </c>
      <c r="N2926" t="s">
        <v>182</v>
      </c>
      <c r="O2926" t="s">
        <v>152</v>
      </c>
      <c r="P2926">
        <v>2025</v>
      </c>
    </row>
    <row r="2927" spans="1:16" hidden="1" x14ac:dyDescent="0.25">
      <c r="A2927" s="96" t="s">
        <v>21</v>
      </c>
      <c r="B2927" s="96" t="s">
        <v>190</v>
      </c>
      <c r="C2927" s="96" t="s">
        <v>2829</v>
      </c>
      <c r="D2927" s="96" t="s">
        <v>14</v>
      </c>
      <c r="E2927" s="43">
        <v>45859</v>
      </c>
      <c r="F2927" s="43">
        <v>45953</v>
      </c>
      <c r="G2927" s="96" t="s">
        <v>90</v>
      </c>
      <c r="H2927" s="96" t="s">
        <v>6605</v>
      </c>
      <c r="I2927" s="96" t="s">
        <v>9</v>
      </c>
      <c r="J2927" s="96" t="s">
        <v>216</v>
      </c>
      <c r="K2927" s="96" t="s">
        <v>157</v>
      </c>
      <c r="L2927">
        <v>94</v>
      </c>
      <c r="M2927" t="s">
        <v>28</v>
      </c>
      <c r="N2927" t="s">
        <v>187</v>
      </c>
      <c r="O2927" t="s">
        <v>150</v>
      </c>
      <c r="P2927">
        <v>2025</v>
      </c>
    </row>
    <row r="2928" spans="1:16" hidden="1" x14ac:dyDescent="0.25">
      <c r="A2928" s="96" t="s">
        <v>2</v>
      </c>
      <c r="B2928" s="96" t="s">
        <v>231</v>
      </c>
      <c r="C2928" s="96" t="s">
        <v>6606</v>
      </c>
      <c r="D2928" s="96" t="s">
        <v>237</v>
      </c>
      <c r="E2928" s="43">
        <v>45750</v>
      </c>
      <c r="F2928" s="43">
        <v>45795</v>
      </c>
      <c r="G2928" s="96" t="s">
        <v>92</v>
      </c>
      <c r="H2928" s="96" t="s">
        <v>6607</v>
      </c>
      <c r="I2928" s="96" t="s">
        <v>228</v>
      </c>
      <c r="J2928" s="96" t="s">
        <v>96</v>
      </c>
      <c r="K2928" s="96" t="s">
        <v>210</v>
      </c>
      <c r="L2928">
        <v>45</v>
      </c>
      <c r="M2928" t="s">
        <v>24</v>
      </c>
      <c r="N2928" t="s">
        <v>185</v>
      </c>
      <c r="O2928" t="s">
        <v>170</v>
      </c>
      <c r="P2928">
        <v>2025</v>
      </c>
    </row>
    <row r="2929" spans="1:16" x14ac:dyDescent="0.25">
      <c r="A2929" s="96" t="s">
        <v>2</v>
      </c>
      <c r="B2929" s="96" t="s">
        <v>244</v>
      </c>
      <c r="C2929" s="96" t="s">
        <v>2831</v>
      </c>
      <c r="D2929" s="96" t="s">
        <v>223</v>
      </c>
      <c r="E2929" s="43">
        <v>46056</v>
      </c>
      <c r="F2929" s="43">
        <v>46147</v>
      </c>
      <c r="G2929" s="96" t="s">
        <v>92</v>
      </c>
      <c r="H2929" s="96" t="s">
        <v>6608</v>
      </c>
      <c r="I2929" s="96" t="s">
        <v>157</v>
      </c>
      <c r="J2929" s="96" t="s">
        <v>216</v>
      </c>
      <c r="K2929" s="96" t="s">
        <v>217</v>
      </c>
      <c r="L2929">
        <v>91</v>
      </c>
      <c r="M2929" t="s">
        <v>28</v>
      </c>
      <c r="N2929" t="s">
        <v>32</v>
      </c>
      <c r="O2929" t="s">
        <v>150</v>
      </c>
      <c r="P2929">
        <v>2026</v>
      </c>
    </row>
    <row r="2930" spans="1:16" hidden="1" x14ac:dyDescent="0.25">
      <c r="A2930" s="96" t="s">
        <v>2</v>
      </c>
      <c r="B2930" s="96" t="s">
        <v>231</v>
      </c>
      <c r="C2930" s="96" t="s">
        <v>6609</v>
      </c>
      <c r="D2930" s="96" t="s">
        <v>215</v>
      </c>
      <c r="E2930" s="43">
        <v>45913</v>
      </c>
      <c r="F2930" s="43">
        <v>45988</v>
      </c>
      <c r="G2930" s="96" t="s">
        <v>90</v>
      </c>
      <c r="H2930" s="96" t="s">
        <v>6610</v>
      </c>
      <c r="I2930" s="96" t="s">
        <v>209</v>
      </c>
      <c r="J2930" s="96" t="s">
        <v>91</v>
      </c>
      <c r="K2930" s="96" t="s">
        <v>246</v>
      </c>
      <c r="L2930">
        <v>75</v>
      </c>
      <c r="M2930" t="s">
        <v>28</v>
      </c>
      <c r="N2930" t="s">
        <v>12</v>
      </c>
      <c r="O2930" t="s">
        <v>170</v>
      </c>
      <c r="P2930">
        <v>2025</v>
      </c>
    </row>
    <row r="2931" spans="1:16" hidden="1" x14ac:dyDescent="0.25">
      <c r="A2931" s="96" t="s">
        <v>175</v>
      </c>
      <c r="B2931" s="96" t="s">
        <v>213</v>
      </c>
      <c r="C2931" s="96" t="s">
        <v>2832</v>
      </c>
      <c r="D2931" s="96" t="s">
        <v>203</v>
      </c>
      <c r="E2931" s="43">
        <v>45858</v>
      </c>
      <c r="F2931" s="43">
        <v>45967</v>
      </c>
      <c r="G2931" s="96" t="s">
        <v>92</v>
      </c>
      <c r="H2931" s="96" t="s">
        <v>6611</v>
      </c>
      <c r="I2931" s="96" t="s">
        <v>194</v>
      </c>
      <c r="J2931" s="96" t="s">
        <v>176</v>
      </c>
      <c r="K2931" s="96" t="s">
        <v>157</v>
      </c>
      <c r="L2931">
        <v>109</v>
      </c>
      <c r="M2931" t="s">
        <v>28</v>
      </c>
      <c r="N2931" t="s">
        <v>187</v>
      </c>
      <c r="O2931" t="s">
        <v>149</v>
      </c>
      <c r="P2931">
        <v>2025</v>
      </c>
    </row>
    <row r="2932" spans="1:16" x14ac:dyDescent="0.25">
      <c r="A2932" s="96" t="s">
        <v>2</v>
      </c>
      <c r="B2932" s="96" t="s">
        <v>302</v>
      </c>
      <c r="C2932" s="96" t="s">
        <v>6612</v>
      </c>
      <c r="D2932" s="96" t="s">
        <v>192</v>
      </c>
      <c r="E2932" s="43">
        <v>46026</v>
      </c>
      <c r="F2932" s="43">
        <v>46105</v>
      </c>
      <c r="G2932" s="96" t="s">
        <v>92</v>
      </c>
      <c r="H2932" s="96" t="s">
        <v>6613</v>
      </c>
      <c r="I2932" s="96" t="s">
        <v>225</v>
      </c>
      <c r="J2932" s="96" t="s">
        <v>98</v>
      </c>
      <c r="K2932" s="96" t="s">
        <v>195</v>
      </c>
      <c r="L2932">
        <v>79</v>
      </c>
      <c r="M2932" t="s">
        <v>28</v>
      </c>
      <c r="N2932" t="s">
        <v>29</v>
      </c>
      <c r="O2932" t="s">
        <v>150</v>
      </c>
      <c r="P2932">
        <v>2026</v>
      </c>
    </row>
    <row r="2933" spans="1:16" x14ac:dyDescent="0.25">
      <c r="A2933" s="96" t="s">
        <v>171</v>
      </c>
      <c r="B2933" s="96" t="s">
        <v>302</v>
      </c>
      <c r="C2933" s="96" t="s">
        <v>2833</v>
      </c>
      <c r="D2933" s="96" t="s">
        <v>192</v>
      </c>
      <c r="E2933" s="43">
        <v>46081</v>
      </c>
      <c r="F2933" s="43">
        <v>46150</v>
      </c>
      <c r="G2933" s="96" t="s">
        <v>90</v>
      </c>
      <c r="H2933" s="96" t="s">
        <v>6614</v>
      </c>
      <c r="I2933" s="96" t="s">
        <v>204</v>
      </c>
      <c r="J2933" s="96" t="s">
        <v>168</v>
      </c>
      <c r="K2933" s="96" t="s">
        <v>210</v>
      </c>
      <c r="L2933">
        <v>69</v>
      </c>
      <c r="M2933" t="s">
        <v>28</v>
      </c>
      <c r="N2933" t="s">
        <v>32</v>
      </c>
      <c r="O2933" t="s">
        <v>150</v>
      </c>
      <c r="P2933">
        <v>2026</v>
      </c>
    </row>
    <row r="2934" spans="1:16" hidden="1" x14ac:dyDescent="0.25">
      <c r="A2934" s="96" t="s">
        <v>2</v>
      </c>
      <c r="B2934" s="96" t="s">
        <v>190</v>
      </c>
      <c r="C2934" s="96" t="s">
        <v>2835</v>
      </c>
      <c r="D2934" s="96" t="s">
        <v>215</v>
      </c>
      <c r="E2934" s="43">
        <v>45871</v>
      </c>
      <c r="F2934" s="43">
        <v>45966</v>
      </c>
      <c r="G2934" s="96" t="s">
        <v>90</v>
      </c>
      <c r="H2934" s="96" t="s">
        <v>6615</v>
      </c>
      <c r="I2934" s="96" t="s">
        <v>225</v>
      </c>
      <c r="J2934" s="96" t="s">
        <v>96</v>
      </c>
      <c r="K2934" s="96" t="s">
        <v>195</v>
      </c>
      <c r="L2934">
        <v>95</v>
      </c>
      <c r="M2934" t="s">
        <v>28</v>
      </c>
      <c r="N2934" t="s">
        <v>8</v>
      </c>
      <c r="O2934" t="s">
        <v>150</v>
      </c>
      <c r="P2934">
        <v>2025</v>
      </c>
    </row>
    <row r="2935" spans="1:16" hidden="1" x14ac:dyDescent="0.25">
      <c r="A2935" s="96" t="s">
        <v>175</v>
      </c>
      <c r="B2935" s="96" t="s">
        <v>221</v>
      </c>
      <c r="C2935" s="96" t="s">
        <v>2836</v>
      </c>
      <c r="D2935" s="96" t="s">
        <v>14</v>
      </c>
      <c r="E2935" s="43">
        <v>45747</v>
      </c>
      <c r="F2935" s="43">
        <v>45850</v>
      </c>
      <c r="G2935" s="96" t="s">
        <v>92</v>
      </c>
      <c r="H2935" s="96" t="s">
        <v>6616</v>
      </c>
      <c r="I2935" s="96" t="s">
        <v>209</v>
      </c>
      <c r="J2935" s="96" t="s">
        <v>283</v>
      </c>
      <c r="K2935" s="96" t="s">
        <v>233</v>
      </c>
      <c r="L2935">
        <v>103</v>
      </c>
      <c r="M2935" t="s">
        <v>28</v>
      </c>
      <c r="N2935" t="s">
        <v>186</v>
      </c>
      <c r="O2935" t="s">
        <v>170</v>
      </c>
      <c r="P2935">
        <v>2025</v>
      </c>
    </row>
    <row r="2936" spans="1:16" hidden="1" x14ac:dyDescent="0.25">
      <c r="A2936" s="96" t="s">
        <v>2</v>
      </c>
      <c r="B2936" s="96" t="s">
        <v>221</v>
      </c>
      <c r="C2936" s="96" t="s">
        <v>2838</v>
      </c>
      <c r="D2936" s="96" t="s">
        <v>10</v>
      </c>
      <c r="E2936" s="43">
        <v>45671</v>
      </c>
      <c r="F2936" s="43">
        <v>45747</v>
      </c>
      <c r="G2936" s="96" t="s">
        <v>92</v>
      </c>
      <c r="H2936" s="96" t="s">
        <v>2741</v>
      </c>
      <c r="I2936" s="96" t="s">
        <v>228</v>
      </c>
      <c r="J2936" s="96" t="s">
        <v>91</v>
      </c>
      <c r="K2936" s="96" t="s">
        <v>205</v>
      </c>
      <c r="L2936">
        <v>76</v>
      </c>
      <c r="M2936" t="s">
        <v>28</v>
      </c>
      <c r="N2936" t="s">
        <v>181</v>
      </c>
      <c r="O2936" t="s">
        <v>170</v>
      </c>
      <c r="P2936">
        <v>2025</v>
      </c>
    </row>
    <row r="2937" spans="1:16" hidden="1" x14ac:dyDescent="0.25">
      <c r="A2937" s="96" t="s">
        <v>2</v>
      </c>
      <c r="B2937" s="96" t="s">
        <v>255</v>
      </c>
      <c r="C2937" s="96" t="s">
        <v>2840</v>
      </c>
      <c r="D2937" s="96" t="s">
        <v>208</v>
      </c>
      <c r="E2937" s="43">
        <v>45748</v>
      </c>
      <c r="F2937" s="43">
        <v>45805</v>
      </c>
      <c r="G2937" s="96" t="s">
        <v>92</v>
      </c>
      <c r="H2937" s="96" t="s">
        <v>6617</v>
      </c>
      <c r="I2937" s="96" t="s">
        <v>204</v>
      </c>
      <c r="J2937" s="96" t="s">
        <v>168</v>
      </c>
      <c r="K2937" s="96" t="s">
        <v>210</v>
      </c>
      <c r="L2937">
        <v>57</v>
      </c>
      <c r="M2937" t="s">
        <v>24</v>
      </c>
      <c r="N2937" t="s">
        <v>185</v>
      </c>
      <c r="O2937" t="s">
        <v>150</v>
      </c>
      <c r="P2937">
        <v>2025</v>
      </c>
    </row>
    <row r="2938" spans="1:16" hidden="1" x14ac:dyDescent="0.25">
      <c r="A2938" s="96" t="s">
        <v>2</v>
      </c>
      <c r="B2938" s="96" t="s">
        <v>247</v>
      </c>
      <c r="C2938" s="96" t="s">
        <v>2841</v>
      </c>
      <c r="D2938" s="96" t="s">
        <v>223</v>
      </c>
      <c r="E2938" s="43">
        <v>45777</v>
      </c>
      <c r="F2938" s="43">
        <v>45880</v>
      </c>
      <c r="G2938" s="96" t="s">
        <v>90</v>
      </c>
      <c r="H2938" s="96" t="s">
        <v>6618</v>
      </c>
      <c r="I2938" s="96" t="s">
        <v>225</v>
      </c>
      <c r="J2938" s="96" t="s">
        <v>173</v>
      </c>
      <c r="K2938" s="96" t="s">
        <v>200</v>
      </c>
      <c r="L2938">
        <v>103</v>
      </c>
      <c r="M2938" t="s">
        <v>28</v>
      </c>
      <c r="N2938" t="s">
        <v>185</v>
      </c>
      <c r="O2938" t="s">
        <v>150</v>
      </c>
      <c r="P2938">
        <v>2025</v>
      </c>
    </row>
    <row r="2939" spans="1:16" hidden="1" x14ac:dyDescent="0.25">
      <c r="A2939" s="96" t="s">
        <v>2</v>
      </c>
      <c r="B2939" s="96" t="s">
        <v>251</v>
      </c>
      <c r="C2939" s="96" t="s">
        <v>2842</v>
      </c>
      <c r="D2939" s="96" t="s">
        <v>14</v>
      </c>
      <c r="E2939" s="43">
        <v>46017</v>
      </c>
      <c r="F2939" s="43">
        <v>46117</v>
      </c>
      <c r="G2939" s="96" t="s">
        <v>92</v>
      </c>
      <c r="H2939" s="96" t="s">
        <v>2745</v>
      </c>
      <c r="I2939" s="96" t="s">
        <v>225</v>
      </c>
      <c r="J2939" s="96" t="s">
        <v>91</v>
      </c>
      <c r="K2939" s="96" t="s">
        <v>217</v>
      </c>
      <c r="L2939">
        <v>100</v>
      </c>
      <c r="M2939" t="s">
        <v>28</v>
      </c>
      <c r="N2939" t="s">
        <v>25</v>
      </c>
      <c r="O2939" t="s">
        <v>170</v>
      </c>
      <c r="P2939">
        <v>2025</v>
      </c>
    </row>
    <row r="2940" spans="1:16" hidden="1" x14ac:dyDescent="0.25">
      <c r="A2940" s="96" t="s">
        <v>2</v>
      </c>
      <c r="B2940" s="96" t="s">
        <v>264</v>
      </c>
      <c r="C2940" s="96" t="s">
        <v>6619</v>
      </c>
      <c r="D2940" s="96" t="s">
        <v>237</v>
      </c>
      <c r="E2940" s="43">
        <v>45660</v>
      </c>
      <c r="F2940" s="43">
        <v>45755</v>
      </c>
      <c r="G2940" s="96" t="s">
        <v>92</v>
      </c>
      <c r="H2940" s="96" t="s">
        <v>2747</v>
      </c>
      <c r="I2940" s="96" t="s">
        <v>209</v>
      </c>
      <c r="J2940" s="96" t="s">
        <v>96</v>
      </c>
      <c r="K2940" s="96" t="s">
        <v>246</v>
      </c>
      <c r="L2940">
        <v>95</v>
      </c>
      <c r="M2940" t="s">
        <v>28</v>
      </c>
      <c r="N2940" t="s">
        <v>181</v>
      </c>
      <c r="O2940" t="s">
        <v>152</v>
      </c>
      <c r="P2940">
        <v>2025</v>
      </c>
    </row>
    <row r="2941" spans="1:16" hidden="1" x14ac:dyDescent="0.25">
      <c r="A2941" s="96" t="s">
        <v>2</v>
      </c>
      <c r="B2941" s="96" t="s">
        <v>264</v>
      </c>
      <c r="C2941" s="96" t="s">
        <v>2843</v>
      </c>
      <c r="D2941" s="96" t="s">
        <v>215</v>
      </c>
      <c r="E2941" s="43">
        <v>45702</v>
      </c>
      <c r="F2941" s="43">
        <v>45771</v>
      </c>
      <c r="G2941" s="96" t="s">
        <v>92</v>
      </c>
      <c r="H2941" s="96" t="s">
        <v>6620</v>
      </c>
      <c r="I2941" s="96" t="s">
        <v>194</v>
      </c>
      <c r="J2941" s="96" t="s">
        <v>169</v>
      </c>
      <c r="K2941" s="96" t="s">
        <v>200</v>
      </c>
      <c r="L2941">
        <v>69</v>
      </c>
      <c r="M2941" t="s">
        <v>28</v>
      </c>
      <c r="N2941" t="s">
        <v>188</v>
      </c>
      <c r="O2941" t="s">
        <v>152</v>
      </c>
      <c r="P2941">
        <v>2025</v>
      </c>
    </row>
    <row r="2942" spans="1:16" x14ac:dyDescent="0.25">
      <c r="A2942" s="96" t="s">
        <v>2</v>
      </c>
      <c r="B2942" s="96" t="s">
        <v>261</v>
      </c>
      <c r="C2942" s="96" t="s">
        <v>2844</v>
      </c>
      <c r="D2942" s="96" t="s">
        <v>192</v>
      </c>
      <c r="E2942" s="43">
        <v>46039</v>
      </c>
      <c r="F2942" s="43">
        <v>46088</v>
      </c>
      <c r="G2942" s="96" t="s">
        <v>92</v>
      </c>
      <c r="H2942" s="96" t="s">
        <v>2749</v>
      </c>
      <c r="I2942" s="96" t="s">
        <v>194</v>
      </c>
      <c r="J2942" s="96" t="s">
        <v>283</v>
      </c>
      <c r="K2942" s="96" t="s">
        <v>246</v>
      </c>
      <c r="L2942">
        <v>49</v>
      </c>
      <c r="M2942" t="s">
        <v>24</v>
      </c>
      <c r="N2942" t="s">
        <v>29</v>
      </c>
      <c r="O2942" t="s">
        <v>151</v>
      </c>
      <c r="P2942">
        <v>2026</v>
      </c>
    </row>
    <row r="2943" spans="1:16" hidden="1" x14ac:dyDescent="0.25">
      <c r="A2943" s="96" t="s">
        <v>2</v>
      </c>
      <c r="B2943" s="96" t="s">
        <v>247</v>
      </c>
      <c r="C2943" s="96" t="s">
        <v>2845</v>
      </c>
      <c r="D2943" s="96" t="s">
        <v>14</v>
      </c>
      <c r="E2943" s="43">
        <v>45752</v>
      </c>
      <c r="F2943" s="43">
        <v>45770</v>
      </c>
      <c r="G2943" s="96" t="s">
        <v>92</v>
      </c>
      <c r="H2943" s="96" t="s">
        <v>2751</v>
      </c>
      <c r="I2943" s="96" t="s">
        <v>157</v>
      </c>
      <c r="J2943" s="96" t="s">
        <v>96</v>
      </c>
      <c r="K2943" s="96" t="s">
        <v>205</v>
      </c>
      <c r="L2943">
        <v>18</v>
      </c>
      <c r="M2943" t="s">
        <v>19</v>
      </c>
      <c r="N2943" t="s">
        <v>185</v>
      </c>
      <c r="O2943" t="s">
        <v>150</v>
      </c>
      <c r="P2943">
        <v>2025</v>
      </c>
    </row>
    <row r="2944" spans="1:16" hidden="1" x14ac:dyDescent="0.25">
      <c r="A2944" s="96" t="s">
        <v>21</v>
      </c>
      <c r="B2944" s="96" t="s">
        <v>206</v>
      </c>
      <c r="C2944" s="96" t="s">
        <v>2846</v>
      </c>
      <c r="D2944" s="96" t="s">
        <v>192</v>
      </c>
      <c r="E2944" s="43">
        <v>45660</v>
      </c>
      <c r="F2944" s="43">
        <v>45755</v>
      </c>
      <c r="G2944" s="96" t="s">
        <v>92</v>
      </c>
      <c r="H2944" s="96" t="s">
        <v>6621</v>
      </c>
      <c r="I2944" s="96" t="s">
        <v>9</v>
      </c>
      <c r="J2944" s="96" t="s">
        <v>283</v>
      </c>
      <c r="K2944" s="96" t="s">
        <v>210</v>
      </c>
      <c r="L2944">
        <v>95</v>
      </c>
      <c r="M2944" t="s">
        <v>28</v>
      </c>
      <c r="N2944" t="s">
        <v>181</v>
      </c>
      <c r="O2944" t="s">
        <v>152</v>
      </c>
      <c r="P2944">
        <v>2025</v>
      </c>
    </row>
    <row r="2945" spans="1:16" hidden="1" x14ac:dyDescent="0.25">
      <c r="A2945" s="96" t="s">
        <v>2</v>
      </c>
      <c r="B2945" s="96" t="s">
        <v>272</v>
      </c>
      <c r="C2945" s="96" t="s">
        <v>2847</v>
      </c>
      <c r="D2945" s="96" t="s">
        <v>34</v>
      </c>
      <c r="E2945" s="43">
        <v>45719</v>
      </c>
      <c r="F2945" s="43">
        <v>45783</v>
      </c>
      <c r="G2945" s="96" t="s">
        <v>90</v>
      </c>
      <c r="H2945" s="96" t="s">
        <v>6622</v>
      </c>
      <c r="I2945" s="96" t="s">
        <v>225</v>
      </c>
      <c r="J2945" s="96" t="s">
        <v>199</v>
      </c>
      <c r="K2945" s="96" t="s">
        <v>210</v>
      </c>
      <c r="L2945">
        <v>64</v>
      </c>
      <c r="M2945" t="s">
        <v>28</v>
      </c>
      <c r="N2945" t="s">
        <v>186</v>
      </c>
      <c r="O2945" t="s">
        <v>151</v>
      </c>
      <c r="P2945">
        <v>2025</v>
      </c>
    </row>
    <row r="2946" spans="1:16" hidden="1" x14ac:dyDescent="0.25">
      <c r="A2946" s="96" t="s">
        <v>2</v>
      </c>
      <c r="B2946" s="96" t="s">
        <v>251</v>
      </c>
      <c r="C2946" s="96" t="s">
        <v>2848</v>
      </c>
      <c r="D2946" s="96" t="s">
        <v>215</v>
      </c>
      <c r="E2946" s="43">
        <v>45725</v>
      </c>
      <c r="F2946" s="43">
        <v>45808</v>
      </c>
      <c r="G2946" s="96" t="s">
        <v>92</v>
      </c>
      <c r="H2946" s="96" t="s">
        <v>6623</v>
      </c>
      <c r="I2946" s="96" t="s">
        <v>204</v>
      </c>
      <c r="J2946" s="96" t="s">
        <v>93</v>
      </c>
      <c r="K2946" s="96" t="s">
        <v>205</v>
      </c>
      <c r="L2946">
        <v>83</v>
      </c>
      <c r="M2946" t="s">
        <v>28</v>
      </c>
      <c r="N2946" t="s">
        <v>186</v>
      </c>
      <c r="O2946" t="s">
        <v>170</v>
      </c>
      <c r="P2946">
        <v>2025</v>
      </c>
    </row>
    <row r="2947" spans="1:16" x14ac:dyDescent="0.25">
      <c r="A2947" s="96" t="s">
        <v>171</v>
      </c>
      <c r="B2947" s="96" t="s">
        <v>201</v>
      </c>
      <c r="C2947" s="96" t="s">
        <v>2849</v>
      </c>
      <c r="D2947" s="96" t="s">
        <v>237</v>
      </c>
      <c r="E2947" s="43">
        <v>46098</v>
      </c>
      <c r="F2947" s="43">
        <v>46127</v>
      </c>
      <c r="G2947" s="96" t="s">
        <v>92</v>
      </c>
      <c r="H2947" s="96" t="s">
        <v>6624</v>
      </c>
      <c r="I2947" s="96" t="s">
        <v>225</v>
      </c>
      <c r="J2947" s="96" t="s">
        <v>91</v>
      </c>
      <c r="K2947" s="96" t="s">
        <v>200</v>
      </c>
      <c r="L2947">
        <v>29</v>
      </c>
      <c r="M2947" t="s">
        <v>19</v>
      </c>
      <c r="N2947" t="s">
        <v>35</v>
      </c>
      <c r="O2947" t="s">
        <v>170</v>
      </c>
      <c r="P2947">
        <v>2026</v>
      </c>
    </row>
    <row r="2948" spans="1:16" hidden="1" x14ac:dyDescent="0.25">
      <c r="A2948" s="96" t="s">
        <v>2</v>
      </c>
      <c r="B2948" s="96" t="s">
        <v>231</v>
      </c>
      <c r="C2948" s="96" t="s">
        <v>2850</v>
      </c>
      <c r="D2948" s="96" t="s">
        <v>192</v>
      </c>
      <c r="E2948" s="43">
        <v>45868</v>
      </c>
      <c r="F2948" s="43">
        <v>45938</v>
      </c>
      <c r="G2948" s="96" t="s">
        <v>92</v>
      </c>
      <c r="H2948" s="96" t="s">
        <v>6625</v>
      </c>
      <c r="I2948" s="96" t="s">
        <v>209</v>
      </c>
      <c r="J2948" s="96" t="s">
        <v>168</v>
      </c>
      <c r="K2948" s="96" t="s">
        <v>200</v>
      </c>
      <c r="L2948">
        <v>70</v>
      </c>
      <c r="M2948" t="s">
        <v>28</v>
      </c>
      <c r="N2948" t="s">
        <v>187</v>
      </c>
      <c r="O2948" t="s">
        <v>170</v>
      </c>
      <c r="P2948">
        <v>2025</v>
      </c>
    </row>
    <row r="2949" spans="1:16" x14ac:dyDescent="0.25">
      <c r="A2949" s="96" t="s">
        <v>2</v>
      </c>
      <c r="B2949" s="96" t="s">
        <v>249</v>
      </c>
      <c r="C2949" s="96" t="s">
        <v>6626</v>
      </c>
      <c r="D2949" s="96" t="s">
        <v>192</v>
      </c>
      <c r="E2949" s="43">
        <v>46033</v>
      </c>
      <c r="F2949" s="43">
        <v>46056</v>
      </c>
      <c r="G2949" s="96" t="s">
        <v>92</v>
      </c>
      <c r="H2949" s="96" t="s">
        <v>6627</v>
      </c>
      <c r="I2949" s="96" t="s">
        <v>209</v>
      </c>
      <c r="J2949" s="96" t="s">
        <v>199</v>
      </c>
      <c r="K2949" s="96" t="s">
        <v>157</v>
      </c>
      <c r="L2949">
        <v>23</v>
      </c>
      <c r="M2949" t="s">
        <v>19</v>
      </c>
      <c r="N2949" t="s">
        <v>29</v>
      </c>
      <c r="O2949" t="s">
        <v>170</v>
      </c>
      <c r="P2949">
        <v>2026</v>
      </c>
    </row>
    <row r="2950" spans="1:16" x14ac:dyDescent="0.25">
      <c r="A2950" s="96" t="s">
        <v>2</v>
      </c>
      <c r="B2950" s="96" t="s">
        <v>196</v>
      </c>
      <c r="C2950" s="96" t="s">
        <v>2851</v>
      </c>
      <c r="D2950" s="96" t="s">
        <v>215</v>
      </c>
      <c r="E2950" s="43">
        <v>46132</v>
      </c>
      <c r="F2950" s="43">
        <v>46150</v>
      </c>
      <c r="G2950" s="96" t="s">
        <v>92</v>
      </c>
      <c r="H2950" s="96" t="s">
        <v>6628</v>
      </c>
      <c r="I2950" s="96" t="s">
        <v>209</v>
      </c>
      <c r="J2950" s="96" t="s">
        <v>283</v>
      </c>
      <c r="K2950" s="96" t="s">
        <v>200</v>
      </c>
      <c r="L2950">
        <v>18</v>
      </c>
      <c r="M2950" t="s">
        <v>19</v>
      </c>
      <c r="N2950" t="s">
        <v>37</v>
      </c>
      <c r="O2950" t="s">
        <v>152</v>
      </c>
      <c r="P2950">
        <v>2026</v>
      </c>
    </row>
    <row r="2951" spans="1:16" hidden="1" x14ac:dyDescent="0.25">
      <c r="A2951" s="96" t="s">
        <v>2</v>
      </c>
      <c r="B2951" s="96" t="s">
        <v>206</v>
      </c>
      <c r="C2951" s="96" t="s">
        <v>6629</v>
      </c>
      <c r="D2951" s="96" t="s">
        <v>237</v>
      </c>
      <c r="E2951" s="43">
        <v>45663</v>
      </c>
      <c r="F2951" s="43">
        <v>45704</v>
      </c>
      <c r="G2951" s="96" t="s">
        <v>90</v>
      </c>
      <c r="H2951" s="96" t="s">
        <v>6630</v>
      </c>
      <c r="I2951" s="96" t="s">
        <v>194</v>
      </c>
      <c r="J2951" s="96" t="s">
        <v>165</v>
      </c>
      <c r="K2951" s="96" t="s">
        <v>210</v>
      </c>
      <c r="L2951">
        <v>41</v>
      </c>
      <c r="M2951" t="s">
        <v>24</v>
      </c>
      <c r="N2951" t="s">
        <v>181</v>
      </c>
      <c r="O2951" t="s">
        <v>152</v>
      </c>
      <c r="P2951">
        <v>2025</v>
      </c>
    </row>
    <row r="2952" spans="1:16" hidden="1" x14ac:dyDescent="0.25">
      <c r="A2952" s="96" t="s">
        <v>2</v>
      </c>
      <c r="B2952" s="96" t="s">
        <v>251</v>
      </c>
      <c r="C2952" s="96" t="s">
        <v>2852</v>
      </c>
      <c r="D2952" s="96" t="s">
        <v>14</v>
      </c>
      <c r="E2952" s="43">
        <v>45790</v>
      </c>
      <c r="F2952" s="43">
        <v>45852</v>
      </c>
      <c r="G2952" s="96" t="s">
        <v>90</v>
      </c>
      <c r="H2952" s="96" t="s">
        <v>6631</v>
      </c>
      <c r="I2952" s="96" t="s">
        <v>225</v>
      </c>
      <c r="J2952" s="96" t="s">
        <v>199</v>
      </c>
      <c r="K2952" s="96" t="s">
        <v>246</v>
      </c>
      <c r="L2952">
        <v>62</v>
      </c>
      <c r="M2952" t="s">
        <v>28</v>
      </c>
      <c r="N2952" t="s">
        <v>182</v>
      </c>
      <c r="O2952" t="s">
        <v>170</v>
      </c>
      <c r="P2952">
        <v>2025</v>
      </c>
    </row>
    <row r="2953" spans="1:16" x14ac:dyDescent="0.25">
      <c r="A2953" s="96" t="s">
        <v>2</v>
      </c>
      <c r="B2953" s="96" t="s">
        <v>261</v>
      </c>
      <c r="C2953" s="96" t="s">
        <v>2853</v>
      </c>
      <c r="D2953" s="96" t="s">
        <v>10</v>
      </c>
      <c r="E2953" s="43">
        <v>46100</v>
      </c>
      <c r="F2953" s="43">
        <v>46151</v>
      </c>
      <c r="G2953" s="96" t="s">
        <v>92</v>
      </c>
      <c r="H2953" s="96" t="s">
        <v>2762</v>
      </c>
      <c r="I2953" s="96" t="s">
        <v>204</v>
      </c>
      <c r="J2953" s="96" t="s">
        <v>165</v>
      </c>
      <c r="K2953" s="96" t="s">
        <v>157</v>
      </c>
      <c r="L2953">
        <v>51</v>
      </c>
      <c r="M2953" t="s">
        <v>24</v>
      </c>
      <c r="N2953" t="s">
        <v>35</v>
      </c>
      <c r="O2953" t="s">
        <v>151</v>
      </c>
      <c r="P2953">
        <v>2026</v>
      </c>
    </row>
    <row r="2954" spans="1:16" hidden="1" x14ac:dyDescent="0.25">
      <c r="A2954" s="96" t="s">
        <v>2</v>
      </c>
      <c r="B2954" s="96" t="s">
        <v>240</v>
      </c>
      <c r="C2954" s="96" t="s">
        <v>2854</v>
      </c>
      <c r="D2954" s="96" t="s">
        <v>223</v>
      </c>
      <c r="E2954" s="43">
        <v>45971</v>
      </c>
      <c r="F2954" s="43">
        <v>45997</v>
      </c>
      <c r="G2954" s="96" t="s">
        <v>90</v>
      </c>
      <c r="H2954" s="96" t="s">
        <v>2764</v>
      </c>
      <c r="I2954" s="96" t="s">
        <v>209</v>
      </c>
      <c r="J2954" s="96" t="s">
        <v>98</v>
      </c>
      <c r="K2954" s="96" t="s">
        <v>217</v>
      </c>
      <c r="L2954">
        <v>26</v>
      </c>
      <c r="M2954" t="s">
        <v>19</v>
      </c>
      <c r="N2954" t="s">
        <v>20</v>
      </c>
      <c r="O2954" t="s">
        <v>149</v>
      </c>
      <c r="P2954">
        <v>2025</v>
      </c>
    </row>
    <row r="2955" spans="1:16" hidden="1" x14ac:dyDescent="0.25">
      <c r="A2955" s="96" t="s">
        <v>2</v>
      </c>
      <c r="B2955" s="96" t="s">
        <v>240</v>
      </c>
      <c r="C2955" s="96" t="s">
        <v>2855</v>
      </c>
      <c r="D2955" s="96" t="s">
        <v>215</v>
      </c>
      <c r="E2955" s="43">
        <v>45909</v>
      </c>
      <c r="F2955" s="43">
        <v>45943</v>
      </c>
      <c r="G2955" s="96" t="s">
        <v>92</v>
      </c>
      <c r="H2955" s="96" t="s">
        <v>6632</v>
      </c>
      <c r="I2955" s="96" t="s">
        <v>9</v>
      </c>
      <c r="J2955" s="96" t="s">
        <v>93</v>
      </c>
      <c r="K2955" s="96" t="s">
        <v>200</v>
      </c>
      <c r="L2955">
        <v>34</v>
      </c>
      <c r="M2955" t="s">
        <v>24</v>
      </c>
      <c r="N2955" t="s">
        <v>12</v>
      </c>
      <c r="O2955" t="s">
        <v>149</v>
      </c>
      <c r="P2955">
        <v>2025</v>
      </c>
    </row>
    <row r="2956" spans="1:16" hidden="1" x14ac:dyDescent="0.25">
      <c r="A2956" s="96" t="s">
        <v>2</v>
      </c>
      <c r="B2956" s="96" t="s">
        <v>257</v>
      </c>
      <c r="C2956" s="96" t="s">
        <v>6633</v>
      </c>
      <c r="D2956" s="96" t="s">
        <v>10</v>
      </c>
      <c r="E2956" s="43">
        <v>45658</v>
      </c>
      <c r="F2956" s="43">
        <v>45692</v>
      </c>
      <c r="G2956" s="96" t="s">
        <v>92</v>
      </c>
      <c r="H2956" s="96" t="s">
        <v>6634</v>
      </c>
      <c r="I2956" s="96" t="s">
        <v>225</v>
      </c>
      <c r="J2956" s="96" t="s">
        <v>93</v>
      </c>
      <c r="K2956" s="96" t="s">
        <v>210</v>
      </c>
      <c r="L2956">
        <v>34</v>
      </c>
      <c r="M2956" t="s">
        <v>24</v>
      </c>
      <c r="N2956" t="s">
        <v>181</v>
      </c>
      <c r="O2956" t="s">
        <v>151</v>
      </c>
      <c r="P2956">
        <v>2025</v>
      </c>
    </row>
    <row r="2957" spans="1:16" x14ac:dyDescent="0.25">
      <c r="A2957" s="96" t="s">
        <v>2</v>
      </c>
      <c r="B2957" s="96" t="s">
        <v>196</v>
      </c>
      <c r="C2957" s="96" t="s">
        <v>6635</v>
      </c>
      <c r="D2957" s="96" t="s">
        <v>14</v>
      </c>
      <c r="E2957" s="43">
        <v>46145</v>
      </c>
      <c r="F2957" s="43">
        <v>46149</v>
      </c>
      <c r="G2957" s="96" t="s">
        <v>92</v>
      </c>
      <c r="H2957" s="96" t="s">
        <v>2767</v>
      </c>
      <c r="I2957" s="96" t="s">
        <v>204</v>
      </c>
      <c r="J2957" s="96" t="s">
        <v>173</v>
      </c>
      <c r="K2957" s="96" t="s">
        <v>200</v>
      </c>
      <c r="L2957">
        <v>4</v>
      </c>
      <c r="M2957" t="s">
        <v>11</v>
      </c>
      <c r="N2957" t="s">
        <v>183</v>
      </c>
      <c r="O2957" t="s">
        <v>152</v>
      </c>
      <c r="P2957">
        <v>2026</v>
      </c>
    </row>
    <row r="2958" spans="1:16" x14ac:dyDescent="0.25">
      <c r="A2958" s="96" t="s">
        <v>2</v>
      </c>
      <c r="B2958" s="96" t="s">
        <v>196</v>
      </c>
      <c r="C2958" s="96" t="s">
        <v>2857</v>
      </c>
      <c r="D2958" s="96" t="s">
        <v>203</v>
      </c>
      <c r="E2958" s="43">
        <v>46038</v>
      </c>
      <c r="F2958" s="43">
        <v>46117</v>
      </c>
      <c r="G2958" s="96" t="s">
        <v>90</v>
      </c>
      <c r="H2958" s="96" t="s">
        <v>6636</v>
      </c>
      <c r="I2958" s="96" t="s">
        <v>204</v>
      </c>
      <c r="J2958" s="96" t="s">
        <v>174</v>
      </c>
      <c r="K2958" s="96" t="s">
        <v>210</v>
      </c>
      <c r="L2958">
        <v>79</v>
      </c>
      <c r="M2958" t="s">
        <v>28</v>
      </c>
      <c r="N2958" t="s">
        <v>29</v>
      </c>
      <c r="O2958" t="s">
        <v>152</v>
      </c>
      <c r="P2958">
        <v>2026</v>
      </c>
    </row>
    <row r="2959" spans="1:16" hidden="1" x14ac:dyDescent="0.25">
      <c r="A2959" s="96" t="s">
        <v>189</v>
      </c>
      <c r="B2959" s="96" t="s">
        <v>322</v>
      </c>
      <c r="C2959" s="96" t="s">
        <v>2858</v>
      </c>
      <c r="D2959" s="96" t="s">
        <v>208</v>
      </c>
      <c r="E2959" s="43">
        <v>45925</v>
      </c>
      <c r="F2959" s="43">
        <v>45949</v>
      </c>
      <c r="G2959" s="96" t="s">
        <v>92</v>
      </c>
      <c r="H2959" s="96" t="s">
        <v>6637</v>
      </c>
      <c r="I2959" s="96" t="s">
        <v>228</v>
      </c>
      <c r="J2959" s="96" t="s">
        <v>91</v>
      </c>
      <c r="K2959" s="96" t="s">
        <v>230</v>
      </c>
      <c r="L2959">
        <v>24</v>
      </c>
      <c r="M2959" t="s">
        <v>19</v>
      </c>
      <c r="N2959" t="s">
        <v>12</v>
      </c>
      <c r="O2959" t="s">
        <v>150</v>
      </c>
      <c r="P2959">
        <v>2025</v>
      </c>
    </row>
    <row r="2960" spans="1:16" hidden="1" x14ac:dyDescent="0.25">
      <c r="A2960" s="96" t="s">
        <v>2</v>
      </c>
      <c r="B2960" s="96" t="s">
        <v>231</v>
      </c>
      <c r="C2960" s="96" t="s">
        <v>2859</v>
      </c>
      <c r="D2960" s="96" t="s">
        <v>215</v>
      </c>
      <c r="E2960" s="43">
        <v>45858</v>
      </c>
      <c r="F2960" s="43">
        <v>45949</v>
      </c>
      <c r="G2960" s="96" t="s">
        <v>90</v>
      </c>
      <c r="H2960" s="96" t="s">
        <v>2770</v>
      </c>
      <c r="I2960" s="96" t="s">
        <v>194</v>
      </c>
      <c r="J2960" s="96" t="s">
        <v>283</v>
      </c>
      <c r="K2960" s="96" t="s">
        <v>205</v>
      </c>
      <c r="L2960">
        <v>91</v>
      </c>
      <c r="M2960" t="s">
        <v>28</v>
      </c>
      <c r="N2960" t="s">
        <v>187</v>
      </c>
      <c r="O2960" t="s">
        <v>170</v>
      </c>
      <c r="P2960">
        <v>2025</v>
      </c>
    </row>
    <row r="2961" spans="1:16" hidden="1" x14ac:dyDescent="0.25">
      <c r="A2961" s="96" t="s">
        <v>2</v>
      </c>
      <c r="B2961" s="96" t="s">
        <v>257</v>
      </c>
      <c r="C2961" s="96" t="s">
        <v>2860</v>
      </c>
      <c r="D2961" s="96" t="s">
        <v>215</v>
      </c>
      <c r="E2961" s="43">
        <v>45748</v>
      </c>
      <c r="F2961" s="43">
        <v>45813</v>
      </c>
      <c r="G2961" s="96" t="s">
        <v>90</v>
      </c>
      <c r="H2961" s="96" t="s">
        <v>2772</v>
      </c>
      <c r="I2961" s="96" t="s">
        <v>209</v>
      </c>
      <c r="J2961" s="96" t="s">
        <v>174</v>
      </c>
      <c r="K2961" s="96" t="s">
        <v>200</v>
      </c>
      <c r="L2961">
        <v>65</v>
      </c>
      <c r="M2961" t="s">
        <v>28</v>
      </c>
      <c r="N2961" t="s">
        <v>185</v>
      </c>
      <c r="O2961" t="s">
        <v>151</v>
      </c>
      <c r="P2961">
        <v>2025</v>
      </c>
    </row>
    <row r="2962" spans="1:16" hidden="1" x14ac:dyDescent="0.25">
      <c r="A2962" s="96" t="s">
        <v>175</v>
      </c>
      <c r="B2962" s="96" t="s">
        <v>264</v>
      </c>
      <c r="C2962" s="96" t="s">
        <v>2861</v>
      </c>
      <c r="D2962" s="96" t="s">
        <v>192</v>
      </c>
      <c r="E2962" s="43">
        <v>45757</v>
      </c>
      <c r="F2962" s="43">
        <v>45835</v>
      </c>
      <c r="G2962" s="96" t="s">
        <v>92</v>
      </c>
      <c r="H2962" s="96" t="s">
        <v>6638</v>
      </c>
      <c r="I2962" s="96" t="s">
        <v>204</v>
      </c>
      <c r="J2962" s="96" t="s">
        <v>169</v>
      </c>
      <c r="K2962" s="96" t="s">
        <v>210</v>
      </c>
      <c r="L2962">
        <v>78</v>
      </c>
      <c r="M2962" t="s">
        <v>28</v>
      </c>
      <c r="N2962" t="s">
        <v>185</v>
      </c>
      <c r="O2962" t="s">
        <v>152</v>
      </c>
      <c r="P2962">
        <v>2025</v>
      </c>
    </row>
    <row r="2963" spans="1:16" hidden="1" x14ac:dyDescent="0.25">
      <c r="A2963" s="96" t="s">
        <v>2</v>
      </c>
      <c r="B2963" s="96" t="s">
        <v>322</v>
      </c>
      <c r="C2963" s="96" t="s">
        <v>6639</v>
      </c>
      <c r="D2963" s="96" t="s">
        <v>203</v>
      </c>
      <c r="E2963" s="43">
        <v>45933</v>
      </c>
      <c r="F2963" s="43">
        <v>45986</v>
      </c>
      <c r="G2963" s="96" t="s">
        <v>90</v>
      </c>
      <c r="H2963" s="96" t="s">
        <v>6640</v>
      </c>
      <c r="I2963" s="96" t="s">
        <v>204</v>
      </c>
      <c r="J2963" s="96" t="s">
        <v>174</v>
      </c>
      <c r="K2963" s="96" t="s">
        <v>230</v>
      </c>
      <c r="L2963">
        <v>53</v>
      </c>
      <c r="M2963" t="s">
        <v>24</v>
      </c>
      <c r="N2963" t="s">
        <v>16</v>
      </c>
      <c r="O2963" t="s">
        <v>150</v>
      </c>
      <c r="P2963">
        <v>2025</v>
      </c>
    </row>
    <row r="2964" spans="1:16" x14ac:dyDescent="0.25">
      <c r="A2964" s="96" t="s">
        <v>2</v>
      </c>
      <c r="B2964" s="96" t="s">
        <v>261</v>
      </c>
      <c r="C2964" s="96" t="s">
        <v>6641</v>
      </c>
      <c r="D2964" s="96" t="s">
        <v>10</v>
      </c>
      <c r="E2964" s="43">
        <v>46082</v>
      </c>
      <c r="F2964" s="43">
        <v>46089</v>
      </c>
      <c r="G2964" s="96" t="s">
        <v>92</v>
      </c>
      <c r="H2964" s="96" t="s">
        <v>6642</v>
      </c>
      <c r="I2964" s="96" t="s">
        <v>228</v>
      </c>
      <c r="J2964" s="96" t="s">
        <v>172</v>
      </c>
      <c r="K2964" s="96" t="s">
        <v>217</v>
      </c>
      <c r="L2964">
        <v>7</v>
      </c>
      <c r="M2964" t="s">
        <v>11</v>
      </c>
      <c r="N2964" t="s">
        <v>35</v>
      </c>
      <c r="O2964" t="s">
        <v>151</v>
      </c>
      <c r="P2964">
        <v>2026</v>
      </c>
    </row>
    <row r="2965" spans="1:16" hidden="1" x14ac:dyDescent="0.25">
      <c r="A2965" s="96" t="s">
        <v>2</v>
      </c>
      <c r="B2965" s="96" t="s">
        <v>213</v>
      </c>
      <c r="C2965" s="96" t="s">
        <v>2862</v>
      </c>
      <c r="D2965" s="96" t="s">
        <v>237</v>
      </c>
      <c r="E2965" s="43">
        <v>45839</v>
      </c>
      <c r="F2965" s="43">
        <v>45938</v>
      </c>
      <c r="G2965" s="96" t="s">
        <v>92</v>
      </c>
      <c r="H2965" s="96" t="s">
        <v>6643</v>
      </c>
      <c r="I2965" s="96" t="s">
        <v>9</v>
      </c>
      <c r="J2965" s="96" t="s">
        <v>97</v>
      </c>
      <c r="K2965" s="96" t="s">
        <v>195</v>
      </c>
      <c r="L2965">
        <v>99</v>
      </c>
      <c r="M2965" t="s">
        <v>28</v>
      </c>
      <c r="N2965" t="s">
        <v>187</v>
      </c>
      <c r="O2965" t="s">
        <v>149</v>
      </c>
      <c r="P2965">
        <v>2025</v>
      </c>
    </row>
    <row r="2966" spans="1:16" hidden="1" x14ac:dyDescent="0.25">
      <c r="A2966" s="96" t="s">
        <v>2</v>
      </c>
      <c r="B2966" s="96" t="s">
        <v>257</v>
      </c>
      <c r="C2966" s="96" t="s">
        <v>2863</v>
      </c>
      <c r="D2966" s="96" t="s">
        <v>223</v>
      </c>
      <c r="E2966" s="43">
        <v>46003</v>
      </c>
      <c r="F2966" s="43">
        <v>46110</v>
      </c>
      <c r="G2966" s="96" t="s">
        <v>92</v>
      </c>
      <c r="H2966" s="96" t="s">
        <v>2777</v>
      </c>
      <c r="I2966" s="96" t="s">
        <v>225</v>
      </c>
      <c r="J2966" s="96" t="s">
        <v>94</v>
      </c>
      <c r="K2966" s="96" t="s">
        <v>246</v>
      </c>
      <c r="L2966">
        <v>107</v>
      </c>
      <c r="M2966" t="s">
        <v>28</v>
      </c>
      <c r="N2966" t="s">
        <v>25</v>
      </c>
      <c r="O2966" t="s">
        <v>151</v>
      </c>
      <c r="P2966">
        <v>2025</v>
      </c>
    </row>
    <row r="2967" spans="1:16" hidden="1" x14ac:dyDescent="0.25">
      <c r="A2967" s="96" t="s">
        <v>2</v>
      </c>
      <c r="B2967" s="96" t="s">
        <v>213</v>
      </c>
      <c r="C2967" s="96" t="s">
        <v>2864</v>
      </c>
      <c r="D2967" s="96" t="s">
        <v>40</v>
      </c>
      <c r="E2967" s="43">
        <v>46013</v>
      </c>
      <c r="F2967" s="43">
        <v>46093</v>
      </c>
      <c r="G2967" s="96" t="s">
        <v>90</v>
      </c>
      <c r="H2967" s="96" t="s">
        <v>6644</v>
      </c>
      <c r="I2967" s="96" t="s">
        <v>204</v>
      </c>
      <c r="J2967" s="96" t="s">
        <v>176</v>
      </c>
      <c r="K2967" s="96" t="s">
        <v>157</v>
      </c>
      <c r="L2967">
        <v>80</v>
      </c>
      <c r="M2967" t="s">
        <v>28</v>
      </c>
      <c r="N2967" t="s">
        <v>25</v>
      </c>
      <c r="O2967" t="s">
        <v>149</v>
      </c>
      <c r="P2967">
        <v>2025</v>
      </c>
    </row>
    <row r="2968" spans="1:16" hidden="1" x14ac:dyDescent="0.25">
      <c r="A2968" s="96" t="s">
        <v>2</v>
      </c>
      <c r="B2968" s="96" t="s">
        <v>253</v>
      </c>
      <c r="C2968" s="96" t="s">
        <v>2866</v>
      </c>
      <c r="D2968" s="96" t="s">
        <v>40</v>
      </c>
      <c r="E2968" s="43">
        <v>45788</v>
      </c>
      <c r="F2968" s="43">
        <v>45873</v>
      </c>
      <c r="G2968" s="96" t="s">
        <v>92</v>
      </c>
      <c r="H2968" s="96" t="s">
        <v>6645</v>
      </c>
      <c r="I2968" s="96" t="s">
        <v>9</v>
      </c>
      <c r="J2968" s="96" t="s">
        <v>216</v>
      </c>
      <c r="K2968" s="96" t="s">
        <v>246</v>
      </c>
      <c r="L2968">
        <v>85</v>
      </c>
      <c r="M2968" t="s">
        <v>28</v>
      </c>
      <c r="N2968" t="s">
        <v>182</v>
      </c>
      <c r="O2968" t="s">
        <v>152</v>
      </c>
      <c r="P2968">
        <v>2025</v>
      </c>
    </row>
    <row r="2969" spans="1:16" hidden="1" x14ac:dyDescent="0.25">
      <c r="A2969" s="96" t="s">
        <v>2</v>
      </c>
      <c r="B2969" s="96" t="s">
        <v>255</v>
      </c>
      <c r="C2969" s="96" t="s">
        <v>6646</v>
      </c>
      <c r="D2969" s="96" t="s">
        <v>208</v>
      </c>
      <c r="E2969" s="43">
        <v>45978</v>
      </c>
      <c r="F2969" s="43">
        <v>46003</v>
      </c>
      <c r="G2969" s="96" t="s">
        <v>90</v>
      </c>
      <c r="H2969" s="96" t="s">
        <v>6647</v>
      </c>
      <c r="I2969" s="96" t="s">
        <v>9</v>
      </c>
      <c r="J2969" s="96" t="s">
        <v>98</v>
      </c>
      <c r="K2969" s="96" t="s">
        <v>210</v>
      </c>
      <c r="L2969">
        <v>25</v>
      </c>
      <c r="M2969" t="s">
        <v>19</v>
      </c>
      <c r="N2969" t="s">
        <v>20</v>
      </c>
      <c r="O2969" t="s">
        <v>150</v>
      </c>
      <c r="P2969">
        <v>2025</v>
      </c>
    </row>
    <row r="2970" spans="1:16" x14ac:dyDescent="0.25">
      <c r="A2970" s="96" t="s">
        <v>2</v>
      </c>
      <c r="B2970" s="96" t="s">
        <v>288</v>
      </c>
      <c r="C2970" s="96" t="s">
        <v>6648</v>
      </c>
      <c r="D2970" s="96" t="s">
        <v>215</v>
      </c>
      <c r="E2970" s="43">
        <v>46048</v>
      </c>
      <c r="F2970" s="43">
        <v>46129</v>
      </c>
      <c r="G2970" s="96" t="s">
        <v>92</v>
      </c>
      <c r="H2970" s="96" t="s">
        <v>6649</v>
      </c>
      <c r="I2970" s="96" t="s">
        <v>228</v>
      </c>
      <c r="J2970" s="96" t="s">
        <v>229</v>
      </c>
      <c r="K2970" s="96" t="s">
        <v>205</v>
      </c>
      <c r="L2970">
        <v>81</v>
      </c>
      <c r="M2970" t="s">
        <v>28</v>
      </c>
      <c r="N2970" t="s">
        <v>29</v>
      </c>
      <c r="O2970" t="s">
        <v>170</v>
      </c>
      <c r="P2970">
        <v>2026</v>
      </c>
    </row>
    <row r="2971" spans="1:16" hidden="1" x14ac:dyDescent="0.25">
      <c r="A2971" s="96" t="s">
        <v>2</v>
      </c>
      <c r="B2971" s="96" t="s">
        <v>257</v>
      </c>
      <c r="C2971" s="96" t="s">
        <v>2868</v>
      </c>
      <c r="D2971" s="96" t="s">
        <v>208</v>
      </c>
      <c r="E2971" s="43">
        <v>45862</v>
      </c>
      <c r="F2971" s="43">
        <v>45936</v>
      </c>
      <c r="G2971" s="96" t="s">
        <v>92</v>
      </c>
      <c r="H2971" s="96" t="s">
        <v>6650</v>
      </c>
      <c r="I2971" s="96" t="s">
        <v>228</v>
      </c>
      <c r="J2971" s="96" t="s">
        <v>174</v>
      </c>
      <c r="K2971" s="96" t="s">
        <v>205</v>
      </c>
      <c r="L2971">
        <v>74</v>
      </c>
      <c r="M2971" t="s">
        <v>28</v>
      </c>
      <c r="N2971" t="s">
        <v>187</v>
      </c>
      <c r="O2971" t="s">
        <v>151</v>
      </c>
      <c r="P2971">
        <v>2025</v>
      </c>
    </row>
    <row r="2972" spans="1:16" x14ac:dyDescent="0.25">
      <c r="A2972" s="96" t="s">
        <v>2</v>
      </c>
      <c r="B2972" s="96" t="s">
        <v>219</v>
      </c>
      <c r="C2972" s="96" t="s">
        <v>6651</v>
      </c>
      <c r="D2972" s="96" t="s">
        <v>208</v>
      </c>
      <c r="E2972" s="43">
        <v>46131</v>
      </c>
      <c r="F2972" s="43">
        <v>46149</v>
      </c>
      <c r="G2972" s="96" t="s">
        <v>90</v>
      </c>
      <c r="H2972" s="96" t="s">
        <v>6652</v>
      </c>
      <c r="I2972" s="96" t="s">
        <v>209</v>
      </c>
      <c r="J2972" s="96" t="s">
        <v>229</v>
      </c>
      <c r="K2972" s="96" t="s">
        <v>157</v>
      </c>
      <c r="L2972">
        <v>18</v>
      </c>
      <c r="M2972" t="s">
        <v>19</v>
      </c>
      <c r="N2972" t="s">
        <v>37</v>
      </c>
      <c r="O2972" t="s">
        <v>149</v>
      </c>
      <c r="P2972">
        <v>2026</v>
      </c>
    </row>
    <row r="2973" spans="1:16" hidden="1" x14ac:dyDescent="0.25">
      <c r="A2973" s="96" t="s">
        <v>2</v>
      </c>
      <c r="B2973" s="96" t="s">
        <v>257</v>
      </c>
      <c r="C2973" s="96" t="s">
        <v>6653</v>
      </c>
      <c r="D2973" s="96" t="s">
        <v>203</v>
      </c>
      <c r="E2973" s="43">
        <v>45961</v>
      </c>
      <c r="F2973" s="43">
        <v>46034</v>
      </c>
      <c r="G2973" s="96" t="s">
        <v>92</v>
      </c>
      <c r="H2973" s="96" t="s">
        <v>2783</v>
      </c>
      <c r="I2973" s="96" t="s">
        <v>209</v>
      </c>
      <c r="J2973" s="96" t="s">
        <v>168</v>
      </c>
      <c r="K2973" s="96" t="s">
        <v>210</v>
      </c>
      <c r="L2973">
        <v>73</v>
      </c>
      <c r="M2973" t="s">
        <v>28</v>
      </c>
      <c r="N2973" t="s">
        <v>16</v>
      </c>
      <c r="O2973" t="s">
        <v>151</v>
      </c>
      <c r="P2973">
        <v>2025</v>
      </c>
    </row>
    <row r="2974" spans="1:16" hidden="1" x14ac:dyDescent="0.25">
      <c r="A2974" s="96" t="s">
        <v>2</v>
      </c>
      <c r="B2974" s="96" t="s">
        <v>257</v>
      </c>
      <c r="C2974" s="96" t="s">
        <v>2869</v>
      </c>
      <c r="D2974" s="96" t="s">
        <v>215</v>
      </c>
      <c r="E2974" s="43">
        <v>45844</v>
      </c>
      <c r="F2974" s="43">
        <v>45943</v>
      </c>
      <c r="G2974" s="96" t="s">
        <v>92</v>
      </c>
      <c r="H2974" s="96" t="s">
        <v>6654</v>
      </c>
      <c r="I2974" s="96" t="s">
        <v>228</v>
      </c>
      <c r="J2974" s="96" t="s">
        <v>165</v>
      </c>
      <c r="K2974" s="96" t="s">
        <v>195</v>
      </c>
      <c r="L2974">
        <v>99</v>
      </c>
      <c r="M2974" t="s">
        <v>28</v>
      </c>
      <c r="N2974" t="s">
        <v>187</v>
      </c>
      <c r="O2974" t="s">
        <v>151</v>
      </c>
      <c r="P2974">
        <v>2025</v>
      </c>
    </row>
    <row r="2975" spans="1:16" hidden="1" x14ac:dyDescent="0.25">
      <c r="A2975" s="96" t="s">
        <v>21</v>
      </c>
      <c r="B2975" s="96" t="s">
        <v>190</v>
      </c>
      <c r="C2975" s="96" t="s">
        <v>2870</v>
      </c>
      <c r="D2975" s="96" t="s">
        <v>215</v>
      </c>
      <c r="E2975" s="43">
        <v>45904</v>
      </c>
      <c r="F2975" s="43">
        <v>45933</v>
      </c>
      <c r="G2975" s="96" t="s">
        <v>92</v>
      </c>
      <c r="H2975" s="96" t="s">
        <v>6655</v>
      </c>
      <c r="I2975" s="96" t="s">
        <v>157</v>
      </c>
      <c r="J2975" s="96" t="s">
        <v>96</v>
      </c>
      <c r="K2975" s="96" t="s">
        <v>157</v>
      </c>
      <c r="L2975">
        <v>29</v>
      </c>
      <c r="M2975" t="s">
        <v>19</v>
      </c>
      <c r="N2975" t="s">
        <v>12</v>
      </c>
      <c r="O2975" t="s">
        <v>150</v>
      </c>
      <c r="P2975">
        <v>2025</v>
      </c>
    </row>
    <row r="2976" spans="1:16" hidden="1" x14ac:dyDescent="0.25">
      <c r="A2976" s="96" t="s">
        <v>2</v>
      </c>
      <c r="B2976" s="96" t="s">
        <v>253</v>
      </c>
      <c r="C2976" s="96" t="s">
        <v>6656</v>
      </c>
      <c r="D2976" s="96" t="s">
        <v>215</v>
      </c>
      <c r="E2976" s="43">
        <v>45749</v>
      </c>
      <c r="F2976" s="43">
        <v>45838</v>
      </c>
      <c r="G2976" s="96" t="s">
        <v>92</v>
      </c>
      <c r="H2976" s="96" t="s">
        <v>6657</v>
      </c>
      <c r="I2976" s="96" t="s">
        <v>228</v>
      </c>
      <c r="J2976" s="96" t="s">
        <v>97</v>
      </c>
      <c r="K2976" s="96" t="s">
        <v>157</v>
      </c>
      <c r="L2976">
        <v>89</v>
      </c>
      <c r="M2976" t="s">
        <v>28</v>
      </c>
      <c r="N2976" t="s">
        <v>185</v>
      </c>
      <c r="O2976" t="s">
        <v>152</v>
      </c>
      <c r="P2976">
        <v>2025</v>
      </c>
    </row>
    <row r="2977" spans="1:16" hidden="1" x14ac:dyDescent="0.25">
      <c r="A2977" s="96" t="s">
        <v>2</v>
      </c>
      <c r="B2977" s="96" t="s">
        <v>322</v>
      </c>
      <c r="C2977" s="96" t="s">
        <v>2871</v>
      </c>
      <c r="D2977" s="96" t="s">
        <v>40</v>
      </c>
      <c r="E2977" s="43">
        <v>45827</v>
      </c>
      <c r="F2977" s="43">
        <v>45922</v>
      </c>
      <c r="G2977" s="96" t="s">
        <v>90</v>
      </c>
      <c r="H2977" s="96" t="s">
        <v>6658</v>
      </c>
      <c r="I2977" s="96" t="s">
        <v>204</v>
      </c>
      <c r="J2977" s="96" t="s">
        <v>96</v>
      </c>
      <c r="K2977" s="96" t="s">
        <v>157</v>
      </c>
      <c r="L2977">
        <v>95</v>
      </c>
      <c r="M2977" t="s">
        <v>28</v>
      </c>
      <c r="N2977" t="s">
        <v>184</v>
      </c>
      <c r="O2977" t="s">
        <v>150</v>
      </c>
      <c r="P2977">
        <v>2025</v>
      </c>
    </row>
    <row r="2978" spans="1:16" x14ac:dyDescent="0.25">
      <c r="A2978" s="96" t="s">
        <v>2</v>
      </c>
      <c r="B2978" s="96" t="s">
        <v>201</v>
      </c>
      <c r="C2978" s="96" t="s">
        <v>2872</v>
      </c>
      <c r="D2978" s="96" t="s">
        <v>10</v>
      </c>
      <c r="E2978" s="43">
        <v>46148</v>
      </c>
      <c r="F2978" s="43">
        <v>46150</v>
      </c>
      <c r="G2978" s="96" t="s">
        <v>92</v>
      </c>
      <c r="H2978" s="96" t="s">
        <v>6659</v>
      </c>
      <c r="I2978" s="96" t="s">
        <v>225</v>
      </c>
      <c r="J2978" s="96" t="s">
        <v>173</v>
      </c>
      <c r="K2978" s="96" t="s">
        <v>210</v>
      </c>
      <c r="L2978">
        <v>2</v>
      </c>
      <c r="M2978" t="s">
        <v>11</v>
      </c>
      <c r="N2978" t="s">
        <v>183</v>
      </c>
      <c r="O2978" t="s">
        <v>170</v>
      </c>
      <c r="P2978">
        <v>2026</v>
      </c>
    </row>
    <row r="2979" spans="1:16" x14ac:dyDescent="0.25">
      <c r="A2979" s="96" t="s">
        <v>2</v>
      </c>
      <c r="B2979" s="96" t="s">
        <v>196</v>
      </c>
      <c r="C2979" s="96" t="s">
        <v>2873</v>
      </c>
      <c r="D2979" s="96" t="s">
        <v>237</v>
      </c>
      <c r="E2979" s="43">
        <v>46139</v>
      </c>
      <c r="F2979" s="43">
        <v>46147</v>
      </c>
      <c r="G2979" s="96" t="s">
        <v>92</v>
      </c>
      <c r="H2979" s="96" t="s">
        <v>6660</v>
      </c>
      <c r="I2979" s="96" t="s">
        <v>225</v>
      </c>
      <c r="J2979" s="96" t="s">
        <v>93</v>
      </c>
      <c r="K2979" s="96" t="s">
        <v>195</v>
      </c>
      <c r="L2979">
        <v>8</v>
      </c>
      <c r="M2979" t="s">
        <v>15</v>
      </c>
      <c r="N2979" t="s">
        <v>37</v>
      </c>
      <c r="O2979" t="s">
        <v>152</v>
      </c>
      <c r="P2979">
        <v>2026</v>
      </c>
    </row>
    <row r="2980" spans="1:16" hidden="1" x14ac:dyDescent="0.25">
      <c r="A2980" s="96" t="s">
        <v>2</v>
      </c>
      <c r="B2980" s="96" t="s">
        <v>280</v>
      </c>
      <c r="C2980" s="96" t="s">
        <v>2874</v>
      </c>
      <c r="D2980" s="96" t="s">
        <v>215</v>
      </c>
      <c r="E2980" s="43">
        <v>45910</v>
      </c>
      <c r="F2980" s="43">
        <v>46008</v>
      </c>
      <c r="G2980" s="96" t="s">
        <v>95</v>
      </c>
      <c r="H2980" s="96" t="s">
        <v>6661</v>
      </c>
      <c r="I2980" s="96" t="s">
        <v>209</v>
      </c>
      <c r="J2980" s="96" t="s">
        <v>172</v>
      </c>
      <c r="K2980" s="96" t="s">
        <v>210</v>
      </c>
      <c r="L2980">
        <v>98</v>
      </c>
      <c r="M2980" t="s">
        <v>28</v>
      </c>
      <c r="N2980" t="s">
        <v>12</v>
      </c>
      <c r="O2980" t="s">
        <v>170</v>
      </c>
      <c r="P2980">
        <v>2025</v>
      </c>
    </row>
    <row r="2981" spans="1:16" hidden="1" x14ac:dyDescent="0.25">
      <c r="A2981" s="96" t="s">
        <v>2</v>
      </c>
      <c r="B2981" s="96" t="s">
        <v>190</v>
      </c>
      <c r="C2981" s="96" t="s">
        <v>2875</v>
      </c>
      <c r="D2981" s="96" t="s">
        <v>203</v>
      </c>
      <c r="E2981" s="43">
        <v>45708</v>
      </c>
      <c r="F2981" s="43">
        <v>45818</v>
      </c>
      <c r="G2981" s="96" t="s">
        <v>92</v>
      </c>
      <c r="H2981" s="96" t="s">
        <v>6662</v>
      </c>
      <c r="I2981" s="96" t="s">
        <v>225</v>
      </c>
      <c r="J2981" s="96" t="s">
        <v>97</v>
      </c>
      <c r="K2981" s="96" t="s">
        <v>217</v>
      </c>
      <c r="L2981">
        <v>110</v>
      </c>
      <c r="M2981" t="s">
        <v>28</v>
      </c>
      <c r="N2981" t="s">
        <v>188</v>
      </c>
      <c r="O2981" t="s">
        <v>150</v>
      </c>
      <c r="P2981">
        <v>2025</v>
      </c>
    </row>
    <row r="2982" spans="1:16" x14ac:dyDescent="0.25">
      <c r="A2982" s="96" t="s">
        <v>2</v>
      </c>
      <c r="B2982" s="96" t="s">
        <v>305</v>
      </c>
      <c r="C2982" s="96" t="s">
        <v>6663</v>
      </c>
      <c r="D2982" s="96" t="s">
        <v>192</v>
      </c>
      <c r="E2982" s="43">
        <v>46124</v>
      </c>
      <c r="F2982" s="43">
        <v>46145</v>
      </c>
      <c r="G2982" s="96" t="s">
        <v>90</v>
      </c>
      <c r="H2982" s="96" t="s">
        <v>2788</v>
      </c>
      <c r="I2982" s="96" t="s">
        <v>209</v>
      </c>
      <c r="J2982" s="96" t="s">
        <v>96</v>
      </c>
      <c r="K2982" s="96" t="s">
        <v>230</v>
      </c>
      <c r="L2982">
        <v>21</v>
      </c>
      <c r="M2982" t="s">
        <v>19</v>
      </c>
      <c r="N2982" t="s">
        <v>37</v>
      </c>
      <c r="O2982" t="s">
        <v>170</v>
      </c>
      <c r="P2982">
        <v>2026</v>
      </c>
    </row>
    <row r="2983" spans="1:16" x14ac:dyDescent="0.25">
      <c r="A2983" s="96" t="s">
        <v>2</v>
      </c>
      <c r="B2983" s="96" t="s">
        <v>269</v>
      </c>
      <c r="C2983" s="96" t="s">
        <v>2876</v>
      </c>
      <c r="D2983" s="96" t="s">
        <v>237</v>
      </c>
      <c r="E2983" s="43">
        <v>46097</v>
      </c>
      <c r="F2983" s="43">
        <v>46147</v>
      </c>
      <c r="G2983" s="96" t="s">
        <v>92</v>
      </c>
      <c r="H2983" s="96" t="s">
        <v>6664</v>
      </c>
      <c r="I2983" s="96" t="s">
        <v>228</v>
      </c>
      <c r="J2983" s="96" t="s">
        <v>97</v>
      </c>
      <c r="K2983" s="96" t="s">
        <v>200</v>
      </c>
      <c r="L2983">
        <v>50</v>
      </c>
      <c r="M2983" t="s">
        <v>24</v>
      </c>
      <c r="N2983" t="s">
        <v>35</v>
      </c>
      <c r="O2983" t="s">
        <v>152</v>
      </c>
      <c r="P2983">
        <v>2026</v>
      </c>
    </row>
    <row r="2984" spans="1:16" hidden="1" x14ac:dyDescent="0.25">
      <c r="A2984" s="96" t="s">
        <v>2</v>
      </c>
      <c r="B2984" s="96" t="s">
        <v>213</v>
      </c>
      <c r="C2984" s="96" t="s">
        <v>2878</v>
      </c>
      <c r="D2984" s="96" t="s">
        <v>237</v>
      </c>
      <c r="E2984" s="43">
        <v>45906</v>
      </c>
      <c r="F2984" s="43">
        <v>45999</v>
      </c>
      <c r="G2984" s="96" t="s">
        <v>92</v>
      </c>
      <c r="H2984" s="96" t="s">
        <v>6665</v>
      </c>
      <c r="I2984" s="96" t="s">
        <v>194</v>
      </c>
      <c r="J2984" s="96" t="s">
        <v>283</v>
      </c>
      <c r="K2984" s="96" t="s">
        <v>230</v>
      </c>
      <c r="L2984">
        <v>93</v>
      </c>
      <c r="M2984" t="s">
        <v>28</v>
      </c>
      <c r="N2984" t="s">
        <v>12</v>
      </c>
      <c r="O2984" t="s">
        <v>149</v>
      </c>
      <c r="P2984">
        <v>2025</v>
      </c>
    </row>
    <row r="2985" spans="1:16" x14ac:dyDescent="0.25">
      <c r="A2985" s="96" t="s">
        <v>2</v>
      </c>
      <c r="B2985" s="96" t="s">
        <v>269</v>
      </c>
      <c r="C2985" s="96" t="s">
        <v>2879</v>
      </c>
      <c r="D2985" s="96" t="s">
        <v>237</v>
      </c>
      <c r="E2985" s="43">
        <v>46040</v>
      </c>
      <c r="F2985" s="43">
        <v>46053</v>
      </c>
      <c r="G2985" s="96" t="s">
        <v>92</v>
      </c>
      <c r="H2985" s="96" t="s">
        <v>6666</v>
      </c>
      <c r="I2985" s="96" t="s">
        <v>228</v>
      </c>
      <c r="J2985" s="96" t="s">
        <v>93</v>
      </c>
      <c r="K2985" s="96" t="s">
        <v>195</v>
      </c>
      <c r="L2985">
        <v>13</v>
      </c>
      <c r="M2985" t="s">
        <v>15</v>
      </c>
      <c r="N2985" t="s">
        <v>29</v>
      </c>
      <c r="O2985" t="s">
        <v>152</v>
      </c>
      <c r="P2985">
        <v>2026</v>
      </c>
    </row>
    <row r="2986" spans="1:16" hidden="1" x14ac:dyDescent="0.25">
      <c r="A2986" s="96" t="s">
        <v>171</v>
      </c>
      <c r="B2986" s="96" t="s">
        <v>264</v>
      </c>
      <c r="C2986" s="96" t="s">
        <v>2881</v>
      </c>
      <c r="D2986" s="96" t="s">
        <v>203</v>
      </c>
      <c r="E2986" s="43">
        <v>45742</v>
      </c>
      <c r="F2986" s="43">
        <v>45797</v>
      </c>
      <c r="G2986" s="96" t="s">
        <v>92</v>
      </c>
      <c r="H2986" s="96" t="s">
        <v>6667</v>
      </c>
      <c r="I2986" s="96" t="s">
        <v>9</v>
      </c>
      <c r="J2986" s="96" t="s">
        <v>96</v>
      </c>
      <c r="K2986" s="96" t="s">
        <v>217</v>
      </c>
      <c r="L2986">
        <v>55</v>
      </c>
      <c r="M2986" t="s">
        <v>24</v>
      </c>
      <c r="N2986" t="s">
        <v>186</v>
      </c>
      <c r="O2986" t="s">
        <v>152</v>
      </c>
      <c r="P2986">
        <v>2025</v>
      </c>
    </row>
    <row r="2987" spans="1:16" hidden="1" x14ac:dyDescent="0.25">
      <c r="A2987" s="96" t="s">
        <v>2</v>
      </c>
      <c r="B2987" s="96" t="s">
        <v>257</v>
      </c>
      <c r="C2987" s="96" t="s">
        <v>2883</v>
      </c>
      <c r="D2987" s="96" t="s">
        <v>223</v>
      </c>
      <c r="E2987" s="43">
        <v>45661</v>
      </c>
      <c r="F2987" s="43">
        <v>45750</v>
      </c>
      <c r="G2987" s="96" t="s">
        <v>90</v>
      </c>
      <c r="H2987" s="96" t="s">
        <v>6668</v>
      </c>
      <c r="I2987" s="96" t="s">
        <v>9</v>
      </c>
      <c r="J2987" s="96" t="s">
        <v>96</v>
      </c>
      <c r="K2987" s="96" t="s">
        <v>233</v>
      </c>
      <c r="L2987">
        <v>89</v>
      </c>
      <c r="M2987" t="s">
        <v>28</v>
      </c>
      <c r="N2987" t="s">
        <v>181</v>
      </c>
      <c r="O2987" t="s">
        <v>151</v>
      </c>
      <c r="P2987">
        <v>2025</v>
      </c>
    </row>
    <row r="2988" spans="1:16" hidden="1" x14ac:dyDescent="0.25">
      <c r="A2988" s="96" t="s">
        <v>2</v>
      </c>
      <c r="B2988" s="96" t="s">
        <v>211</v>
      </c>
      <c r="C2988" s="96" t="s">
        <v>6669</v>
      </c>
      <c r="D2988" s="96" t="s">
        <v>34</v>
      </c>
      <c r="E2988" s="43">
        <v>45895</v>
      </c>
      <c r="F2988" s="43">
        <v>45938</v>
      </c>
      <c r="G2988" s="96" t="s">
        <v>92</v>
      </c>
      <c r="H2988" s="96" t="s">
        <v>6670</v>
      </c>
      <c r="I2988" s="96" t="s">
        <v>9</v>
      </c>
      <c r="J2988" s="96" t="s">
        <v>229</v>
      </c>
      <c r="K2988" s="96" t="s">
        <v>205</v>
      </c>
      <c r="L2988">
        <v>43</v>
      </c>
      <c r="M2988" t="s">
        <v>24</v>
      </c>
      <c r="N2988" t="s">
        <v>8</v>
      </c>
      <c r="O2988" t="s">
        <v>170</v>
      </c>
      <c r="P2988">
        <v>2025</v>
      </c>
    </row>
    <row r="2989" spans="1:16" hidden="1" x14ac:dyDescent="0.25">
      <c r="A2989" s="96" t="s">
        <v>2</v>
      </c>
      <c r="B2989" s="96" t="s">
        <v>264</v>
      </c>
      <c r="C2989" s="96" t="s">
        <v>2884</v>
      </c>
      <c r="D2989" s="96" t="s">
        <v>237</v>
      </c>
      <c r="E2989" s="43">
        <v>45747</v>
      </c>
      <c r="F2989" s="43">
        <v>45822</v>
      </c>
      <c r="G2989" s="96" t="s">
        <v>92</v>
      </c>
      <c r="H2989" s="96" t="s">
        <v>6671</v>
      </c>
      <c r="I2989" s="96" t="s">
        <v>225</v>
      </c>
      <c r="J2989" s="96" t="s">
        <v>174</v>
      </c>
      <c r="K2989" s="96" t="s">
        <v>233</v>
      </c>
      <c r="L2989">
        <v>75</v>
      </c>
      <c r="M2989" t="s">
        <v>28</v>
      </c>
      <c r="N2989" t="s">
        <v>186</v>
      </c>
      <c r="O2989" t="s">
        <v>152</v>
      </c>
      <c r="P2989">
        <v>2025</v>
      </c>
    </row>
    <row r="2990" spans="1:16" x14ac:dyDescent="0.25">
      <c r="A2990" s="96" t="s">
        <v>175</v>
      </c>
      <c r="B2990" s="96" t="s">
        <v>269</v>
      </c>
      <c r="C2990" s="96" t="s">
        <v>6672</v>
      </c>
      <c r="D2990" s="96" t="s">
        <v>34</v>
      </c>
      <c r="E2990" s="43">
        <v>46098</v>
      </c>
      <c r="F2990" s="43">
        <v>46148</v>
      </c>
      <c r="G2990" s="96" t="s">
        <v>90</v>
      </c>
      <c r="H2990" s="96" t="s">
        <v>6673</v>
      </c>
      <c r="I2990" s="96" t="s">
        <v>209</v>
      </c>
      <c r="J2990" s="96" t="s">
        <v>174</v>
      </c>
      <c r="K2990" s="96" t="s">
        <v>230</v>
      </c>
      <c r="L2990">
        <v>50</v>
      </c>
      <c r="M2990" t="s">
        <v>24</v>
      </c>
      <c r="N2990" t="s">
        <v>35</v>
      </c>
      <c r="O2990" t="s">
        <v>152</v>
      </c>
      <c r="P2990">
        <v>2026</v>
      </c>
    </row>
    <row r="2991" spans="1:16" hidden="1" x14ac:dyDescent="0.25">
      <c r="A2991" s="96" t="s">
        <v>2</v>
      </c>
      <c r="B2991" s="96" t="s">
        <v>255</v>
      </c>
      <c r="C2991" s="96" t="s">
        <v>2885</v>
      </c>
      <c r="D2991" s="96" t="s">
        <v>203</v>
      </c>
      <c r="E2991" s="43">
        <v>45944</v>
      </c>
      <c r="F2991" s="43">
        <v>46021</v>
      </c>
      <c r="G2991" s="96" t="s">
        <v>90</v>
      </c>
      <c r="H2991" s="96" t="s">
        <v>6674</v>
      </c>
      <c r="I2991" s="96" t="s">
        <v>157</v>
      </c>
      <c r="J2991" s="96" t="s">
        <v>96</v>
      </c>
      <c r="K2991" s="96" t="s">
        <v>233</v>
      </c>
      <c r="L2991">
        <v>77</v>
      </c>
      <c r="M2991" t="s">
        <v>28</v>
      </c>
      <c r="N2991" t="s">
        <v>16</v>
      </c>
      <c r="O2991" t="s">
        <v>150</v>
      </c>
      <c r="P2991">
        <v>2025</v>
      </c>
    </row>
    <row r="2992" spans="1:16" hidden="1" x14ac:dyDescent="0.25">
      <c r="A2992" s="96" t="s">
        <v>2</v>
      </c>
      <c r="B2992" s="96" t="s">
        <v>253</v>
      </c>
      <c r="C2992" s="96" t="s">
        <v>2887</v>
      </c>
      <c r="D2992" s="96" t="s">
        <v>203</v>
      </c>
      <c r="E2992" s="43">
        <v>45835</v>
      </c>
      <c r="F2992" s="43">
        <v>45864</v>
      </c>
      <c r="G2992" s="96" t="s">
        <v>90</v>
      </c>
      <c r="H2992" s="96" t="s">
        <v>6675</v>
      </c>
      <c r="I2992" s="96" t="s">
        <v>209</v>
      </c>
      <c r="J2992" s="96" t="s">
        <v>216</v>
      </c>
      <c r="K2992" s="96" t="s">
        <v>200</v>
      </c>
      <c r="L2992">
        <v>29</v>
      </c>
      <c r="M2992" t="s">
        <v>19</v>
      </c>
      <c r="N2992" t="s">
        <v>184</v>
      </c>
      <c r="O2992" t="s">
        <v>152</v>
      </c>
      <c r="P2992">
        <v>2025</v>
      </c>
    </row>
    <row r="2993" spans="1:16" hidden="1" x14ac:dyDescent="0.25">
      <c r="A2993" s="96" t="s">
        <v>2</v>
      </c>
      <c r="B2993" s="96" t="s">
        <v>257</v>
      </c>
      <c r="C2993" s="96" t="s">
        <v>2889</v>
      </c>
      <c r="D2993" s="96" t="s">
        <v>10</v>
      </c>
      <c r="E2993" s="43">
        <v>45822</v>
      </c>
      <c r="F2993" s="43">
        <v>45900</v>
      </c>
      <c r="G2993" s="96" t="s">
        <v>92</v>
      </c>
      <c r="H2993" s="96" t="s">
        <v>2794</v>
      </c>
      <c r="I2993" s="96" t="s">
        <v>9</v>
      </c>
      <c r="J2993" s="96" t="s">
        <v>97</v>
      </c>
      <c r="K2993" s="96" t="s">
        <v>246</v>
      </c>
      <c r="L2993">
        <v>78</v>
      </c>
      <c r="M2993" t="s">
        <v>28</v>
      </c>
      <c r="N2993" t="s">
        <v>184</v>
      </c>
      <c r="O2993" t="s">
        <v>151</v>
      </c>
      <c r="P2993">
        <v>2025</v>
      </c>
    </row>
    <row r="2994" spans="1:16" hidden="1" x14ac:dyDescent="0.25">
      <c r="A2994" s="96" t="s">
        <v>171</v>
      </c>
      <c r="B2994" s="96" t="s">
        <v>253</v>
      </c>
      <c r="C2994" s="96" t="s">
        <v>6676</v>
      </c>
      <c r="D2994" s="96" t="s">
        <v>34</v>
      </c>
      <c r="E2994" s="43">
        <v>45924</v>
      </c>
      <c r="F2994" s="43">
        <v>45951</v>
      </c>
      <c r="G2994" s="96" t="s">
        <v>92</v>
      </c>
      <c r="H2994" s="96" t="s">
        <v>6677</v>
      </c>
      <c r="I2994" s="96" t="s">
        <v>9</v>
      </c>
      <c r="J2994" s="96" t="s">
        <v>172</v>
      </c>
      <c r="K2994" s="96" t="s">
        <v>230</v>
      </c>
      <c r="L2994">
        <v>27</v>
      </c>
      <c r="M2994" t="s">
        <v>19</v>
      </c>
      <c r="N2994" t="s">
        <v>12</v>
      </c>
      <c r="O2994" t="s">
        <v>152</v>
      </c>
      <c r="P2994">
        <v>2025</v>
      </c>
    </row>
    <row r="2995" spans="1:16" hidden="1" x14ac:dyDescent="0.25">
      <c r="A2995" s="96" t="s">
        <v>2</v>
      </c>
      <c r="B2995" s="96" t="s">
        <v>206</v>
      </c>
      <c r="C2995" s="96" t="s">
        <v>6678</v>
      </c>
      <c r="D2995" s="96" t="s">
        <v>192</v>
      </c>
      <c r="E2995" s="43">
        <v>45747</v>
      </c>
      <c r="F2995" s="43">
        <v>45789</v>
      </c>
      <c r="G2995" s="96" t="s">
        <v>92</v>
      </c>
      <c r="H2995" s="96" t="s">
        <v>6679</v>
      </c>
      <c r="I2995" s="96" t="s">
        <v>9</v>
      </c>
      <c r="J2995" s="96" t="s">
        <v>91</v>
      </c>
      <c r="K2995" s="96" t="s">
        <v>246</v>
      </c>
      <c r="L2995">
        <v>42</v>
      </c>
      <c r="M2995" t="s">
        <v>24</v>
      </c>
      <c r="N2995" t="s">
        <v>186</v>
      </c>
      <c r="O2995" t="s">
        <v>152</v>
      </c>
      <c r="P2995">
        <v>2025</v>
      </c>
    </row>
    <row r="2996" spans="1:16" hidden="1" x14ac:dyDescent="0.25">
      <c r="A2996" s="96" t="s">
        <v>171</v>
      </c>
      <c r="B2996" s="96" t="s">
        <v>257</v>
      </c>
      <c r="C2996" s="96" t="s">
        <v>6680</v>
      </c>
      <c r="D2996" s="96" t="s">
        <v>10</v>
      </c>
      <c r="E2996" s="43">
        <v>45887</v>
      </c>
      <c r="F2996" s="43">
        <v>45985</v>
      </c>
      <c r="G2996" s="96" t="s">
        <v>90</v>
      </c>
      <c r="H2996" s="96" t="s">
        <v>6681</v>
      </c>
      <c r="I2996" s="96" t="s">
        <v>157</v>
      </c>
      <c r="J2996" s="96" t="s">
        <v>176</v>
      </c>
      <c r="K2996" s="96" t="s">
        <v>233</v>
      </c>
      <c r="L2996">
        <v>98</v>
      </c>
      <c r="M2996" t="s">
        <v>28</v>
      </c>
      <c r="N2996" t="s">
        <v>8</v>
      </c>
      <c r="O2996" t="s">
        <v>151</v>
      </c>
      <c r="P2996">
        <v>2025</v>
      </c>
    </row>
    <row r="2997" spans="1:16" x14ac:dyDescent="0.25">
      <c r="A2997" s="96" t="s">
        <v>2</v>
      </c>
      <c r="B2997" s="96" t="s">
        <v>305</v>
      </c>
      <c r="C2997" s="96" t="s">
        <v>2891</v>
      </c>
      <c r="D2997" s="96" t="s">
        <v>203</v>
      </c>
      <c r="E2997" s="43">
        <v>46131</v>
      </c>
      <c r="F2997" s="43">
        <v>46149</v>
      </c>
      <c r="G2997" s="96" t="s">
        <v>90</v>
      </c>
      <c r="H2997" s="96" t="s">
        <v>6682</v>
      </c>
      <c r="I2997" s="96" t="s">
        <v>225</v>
      </c>
      <c r="J2997" s="96" t="s">
        <v>176</v>
      </c>
      <c r="K2997" s="96" t="s">
        <v>200</v>
      </c>
      <c r="L2997">
        <v>18</v>
      </c>
      <c r="M2997" t="s">
        <v>19</v>
      </c>
      <c r="N2997" t="s">
        <v>37</v>
      </c>
      <c r="O2997" t="s">
        <v>170</v>
      </c>
      <c r="P2997">
        <v>2026</v>
      </c>
    </row>
    <row r="2998" spans="1:16" x14ac:dyDescent="0.25">
      <c r="A2998" s="96" t="s">
        <v>2</v>
      </c>
      <c r="B2998" s="96" t="s">
        <v>288</v>
      </c>
      <c r="C2998" s="96" t="s">
        <v>2892</v>
      </c>
      <c r="D2998" s="96" t="s">
        <v>192</v>
      </c>
      <c r="E2998" s="43">
        <v>46115</v>
      </c>
      <c r="F2998" s="43">
        <v>46149</v>
      </c>
      <c r="G2998" s="96" t="s">
        <v>90</v>
      </c>
      <c r="H2998" s="96" t="s">
        <v>6683</v>
      </c>
      <c r="I2998" s="96" t="s">
        <v>228</v>
      </c>
      <c r="J2998" s="96" t="s">
        <v>173</v>
      </c>
      <c r="K2998" s="96" t="s">
        <v>210</v>
      </c>
      <c r="L2998">
        <v>34</v>
      </c>
      <c r="M2998" t="s">
        <v>24</v>
      </c>
      <c r="N2998" t="s">
        <v>37</v>
      </c>
      <c r="O2998" t="s">
        <v>170</v>
      </c>
      <c r="P2998">
        <v>2026</v>
      </c>
    </row>
    <row r="2999" spans="1:16" hidden="1" x14ac:dyDescent="0.25">
      <c r="A2999" s="96" t="s">
        <v>2</v>
      </c>
      <c r="B2999" s="96" t="s">
        <v>264</v>
      </c>
      <c r="C2999" s="96" t="s">
        <v>2894</v>
      </c>
      <c r="D2999" s="96" t="s">
        <v>237</v>
      </c>
      <c r="E2999" s="43">
        <v>45994</v>
      </c>
      <c r="F2999" s="43">
        <v>46009</v>
      </c>
      <c r="G2999" s="96" t="s">
        <v>90</v>
      </c>
      <c r="H2999" s="96" t="s">
        <v>6684</v>
      </c>
      <c r="I2999" s="96" t="s">
        <v>9</v>
      </c>
      <c r="J2999" s="96" t="s">
        <v>169</v>
      </c>
      <c r="K2999" s="96" t="s">
        <v>210</v>
      </c>
      <c r="L2999">
        <v>15</v>
      </c>
      <c r="M2999" t="s">
        <v>19</v>
      </c>
      <c r="N2999" t="s">
        <v>25</v>
      </c>
      <c r="O2999" t="s">
        <v>152</v>
      </c>
      <c r="P2999">
        <v>2025</v>
      </c>
    </row>
    <row r="3000" spans="1:16" hidden="1" x14ac:dyDescent="0.25">
      <c r="A3000" s="96" t="s">
        <v>2</v>
      </c>
      <c r="B3000" s="96" t="s">
        <v>211</v>
      </c>
      <c r="C3000" s="96" t="s">
        <v>2896</v>
      </c>
      <c r="D3000" s="96" t="s">
        <v>10</v>
      </c>
      <c r="E3000" s="43">
        <v>45721</v>
      </c>
      <c r="F3000" s="43">
        <v>45724</v>
      </c>
      <c r="G3000" s="96" t="s">
        <v>92</v>
      </c>
      <c r="H3000" s="96" t="s">
        <v>6685</v>
      </c>
      <c r="I3000" s="96" t="s">
        <v>228</v>
      </c>
      <c r="J3000" s="96" t="s">
        <v>168</v>
      </c>
      <c r="K3000" s="96" t="s">
        <v>200</v>
      </c>
      <c r="L3000">
        <v>3</v>
      </c>
      <c r="M3000" t="s">
        <v>11</v>
      </c>
      <c r="N3000" t="s">
        <v>186</v>
      </c>
      <c r="O3000" t="s">
        <v>170</v>
      </c>
      <c r="P3000">
        <v>2025</v>
      </c>
    </row>
    <row r="3001" spans="1:16" x14ac:dyDescent="0.25">
      <c r="A3001" s="96" t="s">
        <v>2</v>
      </c>
      <c r="B3001" s="96" t="s">
        <v>196</v>
      </c>
      <c r="C3001" s="96" t="s">
        <v>6686</v>
      </c>
      <c r="D3001" s="96" t="s">
        <v>203</v>
      </c>
      <c r="E3001" s="43">
        <v>46121</v>
      </c>
      <c r="F3001" s="43">
        <v>46151</v>
      </c>
      <c r="G3001" s="96" t="s">
        <v>92</v>
      </c>
      <c r="H3001" s="96" t="s">
        <v>6687</v>
      </c>
      <c r="I3001" s="96" t="s">
        <v>204</v>
      </c>
      <c r="J3001" s="96" t="s">
        <v>283</v>
      </c>
      <c r="K3001" s="96" t="s">
        <v>205</v>
      </c>
      <c r="L3001">
        <v>30</v>
      </c>
      <c r="M3001" t="s">
        <v>19</v>
      </c>
      <c r="N3001" t="s">
        <v>37</v>
      </c>
      <c r="O3001" t="s">
        <v>152</v>
      </c>
      <c r="P3001">
        <v>2026</v>
      </c>
    </row>
    <row r="3002" spans="1:16" hidden="1" x14ac:dyDescent="0.25">
      <c r="A3002" s="96" t="s">
        <v>2</v>
      </c>
      <c r="B3002" s="96" t="s">
        <v>240</v>
      </c>
      <c r="C3002" s="96" t="s">
        <v>6688</v>
      </c>
      <c r="D3002" s="96" t="s">
        <v>34</v>
      </c>
      <c r="E3002" s="43">
        <v>45703</v>
      </c>
      <c r="F3002" s="43">
        <v>45784</v>
      </c>
      <c r="G3002" s="96" t="s">
        <v>92</v>
      </c>
      <c r="H3002" s="96" t="s">
        <v>6689</v>
      </c>
      <c r="I3002" s="96" t="s">
        <v>225</v>
      </c>
      <c r="J3002" s="96" t="s">
        <v>91</v>
      </c>
      <c r="K3002" s="96" t="s">
        <v>233</v>
      </c>
      <c r="L3002">
        <v>81</v>
      </c>
      <c r="M3002" t="s">
        <v>28</v>
      </c>
      <c r="N3002" t="s">
        <v>188</v>
      </c>
      <c r="O3002" t="s">
        <v>149</v>
      </c>
      <c r="P3002">
        <v>2025</v>
      </c>
    </row>
    <row r="3003" spans="1:16" x14ac:dyDescent="0.25">
      <c r="A3003" s="96" t="s">
        <v>2</v>
      </c>
      <c r="B3003" s="96" t="s">
        <v>196</v>
      </c>
      <c r="C3003" s="96" t="s">
        <v>6690</v>
      </c>
      <c r="D3003" s="96" t="s">
        <v>223</v>
      </c>
      <c r="E3003" s="43">
        <v>46069</v>
      </c>
      <c r="F3003" s="43">
        <v>46151</v>
      </c>
      <c r="G3003" s="96" t="s">
        <v>90</v>
      </c>
      <c r="H3003" s="96" t="s">
        <v>6691</v>
      </c>
      <c r="I3003" s="96" t="s">
        <v>9</v>
      </c>
      <c r="J3003" s="96" t="s">
        <v>216</v>
      </c>
      <c r="K3003" s="96" t="s">
        <v>157</v>
      </c>
      <c r="L3003">
        <v>82</v>
      </c>
      <c r="M3003" t="s">
        <v>28</v>
      </c>
      <c r="N3003" t="s">
        <v>32</v>
      </c>
      <c r="O3003" t="s">
        <v>152</v>
      </c>
      <c r="P3003">
        <v>2026</v>
      </c>
    </row>
    <row r="3004" spans="1:16" x14ac:dyDescent="0.25">
      <c r="A3004" s="96" t="s">
        <v>2</v>
      </c>
      <c r="B3004" s="96" t="s">
        <v>269</v>
      </c>
      <c r="C3004" s="96" t="s">
        <v>2898</v>
      </c>
      <c r="D3004" s="96" t="s">
        <v>34</v>
      </c>
      <c r="E3004" s="43">
        <v>46048</v>
      </c>
      <c r="F3004" s="43">
        <v>46102</v>
      </c>
      <c r="G3004" s="96" t="s">
        <v>92</v>
      </c>
      <c r="H3004" s="96" t="s">
        <v>6692</v>
      </c>
      <c r="I3004" s="96" t="s">
        <v>209</v>
      </c>
      <c r="J3004" s="96" t="s">
        <v>174</v>
      </c>
      <c r="K3004" s="96" t="s">
        <v>195</v>
      </c>
      <c r="L3004">
        <v>54</v>
      </c>
      <c r="M3004" t="s">
        <v>24</v>
      </c>
      <c r="N3004" t="s">
        <v>29</v>
      </c>
      <c r="O3004" t="s">
        <v>152</v>
      </c>
      <c r="P3004">
        <v>2026</v>
      </c>
    </row>
    <row r="3005" spans="1:16" x14ac:dyDescent="0.25">
      <c r="A3005" s="96" t="s">
        <v>2</v>
      </c>
      <c r="B3005" s="96" t="s">
        <v>305</v>
      </c>
      <c r="C3005" s="96" t="s">
        <v>6693</v>
      </c>
      <c r="D3005" s="96" t="s">
        <v>10</v>
      </c>
      <c r="E3005" s="43">
        <v>46080</v>
      </c>
      <c r="F3005" s="43">
        <v>46146</v>
      </c>
      <c r="G3005" s="96" t="s">
        <v>90</v>
      </c>
      <c r="H3005" s="96" t="s">
        <v>6694</v>
      </c>
      <c r="I3005" s="96" t="s">
        <v>225</v>
      </c>
      <c r="J3005" s="96" t="s">
        <v>177</v>
      </c>
      <c r="K3005" s="96" t="s">
        <v>200</v>
      </c>
      <c r="L3005">
        <v>66</v>
      </c>
      <c r="M3005" t="s">
        <v>28</v>
      </c>
      <c r="N3005" t="s">
        <v>32</v>
      </c>
      <c r="O3005" t="s">
        <v>170</v>
      </c>
      <c r="P3005">
        <v>2026</v>
      </c>
    </row>
    <row r="3006" spans="1:16" hidden="1" x14ac:dyDescent="0.25">
      <c r="A3006" s="96" t="s">
        <v>2</v>
      </c>
      <c r="B3006" s="96" t="s">
        <v>255</v>
      </c>
      <c r="C3006" s="96" t="s">
        <v>2899</v>
      </c>
      <c r="D3006" s="96" t="s">
        <v>215</v>
      </c>
      <c r="E3006" s="43">
        <v>45900</v>
      </c>
      <c r="F3006" s="43">
        <v>45974</v>
      </c>
      <c r="G3006" s="96" t="s">
        <v>90</v>
      </c>
      <c r="H3006" s="96" t="s">
        <v>6695</v>
      </c>
      <c r="I3006" s="96" t="s">
        <v>225</v>
      </c>
      <c r="J3006" s="96" t="s">
        <v>97</v>
      </c>
      <c r="K3006" s="96" t="s">
        <v>157</v>
      </c>
      <c r="L3006">
        <v>74</v>
      </c>
      <c r="M3006" t="s">
        <v>28</v>
      </c>
      <c r="N3006" t="s">
        <v>8</v>
      </c>
      <c r="O3006" t="s">
        <v>150</v>
      </c>
      <c r="P3006">
        <v>2025</v>
      </c>
    </row>
    <row r="3007" spans="1:16" hidden="1" x14ac:dyDescent="0.25">
      <c r="A3007" s="96" t="s">
        <v>2</v>
      </c>
      <c r="B3007" s="96" t="s">
        <v>322</v>
      </c>
      <c r="C3007" s="96" t="s">
        <v>2902</v>
      </c>
      <c r="D3007" s="96" t="s">
        <v>237</v>
      </c>
      <c r="E3007" s="43">
        <v>45805</v>
      </c>
      <c r="F3007" s="43">
        <v>45857</v>
      </c>
      <c r="G3007" s="96" t="s">
        <v>95</v>
      </c>
      <c r="H3007" s="96" t="s">
        <v>6696</v>
      </c>
      <c r="I3007" s="96" t="s">
        <v>225</v>
      </c>
      <c r="J3007" s="96" t="s">
        <v>177</v>
      </c>
      <c r="K3007" s="96" t="s">
        <v>157</v>
      </c>
      <c r="L3007">
        <v>52</v>
      </c>
      <c r="M3007" t="s">
        <v>24</v>
      </c>
      <c r="N3007" t="s">
        <v>182</v>
      </c>
      <c r="O3007" t="s">
        <v>150</v>
      </c>
      <c r="P3007">
        <v>2025</v>
      </c>
    </row>
    <row r="3008" spans="1:16" hidden="1" x14ac:dyDescent="0.25">
      <c r="A3008" s="96" t="s">
        <v>21</v>
      </c>
      <c r="B3008" s="96" t="s">
        <v>211</v>
      </c>
      <c r="C3008" s="96" t="s">
        <v>6697</v>
      </c>
      <c r="D3008" s="96" t="s">
        <v>14</v>
      </c>
      <c r="E3008" s="43">
        <v>45952</v>
      </c>
      <c r="F3008" s="43">
        <v>45969</v>
      </c>
      <c r="G3008" s="96" t="s">
        <v>92</v>
      </c>
      <c r="H3008" s="96" t="s">
        <v>6698</v>
      </c>
      <c r="I3008" s="96" t="s">
        <v>225</v>
      </c>
      <c r="J3008" s="96" t="s">
        <v>168</v>
      </c>
      <c r="K3008" s="96" t="s">
        <v>230</v>
      </c>
      <c r="L3008">
        <v>17</v>
      </c>
      <c r="M3008" t="s">
        <v>19</v>
      </c>
      <c r="N3008" t="s">
        <v>16</v>
      </c>
      <c r="O3008" t="s">
        <v>170</v>
      </c>
      <c r="P3008">
        <v>2025</v>
      </c>
    </row>
    <row r="3009" spans="1:16" x14ac:dyDescent="0.25">
      <c r="A3009" s="96" t="s">
        <v>2</v>
      </c>
      <c r="B3009" s="96" t="s">
        <v>249</v>
      </c>
      <c r="C3009" s="96" t="s">
        <v>6699</v>
      </c>
      <c r="D3009" s="96" t="s">
        <v>203</v>
      </c>
      <c r="E3009" s="43">
        <v>46119</v>
      </c>
      <c r="F3009" s="43">
        <v>46146</v>
      </c>
      <c r="G3009" s="96" t="s">
        <v>92</v>
      </c>
      <c r="H3009" s="96" t="s">
        <v>6700</v>
      </c>
      <c r="I3009" s="96" t="s">
        <v>204</v>
      </c>
      <c r="J3009" s="96" t="s">
        <v>169</v>
      </c>
      <c r="K3009" s="96" t="s">
        <v>230</v>
      </c>
      <c r="L3009">
        <v>27</v>
      </c>
      <c r="M3009" t="s">
        <v>19</v>
      </c>
      <c r="N3009" t="s">
        <v>37</v>
      </c>
      <c r="O3009" t="s">
        <v>170</v>
      </c>
      <c r="P3009">
        <v>2026</v>
      </c>
    </row>
    <row r="3010" spans="1:16" hidden="1" x14ac:dyDescent="0.25">
      <c r="A3010" s="96" t="s">
        <v>2</v>
      </c>
      <c r="B3010" s="96" t="s">
        <v>238</v>
      </c>
      <c r="C3010" s="96" t="s">
        <v>2904</v>
      </c>
      <c r="D3010" s="96" t="s">
        <v>208</v>
      </c>
      <c r="E3010" s="43">
        <v>46000</v>
      </c>
      <c r="F3010" s="43">
        <v>46117</v>
      </c>
      <c r="G3010" s="96" t="s">
        <v>92</v>
      </c>
      <c r="H3010" s="96" t="s">
        <v>6701</v>
      </c>
      <c r="I3010" s="96" t="s">
        <v>157</v>
      </c>
      <c r="J3010" s="96" t="s">
        <v>173</v>
      </c>
      <c r="K3010" s="96" t="s">
        <v>195</v>
      </c>
      <c r="L3010">
        <v>117</v>
      </c>
      <c r="M3010" t="s">
        <v>28</v>
      </c>
      <c r="N3010" t="s">
        <v>25</v>
      </c>
      <c r="O3010" t="s">
        <v>170</v>
      </c>
      <c r="P3010">
        <v>2025</v>
      </c>
    </row>
    <row r="3011" spans="1:16" x14ac:dyDescent="0.25">
      <c r="A3011" s="96" t="s">
        <v>2</v>
      </c>
      <c r="B3011" s="96" t="s">
        <v>196</v>
      </c>
      <c r="C3011" s="96" t="s">
        <v>2906</v>
      </c>
      <c r="D3011" s="96" t="s">
        <v>40</v>
      </c>
      <c r="E3011" s="43">
        <v>46121</v>
      </c>
      <c r="F3011" s="43">
        <v>46151</v>
      </c>
      <c r="G3011" s="96" t="s">
        <v>92</v>
      </c>
      <c r="H3011" s="96" t="s">
        <v>6702</v>
      </c>
      <c r="I3011" s="96" t="s">
        <v>228</v>
      </c>
      <c r="J3011" s="96" t="s">
        <v>165</v>
      </c>
      <c r="K3011" s="96" t="s">
        <v>230</v>
      </c>
      <c r="L3011">
        <v>30</v>
      </c>
      <c r="M3011" t="s">
        <v>19</v>
      </c>
      <c r="N3011" t="s">
        <v>37</v>
      </c>
      <c r="O3011" t="s">
        <v>152</v>
      </c>
      <c r="P3011">
        <v>2026</v>
      </c>
    </row>
    <row r="3012" spans="1:16" hidden="1" x14ac:dyDescent="0.25">
      <c r="A3012" s="96" t="s">
        <v>2</v>
      </c>
      <c r="B3012" s="96" t="s">
        <v>247</v>
      </c>
      <c r="C3012" s="96" t="s">
        <v>2907</v>
      </c>
      <c r="D3012" s="96" t="s">
        <v>10</v>
      </c>
      <c r="E3012" s="43">
        <v>45739</v>
      </c>
      <c r="F3012" s="43">
        <v>45780</v>
      </c>
      <c r="G3012" s="96" t="s">
        <v>92</v>
      </c>
      <c r="H3012" s="96" t="s">
        <v>6703</v>
      </c>
      <c r="I3012" s="96" t="s">
        <v>204</v>
      </c>
      <c r="J3012" s="96" t="s">
        <v>94</v>
      </c>
      <c r="K3012" s="96" t="s">
        <v>233</v>
      </c>
      <c r="L3012">
        <v>41</v>
      </c>
      <c r="M3012" t="s">
        <v>24</v>
      </c>
      <c r="N3012" t="s">
        <v>186</v>
      </c>
      <c r="O3012" t="s">
        <v>150</v>
      </c>
      <c r="P3012">
        <v>2025</v>
      </c>
    </row>
    <row r="3013" spans="1:16" hidden="1" x14ac:dyDescent="0.25">
      <c r="A3013" s="96" t="s">
        <v>2</v>
      </c>
      <c r="B3013" s="96" t="s">
        <v>322</v>
      </c>
      <c r="C3013" s="96" t="s">
        <v>6704</v>
      </c>
      <c r="D3013" s="96" t="s">
        <v>192</v>
      </c>
      <c r="E3013" s="43">
        <v>45943</v>
      </c>
      <c r="F3013" s="43">
        <v>45981</v>
      </c>
      <c r="G3013" s="96" t="s">
        <v>92</v>
      </c>
      <c r="H3013" s="96" t="s">
        <v>6705</v>
      </c>
      <c r="I3013" s="96" t="s">
        <v>228</v>
      </c>
      <c r="J3013" s="96" t="s">
        <v>216</v>
      </c>
      <c r="K3013" s="96" t="s">
        <v>200</v>
      </c>
      <c r="L3013">
        <v>38</v>
      </c>
      <c r="M3013" t="s">
        <v>24</v>
      </c>
      <c r="N3013" t="s">
        <v>16</v>
      </c>
      <c r="O3013" t="s">
        <v>150</v>
      </c>
      <c r="P3013">
        <v>2025</v>
      </c>
    </row>
    <row r="3014" spans="1:16" x14ac:dyDescent="0.25">
      <c r="A3014" s="96" t="s">
        <v>2</v>
      </c>
      <c r="B3014" s="96" t="s">
        <v>201</v>
      </c>
      <c r="C3014" s="96" t="s">
        <v>2908</v>
      </c>
      <c r="D3014" s="96" t="s">
        <v>208</v>
      </c>
      <c r="E3014" s="43">
        <v>46035</v>
      </c>
      <c r="F3014" s="43">
        <v>46122</v>
      </c>
      <c r="G3014" s="96" t="s">
        <v>92</v>
      </c>
      <c r="H3014" s="96" t="s">
        <v>6706</v>
      </c>
      <c r="I3014" s="96" t="s">
        <v>225</v>
      </c>
      <c r="J3014" s="96" t="s">
        <v>94</v>
      </c>
      <c r="K3014" s="96" t="s">
        <v>200</v>
      </c>
      <c r="L3014">
        <v>87</v>
      </c>
      <c r="M3014" t="s">
        <v>28</v>
      </c>
      <c r="N3014" t="s">
        <v>29</v>
      </c>
      <c r="O3014" t="s">
        <v>170</v>
      </c>
      <c r="P3014">
        <v>2026</v>
      </c>
    </row>
    <row r="3015" spans="1:16" x14ac:dyDescent="0.25">
      <c r="A3015" s="96" t="s">
        <v>175</v>
      </c>
      <c r="B3015" s="96" t="s">
        <v>249</v>
      </c>
      <c r="C3015" s="96" t="s">
        <v>2909</v>
      </c>
      <c r="D3015" s="96" t="s">
        <v>10</v>
      </c>
      <c r="E3015" s="43">
        <v>46063</v>
      </c>
      <c r="F3015" s="43">
        <v>46075</v>
      </c>
      <c r="G3015" s="96" t="s">
        <v>90</v>
      </c>
      <c r="H3015" s="96" t="s">
        <v>6707</v>
      </c>
      <c r="I3015" s="96" t="s">
        <v>228</v>
      </c>
      <c r="J3015" s="96" t="s">
        <v>169</v>
      </c>
      <c r="K3015" s="96" t="s">
        <v>200</v>
      </c>
      <c r="L3015">
        <v>12</v>
      </c>
      <c r="M3015" t="s">
        <v>15</v>
      </c>
      <c r="N3015" t="s">
        <v>32</v>
      </c>
      <c r="O3015" t="s">
        <v>170</v>
      </c>
      <c r="P3015">
        <v>2026</v>
      </c>
    </row>
    <row r="3016" spans="1:16" x14ac:dyDescent="0.25">
      <c r="A3016" s="96" t="s">
        <v>175</v>
      </c>
      <c r="B3016" s="96" t="s">
        <v>219</v>
      </c>
      <c r="C3016" s="96" t="s">
        <v>6708</v>
      </c>
      <c r="D3016" s="96" t="s">
        <v>203</v>
      </c>
      <c r="E3016" s="43">
        <v>46046</v>
      </c>
      <c r="F3016" s="43">
        <v>46114</v>
      </c>
      <c r="G3016" s="96" t="s">
        <v>92</v>
      </c>
      <c r="H3016" s="96" t="s">
        <v>6709</v>
      </c>
      <c r="I3016" s="96" t="s">
        <v>9</v>
      </c>
      <c r="J3016" s="96" t="s">
        <v>216</v>
      </c>
      <c r="K3016" s="96" t="s">
        <v>157</v>
      </c>
      <c r="L3016">
        <v>68</v>
      </c>
      <c r="M3016" t="s">
        <v>28</v>
      </c>
      <c r="N3016" t="s">
        <v>29</v>
      </c>
      <c r="O3016" t="s">
        <v>149</v>
      </c>
      <c r="P3016">
        <v>2026</v>
      </c>
    </row>
    <row r="3017" spans="1:16" hidden="1" x14ac:dyDescent="0.25">
      <c r="A3017" s="96" t="s">
        <v>2</v>
      </c>
      <c r="B3017" s="96" t="s">
        <v>251</v>
      </c>
      <c r="C3017" s="96" t="s">
        <v>2910</v>
      </c>
      <c r="D3017" s="96" t="s">
        <v>208</v>
      </c>
      <c r="E3017" s="43">
        <v>45951</v>
      </c>
      <c r="F3017" s="43">
        <v>46046</v>
      </c>
      <c r="G3017" s="96" t="s">
        <v>92</v>
      </c>
      <c r="H3017" s="96" t="s">
        <v>6710</v>
      </c>
      <c r="I3017" s="96" t="s">
        <v>228</v>
      </c>
      <c r="J3017" s="96" t="s">
        <v>98</v>
      </c>
      <c r="K3017" s="96" t="s">
        <v>217</v>
      </c>
      <c r="L3017">
        <v>95</v>
      </c>
      <c r="M3017" t="s">
        <v>28</v>
      </c>
      <c r="N3017" t="s">
        <v>16</v>
      </c>
      <c r="O3017" t="s">
        <v>170</v>
      </c>
      <c r="P3017">
        <v>2025</v>
      </c>
    </row>
    <row r="3018" spans="1:16" x14ac:dyDescent="0.25">
      <c r="A3018" s="96" t="s">
        <v>175</v>
      </c>
      <c r="B3018" s="96" t="s">
        <v>244</v>
      </c>
      <c r="C3018" s="96" t="s">
        <v>2911</v>
      </c>
      <c r="D3018" s="96" t="s">
        <v>208</v>
      </c>
      <c r="E3018" s="43">
        <v>46042</v>
      </c>
      <c r="F3018" s="43">
        <v>46049</v>
      </c>
      <c r="G3018" s="96" t="s">
        <v>92</v>
      </c>
      <c r="H3018" s="96" t="s">
        <v>6711</v>
      </c>
      <c r="I3018" s="96" t="s">
        <v>157</v>
      </c>
      <c r="J3018" s="96" t="s">
        <v>229</v>
      </c>
      <c r="K3018" s="96" t="s">
        <v>230</v>
      </c>
      <c r="L3018">
        <v>7</v>
      </c>
      <c r="M3018" t="s">
        <v>11</v>
      </c>
      <c r="N3018" t="s">
        <v>29</v>
      </c>
      <c r="O3018" t="s">
        <v>150</v>
      </c>
      <c r="P3018">
        <v>2026</v>
      </c>
    </row>
    <row r="3019" spans="1:16" hidden="1" x14ac:dyDescent="0.25">
      <c r="A3019" s="96" t="s">
        <v>171</v>
      </c>
      <c r="B3019" s="96" t="s">
        <v>240</v>
      </c>
      <c r="C3019" s="96" t="s">
        <v>2912</v>
      </c>
      <c r="D3019" s="96" t="s">
        <v>203</v>
      </c>
      <c r="E3019" s="43">
        <v>45899</v>
      </c>
      <c r="F3019" s="43">
        <v>45947</v>
      </c>
      <c r="G3019" s="96" t="s">
        <v>92</v>
      </c>
      <c r="H3019" s="96" t="s">
        <v>6712</v>
      </c>
      <c r="I3019" s="96" t="s">
        <v>204</v>
      </c>
      <c r="J3019" s="96" t="s">
        <v>216</v>
      </c>
      <c r="K3019" s="96" t="s">
        <v>230</v>
      </c>
      <c r="L3019">
        <v>48</v>
      </c>
      <c r="M3019" t="s">
        <v>24</v>
      </c>
      <c r="N3019" t="s">
        <v>8</v>
      </c>
      <c r="O3019" t="s">
        <v>149</v>
      </c>
      <c r="P3019">
        <v>2025</v>
      </c>
    </row>
    <row r="3020" spans="1:16" x14ac:dyDescent="0.25">
      <c r="A3020" s="96" t="s">
        <v>2</v>
      </c>
      <c r="B3020" s="96" t="s">
        <v>219</v>
      </c>
      <c r="C3020" s="96" t="s">
        <v>2914</v>
      </c>
      <c r="D3020" s="96" t="s">
        <v>14</v>
      </c>
      <c r="E3020" s="43">
        <v>46144</v>
      </c>
      <c r="F3020" s="43">
        <v>46149</v>
      </c>
      <c r="G3020" s="96" t="s">
        <v>90</v>
      </c>
      <c r="H3020" s="96" t="s">
        <v>6713</v>
      </c>
      <c r="I3020" s="96" t="s">
        <v>9</v>
      </c>
      <c r="J3020" s="96" t="s">
        <v>173</v>
      </c>
      <c r="K3020" s="96" t="s">
        <v>217</v>
      </c>
      <c r="L3020">
        <v>5</v>
      </c>
      <c r="M3020" t="s">
        <v>11</v>
      </c>
      <c r="N3020" t="s">
        <v>183</v>
      </c>
      <c r="O3020" t="s">
        <v>149</v>
      </c>
      <c r="P3020">
        <v>2026</v>
      </c>
    </row>
    <row r="3021" spans="1:16" hidden="1" x14ac:dyDescent="0.25">
      <c r="A3021" s="96" t="s">
        <v>2</v>
      </c>
      <c r="B3021" s="96" t="s">
        <v>264</v>
      </c>
      <c r="C3021" s="96" t="s">
        <v>6714</v>
      </c>
      <c r="D3021" s="96" t="s">
        <v>40</v>
      </c>
      <c r="E3021" s="43">
        <v>45859</v>
      </c>
      <c r="F3021" s="43">
        <v>45903</v>
      </c>
      <c r="G3021" s="96" t="s">
        <v>90</v>
      </c>
      <c r="H3021" s="96" t="s">
        <v>2818</v>
      </c>
      <c r="I3021" s="96" t="s">
        <v>204</v>
      </c>
      <c r="J3021" s="96" t="s">
        <v>97</v>
      </c>
      <c r="K3021" s="96" t="s">
        <v>195</v>
      </c>
      <c r="L3021">
        <v>44</v>
      </c>
      <c r="M3021" t="s">
        <v>24</v>
      </c>
      <c r="N3021" t="s">
        <v>187</v>
      </c>
      <c r="O3021" t="s">
        <v>152</v>
      </c>
      <c r="P3021">
        <v>2025</v>
      </c>
    </row>
    <row r="3022" spans="1:16" hidden="1" x14ac:dyDescent="0.25">
      <c r="A3022" s="96" t="s">
        <v>2</v>
      </c>
      <c r="B3022" s="96" t="s">
        <v>190</v>
      </c>
      <c r="C3022" s="96" t="s">
        <v>2916</v>
      </c>
      <c r="D3022" s="96" t="s">
        <v>208</v>
      </c>
      <c r="E3022" s="43">
        <v>45854</v>
      </c>
      <c r="F3022" s="43">
        <v>45950</v>
      </c>
      <c r="G3022" s="96" t="s">
        <v>90</v>
      </c>
      <c r="H3022" s="96" t="s">
        <v>6715</v>
      </c>
      <c r="I3022" s="96" t="s">
        <v>204</v>
      </c>
      <c r="J3022" s="96" t="s">
        <v>93</v>
      </c>
      <c r="K3022" s="96" t="s">
        <v>195</v>
      </c>
      <c r="L3022">
        <v>96</v>
      </c>
      <c r="M3022" t="s">
        <v>28</v>
      </c>
      <c r="N3022" t="s">
        <v>187</v>
      </c>
      <c r="O3022" t="s">
        <v>150</v>
      </c>
      <c r="P3022">
        <v>2025</v>
      </c>
    </row>
    <row r="3023" spans="1:16" x14ac:dyDescent="0.25">
      <c r="A3023" s="96" t="s">
        <v>2</v>
      </c>
      <c r="B3023" s="96" t="s">
        <v>269</v>
      </c>
      <c r="C3023" s="96" t="s">
        <v>2917</v>
      </c>
      <c r="D3023" s="96" t="s">
        <v>208</v>
      </c>
      <c r="E3023" s="43">
        <v>46060</v>
      </c>
      <c r="F3023" s="43">
        <v>46107</v>
      </c>
      <c r="G3023" s="96" t="s">
        <v>92</v>
      </c>
      <c r="H3023" s="96" t="s">
        <v>6716</v>
      </c>
      <c r="I3023" s="96" t="s">
        <v>9</v>
      </c>
      <c r="J3023" s="96" t="s">
        <v>176</v>
      </c>
      <c r="K3023" s="96" t="s">
        <v>195</v>
      </c>
      <c r="L3023">
        <v>47</v>
      </c>
      <c r="M3023" t="s">
        <v>24</v>
      </c>
      <c r="N3023" t="s">
        <v>32</v>
      </c>
      <c r="O3023" t="s">
        <v>152</v>
      </c>
      <c r="P3023">
        <v>2026</v>
      </c>
    </row>
    <row r="3024" spans="1:16" hidden="1" x14ac:dyDescent="0.25">
      <c r="A3024" s="96" t="s">
        <v>21</v>
      </c>
      <c r="B3024" s="96" t="s">
        <v>280</v>
      </c>
      <c r="C3024" s="96" t="s">
        <v>2918</v>
      </c>
      <c r="D3024" s="96" t="s">
        <v>10</v>
      </c>
      <c r="E3024" s="43">
        <v>45754</v>
      </c>
      <c r="F3024" s="43">
        <v>45792</v>
      </c>
      <c r="G3024" s="96" t="s">
        <v>92</v>
      </c>
      <c r="H3024" s="96" t="s">
        <v>6717</v>
      </c>
      <c r="I3024" s="96" t="s">
        <v>9</v>
      </c>
      <c r="J3024" s="96" t="s">
        <v>97</v>
      </c>
      <c r="K3024" s="96" t="s">
        <v>217</v>
      </c>
      <c r="L3024">
        <v>38</v>
      </c>
      <c r="M3024" t="s">
        <v>24</v>
      </c>
      <c r="N3024" t="s">
        <v>185</v>
      </c>
      <c r="O3024" t="s">
        <v>170</v>
      </c>
      <c r="P3024">
        <v>2025</v>
      </c>
    </row>
    <row r="3025" spans="1:16" x14ac:dyDescent="0.25">
      <c r="A3025" s="96" t="s">
        <v>2</v>
      </c>
      <c r="B3025" s="96" t="s">
        <v>249</v>
      </c>
      <c r="C3025" s="96" t="s">
        <v>2919</v>
      </c>
      <c r="D3025" s="96" t="s">
        <v>40</v>
      </c>
      <c r="E3025" s="43">
        <v>46083</v>
      </c>
      <c r="F3025" s="43">
        <v>46147</v>
      </c>
      <c r="G3025" s="96" t="s">
        <v>92</v>
      </c>
      <c r="H3025" s="96" t="s">
        <v>6718</v>
      </c>
      <c r="I3025" s="96" t="s">
        <v>157</v>
      </c>
      <c r="J3025" s="96" t="s">
        <v>229</v>
      </c>
      <c r="K3025" s="96" t="s">
        <v>230</v>
      </c>
      <c r="L3025">
        <v>64</v>
      </c>
      <c r="M3025" t="s">
        <v>28</v>
      </c>
      <c r="N3025" t="s">
        <v>35</v>
      </c>
      <c r="O3025" t="s">
        <v>170</v>
      </c>
      <c r="P3025">
        <v>2026</v>
      </c>
    </row>
    <row r="3026" spans="1:16" hidden="1" x14ac:dyDescent="0.25">
      <c r="A3026" s="96" t="s">
        <v>2</v>
      </c>
      <c r="B3026" s="96" t="s">
        <v>253</v>
      </c>
      <c r="C3026" s="96" t="s">
        <v>2920</v>
      </c>
      <c r="D3026" s="96" t="s">
        <v>215</v>
      </c>
      <c r="E3026" s="43">
        <v>45920</v>
      </c>
      <c r="F3026" s="43">
        <v>45951</v>
      </c>
      <c r="G3026" s="96" t="s">
        <v>92</v>
      </c>
      <c r="H3026" s="96" t="s">
        <v>6719</v>
      </c>
      <c r="I3026" s="96" t="s">
        <v>194</v>
      </c>
      <c r="J3026" s="96" t="s">
        <v>168</v>
      </c>
      <c r="K3026" s="96" t="s">
        <v>200</v>
      </c>
      <c r="L3026">
        <v>31</v>
      </c>
      <c r="M3026" t="s">
        <v>24</v>
      </c>
      <c r="N3026" t="s">
        <v>12</v>
      </c>
      <c r="O3026" t="s">
        <v>152</v>
      </c>
      <c r="P3026">
        <v>2025</v>
      </c>
    </row>
    <row r="3027" spans="1:16" x14ac:dyDescent="0.25">
      <c r="A3027" s="96" t="s">
        <v>2</v>
      </c>
      <c r="B3027" s="96" t="s">
        <v>218</v>
      </c>
      <c r="C3027" s="96" t="s">
        <v>2921</v>
      </c>
      <c r="D3027" s="96" t="s">
        <v>237</v>
      </c>
      <c r="E3027" s="43">
        <v>46037</v>
      </c>
      <c r="F3027" s="43">
        <v>46131</v>
      </c>
      <c r="G3027" s="96" t="s">
        <v>92</v>
      </c>
      <c r="H3027" s="96" t="s">
        <v>2821</v>
      </c>
      <c r="I3027" s="96" t="s">
        <v>228</v>
      </c>
      <c r="J3027" s="96" t="s">
        <v>168</v>
      </c>
      <c r="K3027" s="96" t="s">
        <v>246</v>
      </c>
      <c r="L3027">
        <v>94</v>
      </c>
      <c r="M3027" t="s">
        <v>28</v>
      </c>
      <c r="N3027" t="s">
        <v>29</v>
      </c>
      <c r="O3027" t="s">
        <v>152</v>
      </c>
      <c r="P3027">
        <v>2026</v>
      </c>
    </row>
    <row r="3028" spans="1:16" x14ac:dyDescent="0.25">
      <c r="A3028" s="96" t="s">
        <v>21</v>
      </c>
      <c r="B3028" s="96" t="s">
        <v>261</v>
      </c>
      <c r="C3028" s="96" t="s">
        <v>6720</v>
      </c>
      <c r="D3028" s="96" t="s">
        <v>215</v>
      </c>
      <c r="E3028" s="43">
        <v>46106</v>
      </c>
      <c r="F3028" s="43">
        <v>46114</v>
      </c>
      <c r="G3028" s="96" t="s">
        <v>92</v>
      </c>
      <c r="H3028" s="96" t="s">
        <v>2823</v>
      </c>
      <c r="I3028" s="96" t="s">
        <v>9</v>
      </c>
      <c r="J3028" s="96" t="s">
        <v>169</v>
      </c>
      <c r="K3028" s="96" t="s">
        <v>233</v>
      </c>
      <c r="L3028">
        <v>8</v>
      </c>
      <c r="M3028" t="s">
        <v>15</v>
      </c>
      <c r="N3028" t="s">
        <v>35</v>
      </c>
      <c r="O3028" t="s">
        <v>151</v>
      </c>
      <c r="P3028">
        <v>2026</v>
      </c>
    </row>
    <row r="3029" spans="1:16" hidden="1" x14ac:dyDescent="0.25">
      <c r="A3029" s="96" t="s">
        <v>2</v>
      </c>
      <c r="B3029" s="96" t="s">
        <v>272</v>
      </c>
      <c r="C3029" s="96" t="s">
        <v>2922</v>
      </c>
      <c r="D3029" s="96" t="s">
        <v>223</v>
      </c>
      <c r="E3029" s="43">
        <v>45660</v>
      </c>
      <c r="F3029" s="43">
        <v>45730</v>
      </c>
      <c r="G3029" s="96" t="s">
        <v>90</v>
      </c>
      <c r="H3029" s="96" t="s">
        <v>2824</v>
      </c>
      <c r="I3029" s="96" t="s">
        <v>9</v>
      </c>
      <c r="J3029" s="96" t="s">
        <v>199</v>
      </c>
      <c r="K3029" s="96" t="s">
        <v>205</v>
      </c>
      <c r="L3029">
        <v>70</v>
      </c>
      <c r="M3029" t="s">
        <v>28</v>
      </c>
      <c r="N3029" t="s">
        <v>181</v>
      </c>
      <c r="O3029" t="s">
        <v>151</v>
      </c>
      <c r="P3029">
        <v>2025</v>
      </c>
    </row>
    <row r="3030" spans="1:16" hidden="1" x14ac:dyDescent="0.25">
      <c r="A3030" s="96" t="s">
        <v>2</v>
      </c>
      <c r="B3030" s="96" t="s">
        <v>264</v>
      </c>
      <c r="C3030" s="96" t="s">
        <v>2923</v>
      </c>
      <c r="D3030" s="96" t="s">
        <v>208</v>
      </c>
      <c r="E3030" s="43">
        <v>45739</v>
      </c>
      <c r="F3030" s="43">
        <v>45842</v>
      </c>
      <c r="G3030" s="96" t="s">
        <v>90</v>
      </c>
      <c r="H3030" s="96" t="s">
        <v>2826</v>
      </c>
      <c r="I3030" s="96" t="s">
        <v>204</v>
      </c>
      <c r="J3030" s="96" t="s">
        <v>229</v>
      </c>
      <c r="K3030" s="96" t="s">
        <v>205</v>
      </c>
      <c r="L3030">
        <v>103</v>
      </c>
      <c r="M3030" t="s">
        <v>28</v>
      </c>
      <c r="N3030" t="s">
        <v>186</v>
      </c>
      <c r="O3030" t="s">
        <v>152</v>
      </c>
      <c r="P3030">
        <v>2025</v>
      </c>
    </row>
    <row r="3031" spans="1:16" hidden="1" x14ac:dyDescent="0.25">
      <c r="A3031" s="96" t="s">
        <v>2</v>
      </c>
      <c r="B3031" s="96" t="s">
        <v>211</v>
      </c>
      <c r="C3031" s="96" t="s">
        <v>2924</v>
      </c>
      <c r="D3031" s="96" t="s">
        <v>215</v>
      </c>
      <c r="E3031" s="43">
        <v>45712</v>
      </c>
      <c r="F3031" s="43">
        <v>45715</v>
      </c>
      <c r="G3031" s="96" t="s">
        <v>90</v>
      </c>
      <c r="H3031" s="96" t="s">
        <v>2828</v>
      </c>
      <c r="I3031" s="96" t="s">
        <v>204</v>
      </c>
      <c r="J3031" s="96" t="s">
        <v>165</v>
      </c>
      <c r="K3031" s="96" t="s">
        <v>157</v>
      </c>
      <c r="L3031">
        <v>3</v>
      </c>
      <c r="M3031" t="s">
        <v>11</v>
      </c>
      <c r="N3031" t="s">
        <v>188</v>
      </c>
      <c r="O3031" t="s">
        <v>170</v>
      </c>
      <c r="P3031">
        <v>2025</v>
      </c>
    </row>
    <row r="3032" spans="1:16" x14ac:dyDescent="0.25">
      <c r="A3032" s="96" t="s">
        <v>175</v>
      </c>
      <c r="B3032" s="96" t="s">
        <v>218</v>
      </c>
      <c r="C3032" s="96" t="s">
        <v>6721</v>
      </c>
      <c r="D3032" s="96" t="s">
        <v>237</v>
      </c>
      <c r="E3032" s="43">
        <v>46112</v>
      </c>
      <c r="F3032" s="43">
        <v>46151</v>
      </c>
      <c r="G3032" s="96" t="s">
        <v>92</v>
      </c>
      <c r="H3032" s="96" t="s">
        <v>2830</v>
      </c>
      <c r="I3032" s="96" t="s">
        <v>9</v>
      </c>
      <c r="J3032" s="96" t="s">
        <v>94</v>
      </c>
      <c r="K3032" s="96" t="s">
        <v>195</v>
      </c>
      <c r="L3032">
        <v>39</v>
      </c>
      <c r="M3032" t="s">
        <v>24</v>
      </c>
      <c r="N3032" t="s">
        <v>35</v>
      </c>
      <c r="O3032" t="s">
        <v>152</v>
      </c>
      <c r="P3032">
        <v>2026</v>
      </c>
    </row>
    <row r="3033" spans="1:16" hidden="1" x14ac:dyDescent="0.25">
      <c r="A3033" s="96" t="s">
        <v>2</v>
      </c>
      <c r="B3033" s="96" t="s">
        <v>272</v>
      </c>
      <c r="C3033" s="96" t="s">
        <v>6722</v>
      </c>
      <c r="D3033" s="96" t="s">
        <v>34</v>
      </c>
      <c r="E3033" s="43">
        <v>45766</v>
      </c>
      <c r="F3033" s="43">
        <v>45821</v>
      </c>
      <c r="G3033" s="96" t="s">
        <v>92</v>
      </c>
      <c r="H3033" s="96" t="s">
        <v>6723</v>
      </c>
      <c r="I3033" s="96" t="s">
        <v>209</v>
      </c>
      <c r="J3033" s="96" t="s">
        <v>169</v>
      </c>
      <c r="K3033" s="96" t="s">
        <v>230</v>
      </c>
      <c r="L3033">
        <v>55</v>
      </c>
      <c r="M3033" t="s">
        <v>24</v>
      </c>
      <c r="N3033" t="s">
        <v>185</v>
      </c>
      <c r="O3033" t="s">
        <v>151</v>
      </c>
      <c r="P3033">
        <v>2025</v>
      </c>
    </row>
    <row r="3034" spans="1:16" hidden="1" x14ac:dyDescent="0.25">
      <c r="A3034" s="96" t="s">
        <v>2</v>
      </c>
      <c r="B3034" s="96" t="s">
        <v>257</v>
      </c>
      <c r="C3034" s="96" t="s">
        <v>2926</v>
      </c>
      <c r="D3034" s="96" t="s">
        <v>208</v>
      </c>
      <c r="E3034" s="43">
        <v>45868</v>
      </c>
      <c r="F3034" s="43">
        <v>45975</v>
      </c>
      <c r="G3034" s="96" t="s">
        <v>92</v>
      </c>
      <c r="H3034" s="96" t="s">
        <v>6724</v>
      </c>
      <c r="I3034" s="96" t="s">
        <v>225</v>
      </c>
      <c r="J3034" s="96" t="s">
        <v>199</v>
      </c>
      <c r="K3034" s="96" t="s">
        <v>217</v>
      </c>
      <c r="L3034">
        <v>107</v>
      </c>
      <c r="M3034" t="s">
        <v>28</v>
      </c>
      <c r="N3034" t="s">
        <v>187</v>
      </c>
      <c r="O3034" t="s">
        <v>151</v>
      </c>
      <c r="P3034">
        <v>2025</v>
      </c>
    </row>
    <row r="3035" spans="1:16" x14ac:dyDescent="0.25">
      <c r="A3035" s="96" t="s">
        <v>2</v>
      </c>
      <c r="B3035" s="96" t="s">
        <v>269</v>
      </c>
      <c r="C3035" s="96" t="s">
        <v>2927</v>
      </c>
      <c r="D3035" s="96" t="s">
        <v>10</v>
      </c>
      <c r="E3035" s="43">
        <v>46059</v>
      </c>
      <c r="F3035" s="43">
        <v>46117</v>
      </c>
      <c r="G3035" s="96" t="s">
        <v>92</v>
      </c>
      <c r="H3035" s="96" t="s">
        <v>6725</v>
      </c>
      <c r="I3035" s="96" t="s">
        <v>9</v>
      </c>
      <c r="J3035" s="96" t="s">
        <v>176</v>
      </c>
      <c r="K3035" s="96" t="s">
        <v>246</v>
      </c>
      <c r="L3035">
        <v>58</v>
      </c>
      <c r="M3035" t="s">
        <v>24</v>
      </c>
      <c r="N3035" t="s">
        <v>32</v>
      </c>
      <c r="O3035" t="s">
        <v>152</v>
      </c>
      <c r="P3035">
        <v>2026</v>
      </c>
    </row>
    <row r="3036" spans="1:16" hidden="1" x14ac:dyDescent="0.25">
      <c r="A3036" s="96" t="s">
        <v>2</v>
      </c>
      <c r="B3036" s="96" t="s">
        <v>280</v>
      </c>
      <c r="C3036" s="96" t="s">
        <v>2929</v>
      </c>
      <c r="D3036" s="96" t="s">
        <v>237</v>
      </c>
      <c r="E3036" s="43">
        <v>45684</v>
      </c>
      <c r="F3036" s="43">
        <v>45685</v>
      </c>
      <c r="G3036" s="96" t="s">
        <v>92</v>
      </c>
      <c r="H3036" s="96" t="s">
        <v>6726</v>
      </c>
      <c r="I3036" s="96" t="s">
        <v>194</v>
      </c>
      <c r="J3036" s="96" t="s">
        <v>165</v>
      </c>
      <c r="K3036" s="96" t="s">
        <v>157</v>
      </c>
      <c r="L3036">
        <v>1</v>
      </c>
      <c r="M3036" t="s">
        <v>11</v>
      </c>
      <c r="N3036" t="s">
        <v>181</v>
      </c>
      <c r="O3036" t="s">
        <v>170</v>
      </c>
      <c r="P3036">
        <v>2025</v>
      </c>
    </row>
    <row r="3037" spans="1:16" x14ac:dyDescent="0.25">
      <c r="A3037" s="96" t="s">
        <v>2</v>
      </c>
      <c r="B3037" s="96" t="s">
        <v>219</v>
      </c>
      <c r="C3037" s="96" t="s">
        <v>2932</v>
      </c>
      <c r="D3037" s="96" t="s">
        <v>10</v>
      </c>
      <c r="E3037" s="43">
        <v>46032</v>
      </c>
      <c r="F3037" s="43">
        <v>46048</v>
      </c>
      <c r="G3037" s="96" t="s">
        <v>92</v>
      </c>
      <c r="H3037" s="96" t="s">
        <v>2834</v>
      </c>
      <c r="I3037" s="96" t="s">
        <v>157</v>
      </c>
      <c r="J3037" s="96" t="s">
        <v>176</v>
      </c>
      <c r="K3037" s="96" t="s">
        <v>246</v>
      </c>
      <c r="L3037">
        <v>16</v>
      </c>
      <c r="M3037" t="s">
        <v>19</v>
      </c>
      <c r="N3037" t="s">
        <v>29</v>
      </c>
      <c r="O3037" t="s">
        <v>149</v>
      </c>
      <c r="P3037">
        <v>2026</v>
      </c>
    </row>
    <row r="3038" spans="1:16" hidden="1" x14ac:dyDescent="0.25">
      <c r="A3038" s="96" t="s">
        <v>2</v>
      </c>
      <c r="B3038" s="96" t="s">
        <v>257</v>
      </c>
      <c r="C3038" s="96" t="s">
        <v>2934</v>
      </c>
      <c r="D3038" s="96" t="s">
        <v>14</v>
      </c>
      <c r="E3038" s="43">
        <v>45923</v>
      </c>
      <c r="F3038" s="43">
        <v>46039</v>
      </c>
      <c r="G3038" s="96" t="s">
        <v>95</v>
      </c>
      <c r="H3038" s="96" t="s">
        <v>6727</v>
      </c>
      <c r="I3038" s="96" t="s">
        <v>9</v>
      </c>
      <c r="J3038" s="96" t="s">
        <v>283</v>
      </c>
      <c r="K3038" s="96" t="s">
        <v>205</v>
      </c>
      <c r="L3038">
        <v>116</v>
      </c>
      <c r="M3038" t="s">
        <v>28</v>
      </c>
      <c r="N3038" t="s">
        <v>12</v>
      </c>
      <c r="O3038" t="s">
        <v>151</v>
      </c>
      <c r="P3038">
        <v>2025</v>
      </c>
    </row>
    <row r="3039" spans="1:16" x14ac:dyDescent="0.25">
      <c r="A3039" s="96" t="s">
        <v>2</v>
      </c>
      <c r="B3039" s="96" t="s">
        <v>218</v>
      </c>
      <c r="C3039" s="96" t="s">
        <v>6728</v>
      </c>
      <c r="D3039" s="96" t="s">
        <v>203</v>
      </c>
      <c r="E3039" s="43">
        <v>46061</v>
      </c>
      <c r="F3039" s="43">
        <v>46150</v>
      </c>
      <c r="G3039" s="96" t="s">
        <v>92</v>
      </c>
      <c r="H3039" s="96" t="s">
        <v>2837</v>
      </c>
      <c r="I3039" s="96" t="s">
        <v>209</v>
      </c>
      <c r="J3039" s="96" t="s">
        <v>176</v>
      </c>
      <c r="K3039" s="96" t="s">
        <v>233</v>
      </c>
      <c r="L3039">
        <v>89</v>
      </c>
      <c r="M3039" t="s">
        <v>28</v>
      </c>
      <c r="N3039" t="s">
        <v>32</v>
      </c>
      <c r="O3039" t="s">
        <v>152</v>
      </c>
      <c r="P3039">
        <v>2026</v>
      </c>
    </row>
    <row r="3040" spans="1:16" hidden="1" x14ac:dyDescent="0.25">
      <c r="A3040" s="96" t="s">
        <v>2</v>
      </c>
      <c r="B3040" s="96" t="s">
        <v>251</v>
      </c>
      <c r="C3040" s="96" t="s">
        <v>6729</v>
      </c>
      <c r="D3040" s="96" t="s">
        <v>40</v>
      </c>
      <c r="E3040" s="43">
        <v>45732</v>
      </c>
      <c r="F3040" s="43">
        <v>45746</v>
      </c>
      <c r="G3040" s="96" t="s">
        <v>90</v>
      </c>
      <c r="H3040" s="96" t="s">
        <v>2839</v>
      </c>
      <c r="I3040" s="96" t="s">
        <v>157</v>
      </c>
      <c r="J3040" s="96" t="s">
        <v>176</v>
      </c>
      <c r="K3040" s="96" t="s">
        <v>200</v>
      </c>
      <c r="L3040">
        <v>14</v>
      </c>
      <c r="M3040" t="s">
        <v>15</v>
      </c>
      <c r="N3040" t="s">
        <v>186</v>
      </c>
      <c r="O3040" t="s">
        <v>170</v>
      </c>
      <c r="P3040">
        <v>2025</v>
      </c>
    </row>
    <row r="3041" spans="1:16" hidden="1" x14ac:dyDescent="0.25">
      <c r="A3041" s="96" t="s">
        <v>2</v>
      </c>
      <c r="B3041" s="96" t="s">
        <v>253</v>
      </c>
      <c r="C3041" s="96" t="s">
        <v>2936</v>
      </c>
      <c r="D3041" s="96" t="s">
        <v>223</v>
      </c>
      <c r="E3041" s="43">
        <v>45738</v>
      </c>
      <c r="F3041" s="43">
        <v>45829</v>
      </c>
      <c r="G3041" s="96" t="s">
        <v>90</v>
      </c>
      <c r="H3041" s="96" t="s">
        <v>6730</v>
      </c>
      <c r="I3041" s="96" t="s">
        <v>157</v>
      </c>
      <c r="J3041" s="96" t="s">
        <v>168</v>
      </c>
      <c r="K3041" s="96" t="s">
        <v>157</v>
      </c>
      <c r="L3041">
        <v>91</v>
      </c>
      <c r="M3041" t="s">
        <v>28</v>
      </c>
      <c r="N3041" t="s">
        <v>186</v>
      </c>
      <c r="O3041" t="s">
        <v>152</v>
      </c>
      <c r="P3041">
        <v>2025</v>
      </c>
    </row>
    <row r="3042" spans="1:16" hidden="1" x14ac:dyDescent="0.25">
      <c r="A3042" s="96" t="s">
        <v>2</v>
      </c>
      <c r="B3042" s="96" t="s">
        <v>272</v>
      </c>
      <c r="C3042" s="96" t="s">
        <v>6731</v>
      </c>
      <c r="D3042" s="96" t="s">
        <v>208</v>
      </c>
      <c r="E3042" s="43">
        <v>45875</v>
      </c>
      <c r="F3042" s="43">
        <v>45982</v>
      </c>
      <c r="G3042" s="96" t="s">
        <v>90</v>
      </c>
      <c r="H3042" s="96" t="s">
        <v>6732</v>
      </c>
      <c r="I3042" s="96" t="s">
        <v>228</v>
      </c>
      <c r="J3042" s="96" t="s">
        <v>172</v>
      </c>
      <c r="K3042" s="96" t="s">
        <v>246</v>
      </c>
      <c r="L3042">
        <v>107</v>
      </c>
      <c r="M3042" t="s">
        <v>28</v>
      </c>
      <c r="N3042" t="s">
        <v>8</v>
      </c>
      <c r="O3042" t="s">
        <v>151</v>
      </c>
      <c r="P3042">
        <v>2025</v>
      </c>
    </row>
    <row r="3043" spans="1:16" x14ac:dyDescent="0.25">
      <c r="A3043" s="96" t="s">
        <v>2</v>
      </c>
      <c r="B3043" s="96" t="s">
        <v>269</v>
      </c>
      <c r="C3043" s="96" t="s">
        <v>6733</v>
      </c>
      <c r="D3043" s="96" t="s">
        <v>237</v>
      </c>
      <c r="E3043" s="43">
        <v>46038</v>
      </c>
      <c r="F3043" s="43">
        <v>46044</v>
      </c>
      <c r="G3043" s="96" t="s">
        <v>92</v>
      </c>
      <c r="H3043" s="96" t="s">
        <v>6734</v>
      </c>
      <c r="I3043" s="96" t="s">
        <v>194</v>
      </c>
      <c r="J3043" s="96" t="s">
        <v>93</v>
      </c>
      <c r="K3043" s="96" t="s">
        <v>217</v>
      </c>
      <c r="L3043">
        <v>6</v>
      </c>
      <c r="M3043" t="s">
        <v>11</v>
      </c>
      <c r="N3043" t="s">
        <v>29</v>
      </c>
      <c r="O3043" t="s">
        <v>152</v>
      </c>
      <c r="P3043">
        <v>2026</v>
      </c>
    </row>
    <row r="3044" spans="1:16" x14ac:dyDescent="0.25">
      <c r="A3044" s="96" t="s">
        <v>171</v>
      </c>
      <c r="B3044" s="96" t="s">
        <v>196</v>
      </c>
      <c r="C3044" s="96" t="s">
        <v>2938</v>
      </c>
      <c r="D3044" s="96" t="s">
        <v>40</v>
      </c>
      <c r="E3044" s="43">
        <v>46099</v>
      </c>
      <c r="F3044" s="43">
        <v>46147</v>
      </c>
      <c r="G3044" s="96" t="s">
        <v>95</v>
      </c>
      <c r="H3044" s="96" t="s">
        <v>6735</v>
      </c>
      <c r="I3044" s="96" t="s">
        <v>209</v>
      </c>
      <c r="J3044" s="96" t="s">
        <v>96</v>
      </c>
      <c r="K3044" s="96" t="s">
        <v>217</v>
      </c>
      <c r="L3044">
        <v>48</v>
      </c>
      <c r="M3044" t="s">
        <v>24</v>
      </c>
      <c r="N3044" t="s">
        <v>35</v>
      </c>
      <c r="O3044" t="s">
        <v>152</v>
      </c>
      <c r="P3044">
        <v>2026</v>
      </c>
    </row>
    <row r="3045" spans="1:16" hidden="1" x14ac:dyDescent="0.25">
      <c r="A3045" s="96" t="s">
        <v>2</v>
      </c>
      <c r="B3045" s="96" t="s">
        <v>211</v>
      </c>
      <c r="C3045" s="96" t="s">
        <v>6736</v>
      </c>
      <c r="D3045" s="96" t="s">
        <v>223</v>
      </c>
      <c r="E3045" s="43">
        <v>45894</v>
      </c>
      <c r="F3045" s="43">
        <v>45986</v>
      </c>
      <c r="G3045" s="96" t="s">
        <v>90</v>
      </c>
      <c r="H3045" s="96" t="s">
        <v>6737</v>
      </c>
      <c r="I3045" s="96" t="s">
        <v>225</v>
      </c>
      <c r="J3045" s="96" t="s">
        <v>168</v>
      </c>
      <c r="K3045" s="96" t="s">
        <v>210</v>
      </c>
      <c r="L3045">
        <v>92</v>
      </c>
      <c r="M3045" t="s">
        <v>28</v>
      </c>
      <c r="N3045" t="s">
        <v>8</v>
      </c>
      <c r="O3045" t="s">
        <v>170</v>
      </c>
      <c r="P3045">
        <v>2025</v>
      </c>
    </row>
    <row r="3046" spans="1:16" hidden="1" x14ac:dyDescent="0.25">
      <c r="A3046" s="96" t="s">
        <v>2</v>
      </c>
      <c r="B3046" s="96" t="s">
        <v>247</v>
      </c>
      <c r="C3046" s="96" t="s">
        <v>6738</v>
      </c>
      <c r="D3046" s="96" t="s">
        <v>237</v>
      </c>
      <c r="E3046" s="43">
        <v>45955</v>
      </c>
      <c r="F3046" s="43">
        <v>45983</v>
      </c>
      <c r="G3046" s="96" t="s">
        <v>92</v>
      </c>
      <c r="H3046" s="96" t="s">
        <v>6739</v>
      </c>
      <c r="I3046" s="96" t="s">
        <v>194</v>
      </c>
      <c r="J3046" s="96" t="s">
        <v>174</v>
      </c>
      <c r="K3046" s="96" t="s">
        <v>230</v>
      </c>
      <c r="L3046">
        <v>28</v>
      </c>
      <c r="M3046" t="s">
        <v>19</v>
      </c>
      <c r="N3046" t="s">
        <v>16</v>
      </c>
      <c r="O3046" t="s">
        <v>150</v>
      </c>
      <c r="P3046">
        <v>2025</v>
      </c>
    </row>
    <row r="3047" spans="1:16" x14ac:dyDescent="0.25">
      <c r="A3047" s="96" t="s">
        <v>2</v>
      </c>
      <c r="B3047" s="96" t="s">
        <v>261</v>
      </c>
      <c r="C3047" s="96" t="s">
        <v>2939</v>
      </c>
      <c r="D3047" s="96" t="s">
        <v>40</v>
      </c>
      <c r="E3047" s="43">
        <v>46097</v>
      </c>
      <c r="F3047" s="43">
        <v>46114</v>
      </c>
      <c r="G3047" s="96" t="s">
        <v>90</v>
      </c>
      <c r="H3047" s="96" t="s">
        <v>6740</v>
      </c>
      <c r="I3047" s="96" t="s">
        <v>204</v>
      </c>
      <c r="J3047" s="96" t="s">
        <v>168</v>
      </c>
      <c r="K3047" s="96" t="s">
        <v>195</v>
      </c>
      <c r="L3047">
        <v>17</v>
      </c>
      <c r="M3047" t="s">
        <v>19</v>
      </c>
      <c r="N3047" t="s">
        <v>35</v>
      </c>
      <c r="O3047" t="s">
        <v>151</v>
      </c>
      <c r="P3047">
        <v>2026</v>
      </c>
    </row>
    <row r="3048" spans="1:16" x14ac:dyDescent="0.25">
      <c r="A3048" s="96" t="s">
        <v>171</v>
      </c>
      <c r="B3048" s="96" t="s">
        <v>288</v>
      </c>
      <c r="C3048" s="96" t="s">
        <v>2940</v>
      </c>
      <c r="D3048" s="96" t="s">
        <v>223</v>
      </c>
      <c r="E3048" s="43">
        <v>46074</v>
      </c>
      <c r="F3048" s="43">
        <v>46145</v>
      </c>
      <c r="G3048" s="96" t="s">
        <v>92</v>
      </c>
      <c r="H3048" s="96" t="s">
        <v>6741</v>
      </c>
      <c r="I3048" s="96" t="s">
        <v>209</v>
      </c>
      <c r="J3048" s="96" t="s">
        <v>94</v>
      </c>
      <c r="K3048" s="96" t="s">
        <v>205</v>
      </c>
      <c r="L3048">
        <v>71</v>
      </c>
      <c r="M3048" t="s">
        <v>28</v>
      </c>
      <c r="N3048" t="s">
        <v>32</v>
      </c>
      <c r="O3048" t="s">
        <v>170</v>
      </c>
      <c r="P3048">
        <v>2026</v>
      </c>
    </row>
    <row r="3049" spans="1:16" hidden="1" x14ac:dyDescent="0.25">
      <c r="A3049" s="96" t="s">
        <v>2</v>
      </c>
      <c r="B3049" s="96" t="s">
        <v>190</v>
      </c>
      <c r="C3049" s="96" t="s">
        <v>2941</v>
      </c>
      <c r="D3049" s="96" t="s">
        <v>223</v>
      </c>
      <c r="E3049" s="43">
        <v>45871</v>
      </c>
      <c r="F3049" s="43">
        <v>45937</v>
      </c>
      <c r="G3049" s="96" t="s">
        <v>92</v>
      </c>
      <c r="H3049" s="96" t="s">
        <v>6742</v>
      </c>
      <c r="I3049" s="96" t="s">
        <v>157</v>
      </c>
      <c r="J3049" s="96" t="s">
        <v>216</v>
      </c>
      <c r="K3049" s="96" t="s">
        <v>200</v>
      </c>
      <c r="L3049">
        <v>66</v>
      </c>
      <c r="M3049" t="s">
        <v>28</v>
      </c>
      <c r="N3049" t="s">
        <v>8</v>
      </c>
      <c r="O3049" t="s">
        <v>150</v>
      </c>
      <c r="P3049">
        <v>2025</v>
      </c>
    </row>
    <row r="3050" spans="1:16" hidden="1" x14ac:dyDescent="0.25">
      <c r="A3050" s="96" t="s">
        <v>175</v>
      </c>
      <c r="B3050" s="96" t="s">
        <v>211</v>
      </c>
      <c r="C3050" s="96" t="s">
        <v>2942</v>
      </c>
      <c r="D3050" s="96" t="s">
        <v>215</v>
      </c>
      <c r="E3050" s="43">
        <v>45982</v>
      </c>
      <c r="F3050" s="43">
        <v>46002</v>
      </c>
      <c r="G3050" s="96" t="s">
        <v>92</v>
      </c>
      <c r="H3050" s="96" t="s">
        <v>6743</v>
      </c>
      <c r="I3050" s="96" t="s">
        <v>225</v>
      </c>
      <c r="J3050" s="96" t="s">
        <v>93</v>
      </c>
      <c r="K3050" s="96" t="s">
        <v>217</v>
      </c>
      <c r="L3050">
        <v>20</v>
      </c>
      <c r="M3050" t="s">
        <v>19</v>
      </c>
      <c r="N3050" t="s">
        <v>20</v>
      </c>
      <c r="O3050" t="s">
        <v>170</v>
      </c>
      <c r="P3050">
        <v>2025</v>
      </c>
    </row>
    <row r="3051" spans="1:16" hidden="1" x14ac:dyDescent="0.25">
      <c r="A3051" s="96" t="s">
        <v>2</v>
      </c>
      <c r="B3051" s="96" t="s">
        <v>257</v>
      </c>
      <c r="C3051" s="96" t="s">
        <v>2943</v>
      </c>
      <c r="D3051" s="96" t="s">
        <v>34</v>
      </c>
      <c r="E3051" s="43">
        <v>45928</v>
      </c>
      <c r="F3051" s="43">
        <v>45942</v>
      </c>
      <c r="G3051" s="96" t="s">
        <v>92</v>
      </c>
      <c r="H3051" s="96" t="s">
        <v>6744</v>
      </c>
      <c r="I3051" s="96" t="s">
        <v>228</v>
      </c>
      <c r="J3051" s="96" t="s">
        <v>165</v>
      </c>
      <c r="K3051" s="96" t="s">
        <v>233</v>
      </c>
      <c r="L3051">
        <v>14</v>
      </c>
      <c r="M3051" t="s">
        <v>15</v>
      </c>
      <c r="N3051" t="s">
        <v>12</v>
      </c>
      <c r="O3051" t="s">
        <v>151</v>
      </c>
      <c r="P3051">
        <v>2025</v>
      </c>
    </row>
    <row r="3052" spans="1:16" hidden="1" x14ac:dyDescent="0.25">
      <c r="A3052" s="96" t="s">
        <v>2</v>
      </c>
      <c r="B3052" s="96" t="s">
        <v>272</v>
      </c>
      <c r="C3052" s="96" t="s">
        <v>6745</v>
      </c>
      <c r="D3052" s="96" t="s">
        <v>192</v>
      </c>
      <c r="E3052" s="43">
        <v>45894</v>
      </c>
      <c r="F3052" s="43">
        <v>46007</v>
      </c>
      <c r="G3052" s="96" t="s">
        <v>90</v>
      </c>
      <c r="H3052" s="96" t="s">
        <v>6746</v>
      </c>
      <c r="I3052" s="96" t="s">
        <v>194</v>
      </c>
      <c r="J3052" s="96" t="s">
        <v>97</v>
      </c>
      <c r="K3052" s="96" t="s">
        <v>195</v>
      </c>
      <c r="L3052">
        <v>113</v>
      </c>
      <c r="M3052" t="s">
        <v>28</v>
      </c>
      <c r="N3052" t="s">
        <v>8</v>
      </c>
      <c r="O3052" t="s">
        <v>151</v>
      </c>
      <c r="P3052">
        <v>2025</v>
      </c>
    </row>
    <row r="3053" spans="1:16" hidden="1" x14ac:dyDescent="0.25">
      <c r="A3053" s="96" t="s">
        <v>2</v>
      </c>
      <c r="B3053" s="96" t="s">
        <v>231</v>
      </c>
      <c r="C3053" s="96" t="s">
        <v>2944</v>
      </c>
      <c r="D3053" s="96" t="s">
        <v>192</v>
      </c>
      <c r="E3053" s="43">
        <v>45882</v>
      </c>
      <c r="F3053" s="43">
        <v>45987</v>
      </c>
      <c r="G3053" s="96" t="s">
        <v>90</v>
      </c>
      <c r="H3053" s="96" t="s">
        <v>6747</v>
      </c>
      <c r="I3053" s="96" t="s">
        <v>228</v>
      </c>
      <c r="J3053" s="96" t="s">
        <v>165</v>
      </c>
      <c r="K3053" s="96" t="s">
        <v>195</v>
      </c>
      <c r="L3053">
        <v>105</v>
      </c>
      <c r="M3053" t="s">
        <v>28</v>
      </c>
      <c r="N3053" t="s">
        <v>8</v>
      </c>
      <c r="O3053" t="s">
        <v>170</v>
      </c>
      <c r="P3053">
        <v>2025</v>
      </c>
    </row>
    <row r="3054" spans="1:16" hidden="1" x14ac:dyDescent="0.25">
      <c r="A3054" s="96" t="s">
        <v>2</v>
      </c>
      <c r="B3054" s="96" t="s">
        <v>247</v>
      </c>
      <c r="C3054" s="96" t="s">
        <v>6748</v>
      </c>
      <c r="D3054" s="96" t="s">
        <v>203</v>
      </c>
      <c r="E3054" s="43">
        <v>45947</v>
      </c>
      <c r="F3054" s="43">
        <v>45985</v>
      </c>
      <c r="G3054" s="96" t="s">
        <v>90</v>
      </c>
      <c r="H3054" s="96" t="s">
        <v>6749</v>
      </c>
      <c r="I3054" s="96" t="s">
        <v>225</v>
      </c>
      <c r="J3054" s="96" t="s">
        <v>176</v>
      </c>
      <c r="K3054" s="96" t="s">
        <v>205</v>
      </c>
      <c r="L3054">
        <v>38</v>
      </c>
      <c r="M3054" t="s">
        <v>24</v>
      </c>
      <c r="N3054" t="s">
        <v>16</v>
      </c>
      <c r="O3054" t="s">
        <v>150</v>
      </c>
      <c r="P3054">
        <v>2025</v>
      </c>
    </row>
    <row r="3055" spans="1:16" x14ac:dyDescent="0.25">
      <c r="A3055" s="96" t="s">
        <v>2</v>
      </c>
      <c r="B3055" s="96" t="s">
        <v>226</v>
      </c>
      <c r="C3055" s="96" t="s">
        <v>6750</v>
      </c>
      <c r="D3055" s="96" t="s">
        <v>14</v>
      </c>
      <c r="E3055" s="43">
        <v>46123</v>
      </c>
      <c r="F3055" s="43">
        <v>46148</v>
      </c>
      <c r="G3055" s="96" t="s">
        <v>92</v>
      </c>
      <c r="H3055" s="96" t="s">
        <v>6751</v>
      </c>
      <c r="I3055" s="96" t="s">
        <v>209</v>
      </c>
      <c r="J3055" s="96" t="s">
        <v>177</v>
      </c>
      <c r="K3055" s="96" t="s">
        <v>246</v>
      </c>
      <c r="L3055">
        <v>25</v>
      </c>
      <c r="M3055" t="s">
        <v>19</v>
      </c>
      <c r="N3055" t="s">
        <v>37</v>
      </c>
      <c r="O3055" t="s">
        <v>151</v>
      </c>
      <c r="P3055">
        <v>2026</v>
      </c>
    </row>
    <row r="3056" spans="1:16" hidden="1" x14ac:dyDescent="0.25">
      <c r="A3056" s="96" t="s">
        <v>2</v>
      </c>
      <c r="B3056" s="96" t="s">
        <v>257</v>
      </c>
      <c r="C3056" s="96" t="s">
        <v>6752</v>
      </c>
      <c r="D3056" s="96" t="s">
        <v>40</v>
      </c>
      <c r="E3056" s="43">
        <v>45963</v>
      </c>
      <c r="F3056" s="43">
        <v>46028</v>
      </c>
      <c r="G3056" s="96" t="s">
        <v>92</v>
      </c>
      <c r="H3056" s="96" t="s">
        <v>6753</v>
      </c>
      <c r="I3056" s="96" t="s">
        <v>225</v>
      </c>
      <c r="J3056" s="96" t="s">
        <v>94</v>
      </c>
      <c r="K3056" s="96" t="s">
        <v>195</v>
      </c>
      <c r="L3056">
        <v>65</v>
      </c>
      <c r="M3056" t="s">
        <v>28</v>
      </c>
      <c r="N3056" t="s">
        <v>20</v>
      </c>
      <c r="O3056" t="s">
        <v>151</v>
      </c>
      <c r="P3056">
        <v>2025</v>
      </c>
    </row>
    <row r="3057" spans="1:16" x14ac:dyDescent="0.25">
      <c r="A3057" s="96" t="s">
        <v>189</v>
      </c>
      <c r="B3057" s="96" t="s">
        <v>290</v>
      </c>
      <c r="C3057" s="96" t="s">
        <v>2945</v>
      </c>
      <c r="D3057" s="96" t="s">
        <v>14</v>
      </c>
      <c r="E3057" s="43">
        <v>46088</v>
      </c>
      <c r="F3057" s="43">
        <v>46148</v>
      </c>
      <c r="G3057" s="96" t="s">
        <v>92</v>
      </c>
      <c r="H3057" s="96" t="s">
        <v>6754</v>
      </c>
      <c r="I3057" s="96" t="s">
        <v>194</v>
      </c>
      <c r="J3057" s="96" t="s">
        <v>216</v>
      </c>
      <c r="K3057" s="96" t="s">
        <v>230</v>
      </c>
      <c r="L3057">
        <v>60</v>
      </c>
      <c r="M3057" t="s">
        <v>24</v>
      </c>
      <c r="N3057" t="s">
        <v>35</v>
      </c>
      <c r="O3057" t="s">
        <v>149</v>
      </c>
      <c r="P3057">
        <v>2026</v>
      </c>
    </row>
    <row r="3058" spans="1:16" hidden="1" x14ac:dyDescent="0.25">
      <c r="A3058" s="96" t="s">
        <v>21</v>
      </c>
      <c r="B3058" s="96" t="s">
        <v>238</v>
      </c>
      <c r="C3058" s="96" t="s">
        <v>2946</v>
      </c>
      <c r="D3058" s="96" t="s">
        <v>40</v>
      </c>
      <c r="E3058" s="43">
        <v>45726</v>
      </c>
      <c r="F3058" s="43">
        <v>45815</v>
      </c>
      <c r="G3058" s="96" t="s">
        <v>90</v>
      </c>
      <c r="H3058" s="96" t="s">
        <v>6755</v>
      </c>
      <c r="I3058" s="96" t="s">
        <v>209</v>
      </c>
      <c r="J3058" s="96" t="s">
        <v>216</v>
      </c>
      <c r="K3058" s="96" t="s">
        <v>230</v>
      </c>
      <c r="L3058">
        <v>89</v>
      </c>
      <c r="M3058" t="s">
        <v>28</v>
      </c>
      <c r="N3058" t="s">
        <v>186</v>
      </c>
      <c r="O3058" t="s">
        <v>170</v>
      </c>
      <c r="P3058">
        <v>2025</v>
      </c>
    </row>
    <row r="3059" spans="1:16" x14ac:dyDescent="0.25">
      <c r="A3059" s="96" t="s">
        <v>2</v>
      </c>
      <c r="B3059" s="96" t="s">
        <v>288</v>
      </c>
      <c r="C3059" s="96" t="s">
        <v>2947</v>
      </c>
      <c r="D3059" s="96" t="s">
        <v>40</v>
      </c>
      <c r="E3059" s="43">
        <v>46140</v>
      </c>
      <c r="F3059" s="43">
        <v>46147</v>
      </c>
      <c r="G3059" s="96" t="s">
        <v>90</v>
      </c>
      <c r="H3059" s="96" t="s">
        <v>2856</v>
      </c>
      <c r="I3059" s="96" t="s">
        <v>9</v>
      </c>
      <c r="J3059" s="96" t="s">
        <v>168</v>
      </c>
      <c r="K3059" s="96" t="s">
        <v>210</v>
      </c>
      <c r="L3059">
        <v>7</v>
      </c>
      <c r="M3059" t="s">
        <v>11</v>
      </c>
      <c r="N3059" t="s">
        <v>37</v>
      </c>
      <c r="O3059" t="s">
        <v>170</v>
      </c>
      <c r="P3059">
        <v>2026</v>
      </c>
    </row>
    <row r="3060" spans="1:16" hidden="1" x14ac:dyDescent="0.25">
      <c r="A3060" s="96" t="s">
        <v>2</v>
      </c>
      <c r="B3060" s="96" t="s">
        <v>213</v>
      </c>
      <c r="C3060" s="96" t="s">
        <v>2948</v>
      </c>
      <c r="D3060" s="96" t="s">
        <v>34</v>
      </c>
      <c r="E3060" s="43">
        <v>45947</v>
      </c>
      <c r="F3060" s="43">
        <v>46042</v>
      </c>
      <c r="G3060" s="96" t="s">
        <v>92</v>
      </c>
      <c r="H3060" s="96" t="s">
        <v>6756</v>
      </c>
      <c r="I3060" s="96" t="s">
        <v>209</v>
      </c>
      <c r="J3060" s="96" t="s">
        <v>283</v>
      </c>
      <c r="K3060" s="96" t="s">
        <v>210</v>
      </c>
      <c r="L3060">
        <v>95</v>
      </c>
      <c r="M3060" t="s">
        <v>28</v>
      </c>
      <c r="N3060" t="s">
        <v>16</v>
      </c>
      <c r="O3060" t="s">
        <v>149</v>
      </c>
      <c r="P3060">
        <v>2025</v>
      </c>
    </row>
    <row r="3061" spans="1:16" x14ac:dyDescent="0.25">
      <c r="A3061" s="96" t="s">
        <v>175</v>
      </c>
      <c r="B3061" s="96" t="s">
        <v>249</v>
      </c>
      <c r="C3061" s="96" t="s">
        <v>2949</v>
      </c>
      <c r="D3061" s="96" t="s">
        <v>10</v>
      </c>
      <c r="E3061" s="43">
        <v>46078</v>
      </c>
      <c r="F3061" s="43">
        <v>46109</v>
      </c>
      <c r="G3061" s="96" t="s">
        <v>95</v>
      </c>
      <c r="H3061" s="96" t="s">
        <v>6757</v>
      </c>
      <c r="I3061" s="96" t="s">
        <v>209</v>
      </c>
      <c r="J3061" s="96" t="s">
        <v>173</v>
      </c>
      <c r="K3061" s="96" t="s">
        <v>200</v>
      </c>
      <c r="L3061">
        <v>31</v>
      </c>
      <c r="M3061" t="s">
        <v>24</v>
      </c>
      <c r="N3061" t="s">
        <v>32</v>
      </c>
      <c r="O3061" t="s">
        <v>170</v>
      </c>
      <c r="P3061">
        <v>2026</v>
      </c>
    </row>
    <row r="3062" spans="1:16" hidden="1" x14ac:dyDescent="0.25">
      <c r="A3062" s="96" t="s">
        <v>2</v>
      </c>
      <c r="B3062" s="96" t="s">
        <v>253</v>
      </c>
      <c r="C3062" s="96" t="s">
        <v>2950</v>
      </c>
      <c r="D3062" s="96" t="s">
        <v>208</v>
      </c>
      <c r="E3062" s="43">
        <v>45758</v>
      </c>
      <c r="F3062" s="43">
        <v>45835</v>
      </c>
      <c r="G3062" s="96" t="s">
        <v>90</v>
      </c>
      <c r="H3062" s="96" t="s">
        <v>6758</v>
      </c>
      <c r="I3062" s="96" t="s">
        <v>157</v>
      </c>
      <c r="J3062" s="96" t="s">
        <v>216</v>
      </c>
      <c r="K3062" s="96" t="s">
        <v>205</v>
      </c>
      <c r="L3062">
        <v>77</v>
      </c>
      <c r="M3062" t="s">
        <v>28</v>
      </c>
      <c r="N3062" t="s">
        <v>185</v>
      </c>
      <c r="O3062" t="s">
        <v>152</v>
      </c>
      <c r="P3062">
        <v>2025</v>
      </c>
    </row>
    <row r="3063" spans="1:16" hidden="1" x14ac:dyDescent="0.25">
      <c r="A3063" s="96" t="s">
        <v>2</v>
      </c>
      <c r="B3063" s="96" t="s">
        <v>190</v>
      </c>
      <c r="C3063" s="96" t="s">
        <v>6759</v>
      </c>
      <c r="D3063" s="96" t="s">
        <v>192</v>
      </c>
      <c r="E3063" s="43">
        <v>45720</v>
      </c>
      <c r="F3063" s="43">
        <v>45783</v>
      </c>
      <c r="G3063" s="96" t="s">
        <v>92</v>
      </c>
      <c r="H3063" s="96" t="s">
        <v>6760</v>
      </c>
      <c r="I3063" s="96" t="s">
        <v>209</v>
      </c>
      <c r="J3063" s="96" t="s">
        <v>229</v>
      </c>
      <c r="K3063" s="96" t="s">
        <v>233</v>
      </c>
      <c r="L3063">
        <v>63</v>
      </c>
      <c r="M3063" t="s">
        <v>28</v>
      </c>
      <c r="N3063" t="s">
        <v>186</v>
      </c>
      <c r="O3063" t="s">
        <v>150</v>
      </c>
      <c r="P3063">
        <v>2025</v>
      </c>
    </row>
    <row r="3064" spans="1:16" hidden="1" x14ac:dyDescent="0.25">
      <c r="A3064" s="96" t="s">
        <v>2</v>
      </c>
      <c r="B3064" s="96" t="s">
        <v>238</v>
      </c>
      <c r="C3064" s="96" t="s">
        <v>6761</v>
      </c>
      <c r="D3064" s="96" t="s">
        <v>14</v>
      </c>
      <c r="E3064" s="43">
        <v>45831</v>
      </c>
      <c r="F3064" s="43">
        <v>45886</v>
      </c>
      <c r="G3064" s="96" t="s">
        <v>92</v>
      </c>
      <c r="H3064" s="96" t="s">
        <v>6762</v>
      </c>
      <c r="I3064" s="96" t="s">
        <v>194</v>
      </c>
      <c r="J3064" s="96" t="s">
        <v>165</v>
      </c>
      <c r="K3064" s="96" t="s">
        <v>205</v>
      </c>
      <c r="L3064">
        <v>55</v>
      </c>
      <c r="M3064" t="s">
        <v>24</v>
      </c>
      <c r="N3064" t="s">
        <v>184</v>
      </c>
      <c r="O3064" t="s">
        <v>170</v>
      </c>
      <c r="P3064">
        <v>2025</v>
      </c>
    </row>
    <row r="3065" spans="1:16" hidden="1" x14ac:dyDescent="0.25">
      <c r="A3065" s="96" t="s">
        <v>2</v>
      </c>
      <c r="B3065" s="96" t="s">
        <v>231</v>
      </c>
      <c r="C3065" s="96" t="s">
        <v>2951</v>
      </c>
      <c r="D3065" s="96" t="s">
        <v>10</v>
      </c>
      <c r="E3065" s="43">
        <v>46008</v>
      </c>
      <c r="F3065" s="43">
        <v>46122</v>
      </c>
      <c r="G3065" s="96" t="s">
        <v>90</v>
      </c>
      <c r="H3065" s="96" t="s">
        <v>6763</v>
      </c>
      <c r="I3065" s="96" t="s">
        <v>204</v>
      </c>
      <c r="J3065" s="96" t="s">
        <v>168</v>
      </c>
      <c r="K3065" s="96" t="s">
        <v>157</v>
      </c>
      <c r="L3065">
        <v>114</v>
      </c>
      <c r="M3065" t="s">
        <v>28</v>
      </c>
      <c r="N3065" t="s">
        <v>25</v>
      </c>
      <c r="O3065" t="s">
        <v>170</v>
      </c>
      <c r="P3065">
        <v>2025</v>
      </c>
    </row>
    <row r="3066" spans="1:16" x14ac:dyDescent="0.25">
      <c r="A3066" s="96" t="s">
        <v>2</v>
      </c>
      <c r="B3066" s="96" t="s">
        <v>226</v>
      </c>
      <c r="C3066" s="96" t="s">
        <v>2952</v>
      </c>
      <c r="D3066" s="96" t="s">
        <v>40</v>
      </c>
      <c r="E3066" s="43">
        <v>46067</v>
      </c>
      <c r="F3066" s="43">
        <v>46110</v>
      </c>
      <c r="G3066" s="96" t="s">
        <v>92</v>
      </c>
      <c r="H3066" s="96" t="s">
        <v>6764</v>
      </c>
      <c r="I3066" s="96" t="s">
        <v>225</v>
      </c>
      <c r="J3066" s="96" t="s">
        <v>91</v>
      </c>
      <c r="K3066" s="96" t="s">
        <v>233</v>
      </c>
      <c r="L3066">
        <v>43</v>
      </c>
      <c r="M3066" t="s">
        <v>24</v>
      </c>
      <c r="N3066" t="s">
        <v>32</v>
      </c>
      <c r="O3066" t="s">
        <v>151</v>
      </c>
      <c r="P3066">
        <v>2026</v>
      </c>
    </row>
    <row r="3067" spans="1:16" hidden="1" x14ac:dyDescent="0.25">
      <c r="A3067" s="96" t="s">
        <v>189</v>
      </c>
      <c r="B3067" s="96" t="s">
        <v>231</v>
      </c>
      <c r="C3067" s="96" t="s">
        <v>6765</v>
      </c>
      <c r="D3067" s="96" t="s">
        <v>203</v>
      </c>
      <c r="E3067" s="43">
        <v>45736</v>
      </c>
      <c r="F3067" s="43">
        <v>45737</v>
      </c>
      <c r="G3067" s="96" t="s">
        <v>92</v>
      </c>
      <c r="H3067" s="96" t="s">
        <v>6766</v>
      </c>
      <c r="I3067" s="96" t="s">
        <v>204</v>
      </c>
      <c r="J3067" s="96" t="s">
        <v>173</v>
      </c>
      <c r="K3067" s="96" t="s">
        <v>246</v>
      </c>
      <c r="L3067">
        <v>1</v>
      </c>
      <c r="M3067" t="s">
        <v>11</v>
      </c>
      <c r="N3067" t="s">
        <v>186</v>
      </c>
      <c r="O3067" t="s">
        <v>170</v>
      </c>
      <c r="P3067">
        <v>2025</v>
      </c>
    </row>
    <row r="3068" spans="1:16" hidden="1" x14ac:dyDescent="0.25">
      <c r="A3068" s="96" t="s">
        <v>2</v>
      </c>
      <c r="B3068" s="96" t="s">
        <v>247</v>
      </c>
      <c r="C3068" s="96" t="s">
        <v>2954</v>
      </c>
      <c r="D3068" s="96" t="s">
        <v>223</v>
      </c>
      <c r="E3068" s="43">
        <v>45710</v>
      </c>
      <c r="F3068" s="43">
        <v>45751</v>
      </c>
      <c r="G3068" s="96" t="s">
        <v>90</v>
      </c>
      <c r="H3068" s="96" t="s">
        <v>6767</v>
      </c>
      <c r="I3068" s="96" t="s">
        <v>9</v>
      </c>
      <c r="J3068" s="96" t="s">
        <v>176</v>
      </c>
      <c r="K3068" s="96" t="s">
        <v>217</v>
      </c>
      <c r="L3068">
        <v>41</v>
      </c>
      <c r="M3068" t="s">
        <v>24</v>
      </c>
      <c r="N3068" t="s">
        <v>188</v>
      </c>
      <c r="O3068" t="s">
        <v>150</v>
      </c>
      <c r="P3068">
        <v>2025</v>
      </c>
    </row>
    <row r="3069" spans="1:16" hidden="1" x14ac:dyDescent="0.25">
      <c r="A3069" s="96" t="s">
        <v>171</v>
      </c>
      <c r="B3069" s="96" t="s">
        <v>255</v>
      </c>
      <c r="C3069" s="96" t="s">
        <v>2955</v>
      </c>
      <c r="D3069" s="96" t="s">
        <v>192</v>
      </c>
      <c r="E3069" s="43">
        <v>45711</v>
      </c>
      <c r="F3069" s="43">
        <v>45799</v>
      </c>
      <c r="G3069" s="96" t="s">
        <v>90</v>
      </c>
      <c r="H3069" s="96" t="s">
        <v>6768</v>
      </c>
      <c r="I3069" s="96" t="s">
        <v>157</v>
      </c>
      <c r="J3069" s="96" t="s">
        <v>168</v>
      </c>
      <c r="K3069" s="96" t="s">
        <v>230</v>
      </c>
      <c r="L3069">
        <v>88</v>
      </c>
      <c r="M3069" t="s">
        <v>28</v>
      </c>
      <c r="N3069" t="s">
        <v>188</v>
      </c>
      <c r="O3069" t="s">
        <v>150</v>
      </c>
      <c r="P3069">
        <v>2025</v>
      </c>
    </row>
    <row r="3070" spans="1:16" hidden="1" x14ac:dyDescent="0.25">
      <c r="A3070" s="96" t="s">
        <v>2</v>
      </c>
      <c r="B3070" s="96" t="s">
        <v>257</v>
      </c>
      <c r="C3070" s="96" t="s">
        <v>6769</v>
      </c>
      <c r="D3070" s="96" t="s">
        <v>215</v>
      </c>
      <c r="E3070" s="43">
        <v>45672</v>
      </c>
      <c r="F3070" s="43">
        <v>45694</v>
      </c>
      <c r="G3070" s="96" t="s">
        <v>92</v>
      </c>
      <c r="H3070" s="96" t="s">
        <v>6770</v>
      </c>
      <c r="I3070" s="96" t="s">
        <v>157</v>
      </c>
      <c r="J3070" s="96" t="s">
        <v>283</v>
      </c>
      <c r="K3070" s="96" t="s">
        <v>205</v>
      </c>
      <c r="L3070">
        <v>22</v>
      </c>
      <c r="M3070" t="s">
        <v>19</v>
      </c>
      <c r="N3070" t="s">
        <v>181</v>
      </c>
      <c r="O3070" t="s">
        <v>151</v>
      </c>
      <c r="P3070">
        <v>2025</v>
      </c>
    </row>
    <row r="3071" spans="1:16" x14ac:dyDescent="0.25">
      <c r="A3071" s="96" t="s">
        <v>175</v>
      </c>
      <c r="B3071" s="96" t="s">
        <v>196</v>
      </c>
      <c r="C3071" s="96" t="s">
        <v>6771</v>
      </c>
      <c r="D3071" s="96" t="s">
        <v>203</v>
      </c>
      <c r="E3071" s="43">
        <v>46054</v>
      </c>
      <c r="F3071" s="43">
        <v>46137</v>
      </c>
      <c r="G3071" s="96" t="s">
        <v>90</v>
      </c>
      <c r="H3071" s="96" t="s">
        <v>6772</v>
      </c>
      <c r="I3071" s="96" t="s">
        <v>225</v>
      </c>
      <c r="J3071" s="96" t="s">
        <v>199</v>
      </c>
      <c r="K3071" s="96" t="s">
        <v>217</v>
      </c>
      <c r="L3071">
        <v>83</v>
      </c>
      <c r="M3071" t="s">
        <v>28</v>
      </c>
      <c r="N3071" t="s">
        <v>32</v>
      </c>
      <c r="O3071" t="s">
        <v>152</v>
      </c>
      <c r="P3071">
        <v>2026</v>
      </c>
    </row>
    <row r="3072" spans="1:16" hidden="1" x14ac:dyDescent="0.25">
      <c r="A3072" s="96" t="s">
        <v>2</v>
      </c>
      <c r="B3072" s="96" t="s">
        <v>280</v>
      </c>
      <c r="C3072" s="96" t="s">
        <v>6773</v>
      </c>
      <c r="D3072" s="96" t="s">
        <v>223</v>
      </c>
      <c r="E3072" s="43">
        <v>45895</v>
      </c>
      <c r="F3072" s="43">
        <v>45984</v>
      </c>
      <c r="G3072" s="96" t="s">
        <v>92</v>
      </c>
      <c r="H3072" s="96" t="s">
        <v>2865</v>
      </c>
      <c r="I3072" s="96" t="s">
        <v>9</v>
      </c>
      <c r="J3072" s="96" t="s">
        <v>93</v>
      </c>
      <c r="K3072" s="96" t="s">
        <v>217</v>
      </c>
      <c r="L3072">
        <v>89</v>
      </c>
      <c r="M3072" t="s">
        <v>28</v>
      </c>
      <c r="N3072" t="s">
        <v>8</v>
      </c>
      <c r="O3072" t="s">
        <v>170</v>
      </c>
      <c r="P3072">
        <v>2025</v>
      </c>
    </row>
    <row r="3073" spans="1:16" hidden="1" x14ac:dyDescent="0.25">
      <c r="A3073" s="96" t="s">
        <v>2</v>
      </c>
      <c r="B3073" s="96" t="s">
        <v>272</v>
      </c>
      <c r="C3073" s="96" t="s">
        <v>2956</v>
      </c>
      <c r="D3073" s="96" t="s">
        <v>237</v>
      </c>
      <c r="E3073" s="43">
        <v>45680</v>
      </c>
      <c r="F3073" s="43">
        <v>45800</v>
      </c>
      <c r="G3073" s="96" t="s">
        <v>95</v>
      </c>
      <c r="H3073" s="96" t="s">
        <v>6774</v>
      </c>
      <c r="I3073" s="96" t="s">
        <v>9</v>
      </c>
      <c r="J3073" s="96" t="s">
        <v>177</v>
      </c>
      <c r="K3073" s="96" t="s">
        <v>217</v>
      </c>
      <c r="L3073">
        <v>120</v>
      </c>
      <c r="M3073" t="s">
        <v>28</v>
      </c>
      <c r="N3073" t="s">
        <v>181</v>
      </c>
      <c r="O3073" t="s">
        <v>151</v>
      </c>
      <c r="P3073">
        <v>2025</v>
      </c>
    </row>
    <row r="3074" spans="1:16" hidden="1" x14ac:dyDescent="0.25">
      <c r="A3074" s="96" t="s">
        <v>2</v>
      </c>
      <c r="B3074" s="96" t="s">
        <v>253</v>
      </c>
      <c r="C3074" s="96" t="s">
        <v>6775</v>
      </c>
      <c r="D3074" s="96" t="s">
        <v>40</v>
      </c>
      <c r="E3074" s="43">
        <v>45867</v>
      </c>
      <c r="F3074" s="43">
        <v>45915</v>
      </c>
      <c r="G3074" s="96" t="s">
        <v>92</v>
      </c>
      <c r="H3074" s="96" t="s">
        <v>6776</v>
      </c>
      <c r="I3074" s="96" t="s">
        <v>157</v>
      </c>
      <c r="J3074" s="96" t="s">
        <v>199</v>
      </c>
      <c r="K3074" s="96" t="s">
        <v>230</v>
      </c>
      <c r="L3074">
        <v>48</v>
      </c>
      <c r="M3074" t="s">
        <v>24</v>
      </c>
      <c r="N3074" t="s">
        <v>187</v>
      </c>
      <c r="O3074" t="s">
        <v>152</v>
      </c>
      <c r="P3074">
        <v>2025</v>
      </c>
    </row>
    <row r="3075" spans="1:16" hidden="1" x14ac:dyDescent="0.25">
      <c r="A3075" s="96" t="s">
        <v>2</v>
      </c>
      <c r="B3075" s="96" t="s">
        <v>247</v>
      </c>
      <c r="C3075" s="96" t="s">
        <v>2959</v>
      </c>
      <c r="D3075" s="96" t="s">
        <v>203</v>
      </c>
      <c r="E3075" s="43">
        <v>45955</v>
      </c>
      <c r="F3075" s="43">
        <v>46036</v>
      </c>
      <c r="G3075" s="96" t="s">
        <v>92</v>
      </c>
      <c r="H3075" s="96" t="s">
        <v>2867</v>
      </c>
      <c r="I3075" s="96" t="s">
        <v>157</v>
      </c>
      <c r="J3075" s="96" t="s">
        <v>199</v>
      </c>
      <c r="K3075" s="96" t="s">
        <v>157</v>
      </c>
      <c r="L3075">
        <v>81</v>
      </c>
      <c r="M3075" t="s">
        <v>28</v>
      </c>
      <c r="N3075" t="s">
        <v>16</v>
      </c>
      <c r="O3075" t="s">
        <v>150</v>
      </c>
      <c r="P3075">
        <v>2025</v>
      </c>
    </row>
    <row r="3076" spans="1:16" hidden="1" x14ac:dyDescent="0.25">
      <c r="A3076" s="96" t="s">
        <v>2</v>
      </c>
      <c r="B3076" s="96" t="s">
        <v>251</v>
      </c>
      <c r="C3076" s="96" t="s">
        <v>2961</v>
      </c>
      <c r="D3076" s="96" t="s">
        <v>208</v>
      </c>
      <c r="E3076" s="43">
        <v>45967</v>
      </c>
      <c r="F3076" s="43">
        <v>45984</v>
      </c>
      <c r="G3076" s="96" t="s">
        <v>92</v>
      </c>
      <c r="H3076" s="96" t="s">
        <v>6777</v>
      </c>
      <c r="I3076" s="96" t="s">
        <v>209</v>
      </c>
      <c r="J3076" s="96" t="s">
        <v>97</v>
      </c>
      <c r="K3076" s="96" t="s">
        <v>246</v>
      </c>
      <c r="L3076">
        <v>17</v>
      </c>
      <c r="M3076" t="s">
        <v>19</v>
      </c>
      <c r="N3076" t="s">
        <v>20</v>
      </c>
      <c r="O3076" t="s">
        <v>170</v>
      </c>
      <c r="P3076">
        <v>2025</v>
      </c>
    </row>
    <row r="3077" spans="1:16" hidden="1" x14ac:dyDescent="0.25">
      <c r="A3077" s="96" t="s">
        <v>171</v>
      </c>
      <c r="B3077" s="96" t="s">
        <v>221</v>
      </c>
      <c r="C3077" s="96" t="s">
        <v>2963</v>
      </c>
      <c r="D3077" s="96" t="s">
        <v>34</v>
      </c>
      <c r="E3077" s="43">
        <v>45662</v>
      </c>
      <c r="F3077" s="43">
        <v>45676</v>
      </c>
      <c r="G3077" s="96" t="s">
        <v>92</v>
      </c>
      <c r="H3077" s="96" t="s">
        <v>6778</v>
      </c>
      <c r="I3077" s="96" t="s">
        <v>225</v>
      </c>
      <c r="J3077" s="96" t="s">
        <v>283</v>
      </c>
      <c r="K3077" s="96" t="s">
        <v>210</v>
      </c>
      <c r="L3077">
        <v>14</v>
      </c>
      <c r="M3077" t="s">
        <v>15</v>
      </c>
      <c r="N3077" t="s">
        <v>181</v>
      </c>
      <c r="O3077" t="s">
        <v>170</v>
      </c>
      <c r="P3077">
        <v>2025</v>
      </c>
    </row>
    <row r="3078" spans="1:16" hidden="1" x14ac:dyDescent="0.25">
      <c r="A3078" s="96" t="s">
        <v>2</v>
      </c>
      <c r="B3078" s="96" t="s">
        <v>190</v>
      </c>
      <c r="C3078" s="96" t="s">
        <v>6779</v>
      </c>
      <c r="D3078" s="96" t="s">
        <v>223</v>
      </c>
      <c r="E3078" s="43">
        <v>45702</v>
      </c>
      <c r="F3078" s="43">
        <v>45745</v>
      </c>
      <c r="G3078" s="96" t="s">
        <v>92</v>
      </c>
      <c r="H3078" s="96" t="s">
        <v>6780</v>
      </c>
      <c r="I3078" s="96" t="s">
        <v>157</v>
      </c>
      <c r="J3078" s="96" t="s">
        <v>165</v>
      </c>
      <c r="K3078" s="96" t="s">
        <v>246</v>
      </c>
      <c r="L3078">
        <v>43</v>
      </c>
      <c r="M3078" t="s">
        <v>24</v>
      </c>
      <c r="N3078" t="s">
        <v>188</v>
      </c>
      <c r="O3078" t="s">
        <v>150</v>
      </c>
      <c r="P3078">
        <v>2025</v>
      </c>
    </row>
    <row r="3079" spans="1:16" x14ac:dyDescent="0.25">
      <c r="A3079" s="96" t="s">
        <v>175</v>
      </c>
      <c r="B3079" s="96" t="s">
        <v>374</v>
      </c>
      <c r="C3079" s="96" t="s">
        <v>2965</v>
      </c>
      <c r="D3079" s="96" t="s">
        <v>192</v>
      </c>
      <c r="E3079" s="43">
        <v>46074</v>
      </c>
      <c r="F3079" s="43">
        <v>46084</v>
      </c>
      <c r="G3079" s="96" t="s">
        <v>90</v>
      </c>
      <c r="H3079" s="96" t="s">
        <v>6781</v>
      </c>
      <c r="I3079" s="96" t="s">
        <v>225</v>
      </c>
      <c r="J3079" s="96" t="s">
        <v>199</v>
      </c>
      <c r="K3079" s="96" t="s">
        <v>205</v>
      </c>
      <c r="L3079">
        <v>10</v>
      </c>
      <c r="M3079" t="s">
        <v>15</v>
      </c>
      <c r="N3079" t="s">
        <v>32</v>
      </c>
      <c r="O3079" t="s">
        <v>150</v>
      </c>
      <c r="P3079">
        <v>2026</v>
      </c>
    </row>
    <row r="3080" spans="1:16" hidden="1" x14ac:dyDescent="0.25">
      <c r="A3080" s="96" t="s">
        <v>175</v>
      </c>
      <c r="B3080" s="96" t="s">
        <v>257</v>
      </c>
      <c r="C3080" s="96" t="s">
        <v>2966</v>
      </c>
      <c r="D3080" s="96" t="s">
        <v>208</v>
      </c>
      <c r="E3080" s="43">
        <v>45908</v>
      </c>
      <c r="F3080" s="43">
        <v>45995</v>
      </c>
      <c r="G3080" s="96" t="s">
        <v>92</v>
      </c>
      <c r="H3080" s="96" t="s">
        <v>6782</v>
      </c>
      <c r="I3080" s="96" t="s">
        <v>194</v>
      </c>
      <c r="J3080" s="96" t="s">
        <v>97</v>
      </c>
      <c r="K3080" s="96" t="s">
        <v>233</v>
      </c>
      <c r="L3080">
        <v>87</v>
      </c>
      <c r="M3080" t="s">
        <v>28</v>
      </c>
      <c r="N3080" t="s">
        <v>12</v>
      </c>
      <c r="O3080" t="s">
        <v>151</v>
      </c>
      <c r="P3080">
        <v>2025</v>
      </c>
    </row>
    <row r="3081" spans="1:16" hidden="1" x14ac:dyDescent="0.25">
      <c r="A3081" s="96" t="s">
        <v>2</v>
      </c>
      <c r="B3081" s="96" t="s">
        <v>264</v>
      </c>
      <c r="C3081" s="96" t="s">
        <v>2969</v>
      </c>
      <c r="D3081" s="96" t="s">
        <v>14</v>
      </c>
      <c r="E3081" s="43">
        <v>45898</v>
      </c>
      <c r="F3081" s="43">
        <v>45911</v>
      </c>
      <c r="G3081" s="96" t="s">
        <v>92</v>
      </c>
      <c r="H3081" s="96" t="s">
        <v>6783</v>
      </c>
      <c r="I3081" s="96" t="s">
        <v>157</v>
      </c>
      <c r="J3081" s="96" t="s">
        <v>91</v>
      </c>
      <c r="K3081" s="96" t="s">
        <v>230</v>
      </c>
      <c r="L3081">
        <v>13</v>
      </c>
      <c r="M3081" t="s">
        <v>15</v>
      </c>
      <c r="N3081" t="s">
        <v>8</v>
      </c>
      <c r="O3081" t="s">
        <v>152</v>
      </c>
      <c r="P3081">
        <v>2025</v>
      </c>
    </row>
    <row r="3082" spans="1:16" hidden="1" x14ac:dyDescent="0.25">
      <c r="A3082" s="96" t="s">
        <v>2</v>
      </c>
      <c r="B3082" s="96" t="s">
        <v>264</v>
      </c>
      <c r="C3082" s="96" t="s">
        <v>6784</v>
      </c>
      <c r="D3082" s="96" t="s">
        <v>14</v>
      </c>
      <c r="E3082" s="43">
        <v>45812</v>
      </c>
      <c r="F3082" s="43">
        <v>45895</v>
      </c>
      <c r="G3082" s="96" t="s">
        <v>92</v>
      </c>
      <c r="H3082" s="96" t="s">
        <v>6785</v>
      </c>
      <c r="I3082" s="96" t="s">
        <v>228</v>
      </c>
      <c r="J3082" s="96" t="s">
        <v>216</v>
      </c>
      <c r="K3082" s="96" t="s">
        <v>205</v>
      </c>
      <c r="L3082">
        <v>83</v>
      </c>
      <c r="M3082" t="s">
        <v>28</v>
      </c>
      <c r="N3082" t="s">
        <v>184</v>
      </c>
      <c r="O3082" t="s">
        <v>152</v>
      </c>
      <c r="P3082">
        <v>2025</v>
      </c>
    </row>
    <row r="3083" spans="1:16" hidden="1" x14ac:dyDescent="0.25">
      <c r="A3083" s="96" t="s">
        <v>2</v>
      </c>
      <c r="B3083" s="96" t="s">
        <v>322</v>
      </c>
      <c r="C3083" s="96" t="s">
        <v>2972</v>
      </c>
      <c r="D3083" s="96" t="s">
        <v>203</v>
      </c>
      <c r="E3083" s="43">
        <v>45943</v>
      </c>
      <c r="F3083" s="43">
        <v>46028</v>
      </c>
      <c r="G3083" s="96" t="s">
        <v>90</v>
      </c>
      <c r="H3083" s="96" t="s">
        <v>6786</v>
      </c>
      <c r="I3083" s="96" t="s">
        <v>194</v>
      </c>
      <c r="J3083" s="96" t="s">
        <v>216</v>
      </c>
      <c r="K3083" s="96" t="s">
        <v>230</v>
      </c>
      <c r="L3083">
        <v>85</v>
      </c>
      <c r="M3083" t="s">
        <v>28</v>
      </c>
      <c r="N3083" t="s">
        <v>16</v>
      </c>
      <c r="O3083" t="s">
        <v>150</v>
      </c>
      <c r="P3083">
        <v>2025</v>
      </c>
    </row>
    <row r="3084" spans="1:16" x14ac:dyDescent="0.25">
      <c r="A3084" s="96" t="s">
        <v>2</v>
      </c>
      <c r="B3084" s="96" t="s">
        <v>374</v>
      </c>
      <c r="C3084" s="96" t="s">
        <v>6787</v>
      </c>
      <c r="D3084" s="96" t="s">
        <v>223</v>
      </c>
      <c r="E3084" s="43">
        <v>46112</v>
      </c>
      <c r="F3084" s="43">
        <v>46120</v>
      </c>
      <c r="G3084" s="96" t="s">
        <v>92</v>
      </c>
      <c r="H3084" s="96" t="s">
        <v>6788</v>
      </c>
      <c r="I3084" s="96" t="s">
        <v>9</v>
      </c>
      <c r="J3084" s="96" t="s">
        <v>98</v>
      </c>
      <c r="K3084" s="96" t="s">
        <v>217</v>
      </c>
      <c r="L3084">
        <v>8</v>
      </c>
      <c r="M3084" t="s">
        <v>15</v>
      </c>
      <c r="N3084" t="s">
        <v>35</v>
      </c>
      <c r="O3084" t="s">
        <v>150</v>
      </c>
      <c r="P3084">
        <v>2026</v>
      </c>
    </row>
    <row r="3085" spans="1:16" hidden="1" x14ac:dyDescent="0.25">
      <c r="A3085" s="96" t="s">
        <v>2</v>
      </c>
      <c r="B3085" s="96" t="s">
        <v>280</v>
      </c>
      <c r="C3085" s="96" t="s">
        <v>2974</v>
      </c>
      <c r="D3085" s="96" t="s">
        <v>40</v>
      </c>
      <c r="E3085" s="43">
        <v>45872</v>
      </c>
      <c r="F3085" s="43">
        <v>45952</v>
      </c>
      <c r="G3085" s="96" t="s">
        <v>92</v>
      </c>
      <c r="H3085" s="96" t="s">
        <v>6789</v>
      </c>
      <c r="I3085" s="96" t="s">
        <v>194</v>
      </c>
      <c r="J3085" s="96" t="s">
        <v>216</v>
      </c>
      <c r="K3085" s="96" t="s">
        <v>233</v>
      </c>
      <c r="L3085">
        <v>80</v>
      </c>
      <c r="M3085" t="s">
        <v>28</v>
      </c>
      <c r="N3085" t="s">
        <v>8</v>
      </c>
      <c r="O3085" t="s">
        <v>170</v>
      </c>
      <c r="P3085">
        <v>2025</v>
      </c>
    </row>
    <row r="3086" spans="1:16" hidden="1" x14ac:dyDescent="0.25">
      <c r="A3086" s="96" t="s">
        <v>2</v>
      </c>
      <c r="B3086" s="96" t="s">
        <v>247</v>
      </c>
      <c r="C3086" s="96" t="s">
        <v>6790</v>
      </c>
      <c r="D3086" s="96" t="s">
        <v>10</v>
      </c>
      <c r="E3086" s="43">
        <v>45892</v>
      </c>
      <c r="F3086" s="43">
        <v>45998</v>
      </c>
      <c r="G3086" s="96" t="s">
        <v>92</v>
      </c>
      <c r="H3086" s="96" t="s">
        <v>6791</v>
      </c>
      <c r="I3086" s="96" t="s">
        <v>194</v>
      </c>
      <c r="J3086" s="96" t="s">
        <v>216</v>
      </c>
      <c r="K3086" s="96" t="s">
        <v>195</v>
      </c>
      <c r="L3086">
        <v>106</v>
      </c>
      <c r="M3086" t="s">
        <v>28</v>
      </c>
      <c r="N3086" t="s">
        <v>8</v>
      </c>
      <c r="O3086" t="s">
        <v>150</v>
      </c>
      <c r="P3086">
        <v>2025</v>
      </c>
    </row>
    <row r="3087" spans="1:16" x14ac:dyDescent="0.25">
      <c r="A3087" s="96" t="s">
        <v>175</v>
      </c>
      <c r="B3087" s="96" t="s">
        <v>261</v>
      </c>
      <c r="C3087" s="96" t="s">
        <v>2976</v>
      </c>
      <c r="D3087" s="96" t="s">
        <v>14</v>
      </c>
      <c r="E3087" s="43">
        <v>46082</v>
      </c>
      <c r="F3087" s="43">
        <v>46110</v>
      </c>
      <c r="G3087" s="96" t="s">
        <v>92</v>
      </c>
      <c r="H3087" s="96" t="s">
        <v>6792</v>
      </c>
      <c r="I3087" s="96" t="s">
        <v>9</v>
      </c>
      <c r="J3087" s="96" t="s">
        <v>98</v>
      </c>
      <c r="K3087" s="96" t="s">
        <v>230</v>
      </c>
      <c r="L3087">
        <v>28</v>
      </c>
      <c r="M3087" t="s">
        <v>19</v>
      </c>
      <c r="N3087" t="s">
        <v>35</v>
      </c>
      <c r="O3087" t="s">
        <v>151</v>
      </c>
      <c r="P3087">
        <v>2026</v>
      </c>
    </row>
    <row r="3088" spans="1:16" hidden="1" x14ac:dyDescent="0.25">
      <c r="A3088" s="96" t="s">
        <v>2</v>
      </c>
      <c r="B3088" s="96" t="s">
        <v>231</v>
      </c>
      <c r="C3088" s="96" t="s">
        <v>6793</v>
      </c>
      <c r="D3088" s="96" t="s">
        <v>34</v>
      </c>
      <c r="E3088" s="43">
        <v>45783</v>
      </c>
      <c r="F3088" s="43">
        <v>45826</v>
      </c>
      <c r="G3088" s="96" t="s">
        <v>90</v>
      </c>
      <c r="H3088" s="96" t="s">
        <v>6794</v>
      </c>
      <c r="I3088" s="96" t="s">
        <v>157</v>
      </c>
      <c r="J3088" s="96" t="s">
        <v>177</v>
      </c>
      <c r="K3088" s="96" t="s">
        <v>205</v>
      </c>
      <c r="L3088">
        <v>43</v>
      </c>
      <c r="M3088" t="s">
        <v>24</v>
      </c>
      <c r="N3088" t="s">
        <v>182</v>
      </c>
      <c r="O3088" t="s">
        <v>170</v>
      </c>
      <c r="P3088">
        <v>2025</v>
      </c>
    </row>
    <row r="3089" spans="1:16" x14ac:dyDescent="0.25">
      <c r="A3089" s="96" t="s">
        <v>2</v>
      </c>
      <c r="B3089" s="96" t="s">
        <v>274</v>
      </c>
      <c r="C3089" s="96" t="s">
        <v>2977</v>
      </c>
      <c r="D3089" s="96" t="s">
        <v>203</v>
      </c>
      <c r="E3089" s="43">
        <v>46150</v>
      </c>
      <c r="F3089" s="43">
        <v>46146</v>
      </c>
      <c r="G3089" s="96" t="s">
        <v>92</v>
      </c>
      <c r="H3089" s="96" t="s">
        <v>2877</v>
      </c>
      <c r="I3089" s="96" t="s">
        <v>209</v>
      </c>
      <c r="J3089" s="96" t="s">
        <v>216</v>
      </c>
      <c r="K3089" s="96" t="s">
        <v>200</v>
      </c>
      <c r="L3089">
        <v>-4</v>
      </c>
      <c r="M3089" t="s">
        <v>11</v>
      </c>
      <c r="N3089" t="s">
        <v>183</v>
      </c>
      <c r="O3089" t="s">
        <v>170</v>
      </c>
      <c r="P3089">
        <v>2026</v>
      </c>
    </row>
    <row r="3090" spans="1:16" hidden="1" x14ac:dyDescent="0.25">
      <c r="A3090" s="96" t="s">
        <v>2</v>
      </c>
      <c r="B3090" s="96" t="s">
        <v>240</v>
      </c>
      <c r="C3090" s="96" t="s">
        <v>6795</v>
      </c>
      <c r="D3090" s="96" t="s">
        <v>237</v>
      </c>
      <c r="E3090" s="43">
        <v>45955</v>
      </c>
      <c r="F3090" s="43">
        <v>46017</v>
      </c>
      <c r="G3090" s="96" t="s">
        <v>92</v>
      </c>
      <c r="H3090" s="96" t="s">
        <v>6796</v>
      </c>
      <c r="I3090" s="96" t="s">
        <v>9</v>
      </c>
      <c r="J3090" s="96" t="s">
        <v>177</v>
      </c>
      <c r="K3090" s="96" t="s">
        <v>217</v>
      </c>
      <c r="L3090">
        <v>62</v>
      </c>
      <c r="M3090" t="s">
        <v>28</v>
      </c>
      <c r="N3090" t="s">
        <v>16</v>
      </c>
      <c r="O3090" t="s">
        <v>149</v>
      </c>
      <c r="P3090">
        <v>2025</v>
      </c>
    </row>
    <row r="3091" spans="1:16" hidden="1" x14ac:dyDescent="0.25">
      <c r="A3091" s="96" t="s">
        <v>2</v>
      </c>
      <c r="B3091" s="96" t="s">
        <v>255</v>
      </c>
      <c r="C3091" s="96" t="s">
        <v>2978</v>
      </c>
      <c r="D3091" s="96" t="s">
        <v>34</v>
      </c>
      <c r="E3091" s="43">
        <v>45748</v>
      </c>
      <c r="F3091" s="43">
        <v>45851</v>
      </c>
      <c r="G3091" s="96" t="s">
        <v>92</v>
      </c>
      <c r="H3091" s="96" t="s">
        <v>2880</v>
      </c>
      <c r="I3091" s="96" t="s">
        <v>157</v>
      </c>
      <c r="J3091" s="96" t="s">
        <v>216</v>
      </c>
      <c r="K3091" s="96" t="s">
        <v>157</v>
      </c>
      <c r="L3091">
        <v>103</v>
      </c>
      <c r="M3091" t="s">
        <v>28</v>
      </c>
      <c r="N3091" t="s">
        <v>185</v>
      </c>
      <c r="O3091" t="s">
        <v>150</v>
      </c>
      <c r="P3091">
        <v>2025</v>
      </c>
    </row>
    <row r="3092" spans="1:16" x14ac:dyDescent="0.25">
      <c r="A3092" s="96" t="s">
        <v>2</v>
      </c>
      <c r="B3092" s="96" t="s">
        <v>249</v>
      </c>
      <c r="C3092" s="96" t="s">
        <v>6797</v>
      </c>
      <c r="D3092" s="96" t="s">
        <v>223</v>
      </c>
      <c r="E3092" s="43">
        <v>46123</v>
      </c>
      <c r="F3092" s="43">
        <v>46148</v>
      </c>
      <c r="G3092" s="96" t="s">
        <v>92</v>
      </c>
      <c r="H3092" s="96" t="s">
        <v>2882</v>
      </c>
      <c r="I3092" s="96" t="s">
        <v>9</v>
      </c>
      <c r="J3092" s="96" t="s">
        <v>94</v>
      </c>
      <c r="K3092" s="96" t="s">
        <v>195</v>
      </c>
      <c r="L3092">
        <v>25</v>
      </c>
      <c r="M3092" t="s">
        <v>19</v>
      </c>
      <c r="N3092" t="s">
        <v>37</v>
      </c>
      <c r="O3092" t="s">
        <v>170</v>
      </c>
      <c r="P3092">
        <v>2026</v>
      </c>
    </row>
    <row r="3093" spans="1:16" x14ac:dyDescent="0.25">
      <c r="A3093" s="96" t="s">
        <v>2</v>
      </c>
      <c r="B3093" s="96" t="s">
        <v>219</v>
      </c>
      <c r="C3093" s="96" t="s">
        <v>2979</v>
      </c>
      <c r="D3093" s="96" t="s">
        <v>237</v>
      </c>
      <c r="E3093" s="43">
        <v>46058</v>
      </c>
      <c r="F3093" s="43">
        <v>46092</v>
      </c>
      <c r="G3093" s="96" t="s">
        <v>92</v>
      </c>
      <c r="H3093" s="96" t="s">
        <v>6798</v>
      </c>
      <c r="I3093" s="96" t="s">
        <v>204</v>
      </c>
      <c r="J3093" s="96" t="s">
        <v>199</v>
      </c>
      <c r="K3093" s="96" t="s">
        <v>205</v>
      </c>
      <c r="L3093">
        <v>34</v>
      </c>
      <c r="M3093" t="s">
        <v>24</v>
      </c>
      <c r="N3093" t="s">
        <v>32</v>
      </c>
      <c r="O3093" t="s">
        <v>149</v>
      </c>
      <c r="P3093">
        <v>2026</v>
      </c>
    </row>
    <row r="3094" spans="1:16" hidden="1" x14ac:dyDescent="0.25">
      <c r="A3094" s="96" t="s">
        <v>2</v>
      </c>
      <c r="B3094" s="96" t="s">
        <v>231</v>
      </c>
      <c r="C3094" s="96" t="s">
        <v>6799</v>
      </c>
      <c r="D3094" s="96" t="s">
        <v>223</v>
      </c>
      <c r="E3094" s="43">
        <v>45981</v>
      </c>
      <c r="F3094" s="43">
        <v>46069</v>
      </c>
      <c r="G3094" s="96" t="s">
        <v>92</v>
      </c>
      <c r="H3094" s="96" t="s">
        <v>6800</v>
      </c>
      <c r="I3094" s="96" t="s">
        <v>225</v>
      </c>
      <c r="J3094" s="96" t="s">
        <v>169</v>
      </c>
      <c r="K3094" s="96" t="s">
        <v>217</v>
      </c>
      <c r="L3094">
        <v>88</v>
      </c>
      <c r="M3094" t="s">
        <v>28</v>
      </c>
      <c r="N3094" t="s">
        <v>20</v>
      </c>
      <c r="O3094" t="s">
        <v>170</v>
      </c>
      <c r="P3094">
        <v>2025</v>
      </c>
    </row>
    <row r="3095" spans="1:16" hidden="1" x14ac:dyDescent="0.25">
      <c r="A3095" s="96" t="s">
        <v>2</v>
      </c>
      <c r="B3095" s="96" t="s">
        <v>247</v>
      </c>
      <c r="C3095" s="96" t="s">
        <v>2980</v>
      </c>
      <c r="D3095" s="96" t="s">
        <v>223</v>
      </c>
      <c r="E3095" s="43">
        <v>45861</v>
      </c>
      <c r="F3095" s="43">
        <v>45870</v>
      </c>
      <c r="G3095" s="96" t="s">
        <v>92</v>
      </c>
      <c r="H3095" s="96" t="s">
        <v>6801</v>
      </c>
      <c r="I3095" s="96" t="s">
        <v>204</v>
      </c>
      <c r="J3095" s="96" t="s">
        <v>174</v>
      </c>
      <c r="K3095" s="96" t="s">
        <v>217</v>
      </c>
      <c r="L3095">
        <v>9</v>
      </c>
      <c r="M3095" t="s">
        <v>15</v>
      </c>
      <c r="N3095" t="s">
        <v>187</v>
      </c>
      <c r="O3095" t="s">
        <v>150</v>
      </c>
      <c r="P3095">
        <v>2025</v>
      </c>
    </row>
    <row r="3096" spans="1:16" x14ac:dyDescent="0.25">
      <c r="A3096" s="96" t="s">
        <v>2</v>
      </c>
      <c r="B3096" s="96" t="s">
        <v>290</v>
      </c>
      <c r="C3096" s="96" t="s">
        <v>6802</v>
      </c>
      <c r="D3096" s="96" t="s">
        <v>40</v>
      </c>
      <c r="E3096" s="43">
        <v>46094</v>
      </c>
      <c r="F3096" s="43">
        <v>46150</v>
      </c>
      <c r="G3096" s="96" t="s">
        <v>95</v>
      </c>
      <c r="H3096" s="96" t="s">
        <v>2886</v>
      </c>
      <c r="I3096" s="96" t="s">
        <v>228</v>
      </c>
      <c r="J3096" s="96" t="s">
        <v>97</v>
      </c>
      <c r="K3096" s="96" t="s">
        <v>205</v>
      </c>
      <c r="L3096">
        <v>56</v>
      </c>
      <c r="M3096" t="s">
        <v>24</v>
      </c>
      <c r="N3096" t="s">
        <v>35</v>
      </c>
      <c r="O3096" t="s">
        <v>149</v>
      </c>
      <c r="P3096">
        <v>2026</v>
      </c>
    </row>
    <row r="3097" spans="1:16" x14ac:dyDescent="0.25">
      <c r="A3097" s="96" t="s">
        <v>2</v>
      </c>
      <c r="B3097" s="96" t="s">
        <v>219</v>
      </c>
      <c r="C3097" s="96" t="s">
        <v>2981</v>
      </c>
      <c r="D3097" s="96" t="s">
        <v>10</v>
      </c>
      <c r="E3097" s="43">
        <v>46039</v>
      </c>
      <c r="F3097" s="43">
        <v>46062</v>
      </c>
      <c r="G3097" s="96" t="s">
        <v>92</v>
      </c>
      <c r="H3097" s="96" t="s">
        <v>2888</v>
      </c>
      <c r="I3097" s="96" t="s">
        <v>157</v>
      </c>
      <c r="J3097" s="96" t="s">
        <v>172</v>
      </c>
      <c r="K3097" s="96" t="s">
        <v>210</v>
      </c>
      <c r="L3097">
        <v>23</v>
      </c>
      <c r="M3097" t="s">
        <v>19</v>
      </c>
      <c r="N3097" t="s">
        <v>29</v>
      </c>
      <c r="O3097" t="s">
        <v>149</v>
      </c>
      <c r="P3097">
        <v>2026</v>
      </c>
    </row>
    <row r="3098" spans="1:16" x14ac:dyDescent="0.25">
      <c r="A3098" s="96" t="s">
        <v>2</v>
      </c>
      <c r="B3098" s="96" t="s">
        <v>249</v>
      </c>
      <c r="C3098" s="96" t="s">
        <v>2983</v>
      </c>
      <c r="D3098" s="96" t="s">
        <v>14</v>
      </c>
      <c r="E3098" s="43">
        <v>46145</v>
      </c>
      <c r="F3098" s="43">
        <v>46148</v>
      </c>
      <c r="G3098" s="96" t="s">
        <v>95</v>
      </c>
      <c r="H3098" s="96" t="s">
        <v>2890</v>
      </c>
      <c r="I3098" s="96" t="s">
        <v>9</v>
      </c>
      <c r="J3098" s="96" t="s">
        <v>199</v>
      </c>
      <c r="K3098" s="96" t="s">
        <v>246</v>
      </c>
      <c r="L3098">
        <v>3</v>
      </c>
      <c r="M3098" t="s">
        <v>11</v>
      </c>
      <c r="N3098" t="s">
        <v>183</v>
      </c>
      <c r="O3098" t="s">
        <v>170</v>
      </c>
      <c r="P3098">
        <v>2026</v>
      </c>
    </row>
    <row r="3099" spans="1:16" x14ac:dyDescent="0.25">
      <c r="A3099" s="96" t="s">
        <v>2</v>
      </c>
      <c r="B3099" s="96" t="s">
        <v>261</v>
      </c>
      <c r="C3099" s="96" t="s">
        <v>2987</v>
      </c>
      <c r="D3099" s="96" t="s">
        <v>14</v>
      </c>
      <c r="E3099" s="43">
        <v>46134</v>
      </c>
      <c r="F3099" s="43">
        <v>46150</v>
      </c>
      <c r="G3099" s="96" t="s">
        <v>92</v>
      </c>
      <c r="H3099" s="96" t="s">
        <v>6803</v>
      </c>
      <c r="I3099" s="96" t="s">
        <v>225</v>
      </c>
      <c r="J3099" s="96" t="s">
        <v>165</v>
      </c>
      <c r="K3099" s="96" t="s">
        <v>205</v>
      </c>
      <c r="L3099">
        <v>16</v>
      </c>
      <c r="M3099" t="s">
        <v>19</v>
      </c>
      <c r="N3099" t="s">
        <v>37</v>
      </c>
      <c r="O3099" t="s">
        <v>151</v>
      </c>
      <c r="P3099">
        <v>2026</v>
      </c>
    </row>
    <row r="3100" spans="1:16" x14ac:dyDescent="0.25">
      <c r="A3100" s="96" t="s">
        <v>2</v>
      </c>
      <c r="B3100" s="96" t="s">
        <v>261</v>
      </c>
      <c r="C3100" s="96" t="s">
        <v>2989</v>
      </c>
      <c r="D3100" s="96" t="s">
        <v>10</v>
      </c>
      <c r="E3100" s="43">
        <v>46045</v>
      </c>
      <c r="F3100" s="43">
        <v>46109</v>
      </c>
      <c r="G3100" s="96" t="s">
        <v>90</v>
      </c>
      <c r="H3100" s="96" t="s">
        <v>6804</v>
      </c>
      <c r="I3100" s="96" t="s">
        <v>225</v>
      </c>
      <c r="J3100" s="96" t="s">
        <v>229</v>
      </c>
      <c r="K3100" s="96" t="s">
        <v>246</v>
      </c>
      <c r="L3100">
        <v>64</v>
      </c>
      <c r="M3100" t="s">
        <v>28</v>
      </c>
      <c r="N3100" t="s">
        <v>29</v>
      </c>
      <c r="O3100" t="s">
        <v>151</v>
      </c>
      <c r="P3100">
        <v>2026</v>
      </c>
    </row>
    <row r="3101" spans="1:16" hidden="1" x14ac:dyDescent="0.25">
      <c r="A3101" s="96" t="s">
        <v>2</v>
      </c>
      <c r="B3101" s="96" t="s">
        <v>255</v>
      </c>
      <c r="C3101" s="96" t="s">
        <v>6805</v>
      </c>
      <c r="D3101" s="96" t="s">
        <v>215</v>
      </c>
      <c r="E3101" s="43">
        <v>45875</v>
      </c>
      <c r="F3101" s="43">
        <v>45975</v>
      </c>
      <c r="G3101" s="96" t="s">
        <v>92</v>
      </c>
      <c r="H3101" s="96" t="s">
        <v>2893</v>
      </c>
      <c r="I3101" s="96" t="s">
        <v>9</v>
      </c>
      <c r="J3101" s="96" t="s">
        <v>172</v>
      </c>
      <c r="K3101" s="96" t="s">
        <v>205</v>
      </c>
      <c r="L3101">
        <v>100</v>
      </c>
      <c r="M3101" t="s">
        <v>28</v>
      </c>
      <c r="N3101" t="s">
        <v>8</v>
      </c>
      <c r="O3101" t="s">
        <v>150</v>
      </c>
      <c r="P3101">
        <v>2025</v>
      </c>
    </row>
    <row r="3102" spans="1:16" hidden="1" x14ac:dyDescent="0.25">
      <c r="A3102" s="96" t="s">
        <v>171</v>
      </c>
      <c r="B3102" s="96" t="s">
        <v>251</v>
      </c>
      <c r="C3102" s="96" t="s">
        <v>2991</v>
      </c>
      <c r="D3102" s="96" t="s">
        <v>192</v>
      </c>
      <c r="E3102" s="43">
        <v>45912</v>
      </c>
      <c r="F3102" s="43">
        <v>45977</v>
      </c>
      <c r="G3102" s="96" t="s">
        <v>95</v>
      </c>
      <c r="H3102" s="96" t="s">
        <v>2895</v>
      </c>
      <c r="I3102" s="96" t="s">
        <v>204</v>
      </c>
      <c r="J3102" s="96" t="s">
        <v>165</v>
      </c>
      <c r="K3102" s="96" t="s">
        <v>157</v>
      </c>
      <c r="L3102">
        <v>65</v>
      </c>
      <c r="M3102" t="s">
        <v>28</v>
      </c>
      <c r="N3102" t="s">
        <v>12</v>
      </c>
      <c r="O3102" t="s">
        <v>170</v>
      </c>
      <c r="P3102">
        <v>2025</v>
      </c>
    </row>
    <row r="3103" spans="1:16" hidden="1" x14ac:dyDescent="0.25">
      <c r="A3103" s="96" t="s">
        <v>2</v>
      </c>
      <c r="B3103" s="96" t="s">
        <v>253</v>
      </c>
      <c r="C3103" s="96" t="s">
        <v>2992</v>
      </c>
      <c r="D3103" s="96" t="s">
        <v>34</v>
      </c>
      <c r="E3103" s="43">
        <v>45988</v>
      </c>
      <c r="F3103" s="43">
        <v>46082</v>
      </c>
      <c r="G3103" s="96" t="s">
        <v>92</v>
      </c>
      <c r="H3103" s="96" t="s">
        <v>2897</v>
      </c>
      <c r="I3103" s="96" t="s">
        <v>9</v>
      </c>
      <c r="J3103" s="96" t="s">
        <v>91</v>
      </c>
      <c r="K3103" s="96" t="s">
        <v>210</v>
      </c>
      <c r="L3103">
        <v>94</v>
      </c>
      <c r="M3103" t="s">
        <v>28</v>
      </c>
      <c r="N3103" t="s">
        <v>20</v>
      </c>
      <c r="O3103" t="s">
        <v>152</v>
      </c>
      <c r="P3103">
        <v>2025</v>
      </c>
    </row>
    <row r="3104" spans="1:16" hidden="1" x14ac:dyDescent="0.25">
      <c r="A3104" s="96" t="s">
        <v>21</v>
      </c>
      <c r="B3104" s="96" t="s">
        <v>272</v>
      </c>
      <c r="C3104" s="96" t="s">
        <v>2993</v>
      </c>
      <c r="D3104" s="96" t="s">
        <v>40</v>
      </c>
      <c r="E3104" s="43">
        <v>45804</v>
      </c>
      <c r="F3104" s="43">
        <v>45846</v>
      </c>
      <c r="G3104" s="96" t="s">
        <v>92</v>
      </c>
      <c r="H3104" s="96" t="s">
        <v>6806</v>
      </c>
      <c r="I3104" s="96" t="s">
        <v>209</v>
      </c>
      <c r="J3104" s="96" t="s">
        <v>283</v>
      </c>
      <c r="K3104" s="96" t="s">
        <v>230</v>
      </c>
      <c r="L3104">
        <v>42</v>
      </c>
      <c r="M3104" t="s">
        <v>24</v>
      </c>
      <c r="N3104" t="s">
        <v>182</v>
      </c>
      <c r="O3104" t="s">
        <v>151</v>
      </c>
      <c r="P3104">
        <v>2025</v>
      </c>
    </row>
    <row r="3105" spans="1:16" x14ac:dyDescent="0.25">
      <c r="A3105" s="96" t="s">
        <v>2</v>
      </c>
      <c r="B3105" s="96" t="s">
        <v>317</v>
      </c>
      <c r="C3105" s="96" t="s">
        <v>6807</v>
      </c>
      <c r="D3105" s="96" t="s">
        <v>40</v>
      </c>
      <c r="E3105" s="43">
        <v>46061</v>
      </c>
      <c r="F3105" s="43">
        <v>46146</v>
      </c>
      <c r="G3105" s="96" t="s">
        <v>92</v>
      </c>
      <c r="H3105" s="96" t="s">
        <v>6808</v>
      </c>
      <c r="I3105" s="96" t="s">
        <v>204</v>
      </c>
      <c r="J3105" s="96" t="s">
        <v>169</v>
      </c>
      <c r="K3105" s="96" t="s">
        <v>157</v>
      </c>
      <c r="L3105">
        <v>85</v>
      </c>
      <c r="M3105" t="s">
        <v>28</v>
      </c>
      <c r="N3105" t="s">
        <v>32</v>
      </c>
      <c r="O3105" t="s">
        <v>170</v>
      </c>
      <c r="P3105">
        <v>2026</v>
      </c>
    </row>
    <row r="3106" spans="1:16" hidden="1" x14ac:dyDescent="0.25">
      <c r="A3106" s="96" t="s">
        <v>2</v>
      </c>
      <c r="B3106" s="96" t="s">
        <v>251</v>
      </c>
      <c r="C3106" s="96" t="s">
        <v>2994</v>
      </c>
      <c r="D3106" s="96" t="s">
        <v>192</v>
      </c>
      <c r="E3106" s="43">
        <v>45877</v>
      </c>
      <c r="F3106" s="43">
        <v>45912</v>
      </c>
      <c r="G3106" s="96" t="s">
        <v>92</v>
      </c>
      <c r="H3106" s="96" t="s">
        <v>6809</v>
      </c>
      <c r="I3106" s="96" t="s">
        <v>194</v>
      </c>
      <c r="J3106" s="96" t="s">
        <v>94</v>
      </c>
      <c r="K3106" s="96" t="s">
        <v>205</v>
      </c>
      <c r="L3106">
        <v>35</v>
      </c>
      <c r="M3106" t="s">
        <v>24</v>
      </c>
      <c r="N3106" t="s">
        <v>8</v>
      </c>
      <c r="O3106" t="s">
        <v>170</v>
      </c>
      <c r="P3106">
        <v>2025</v>
      </c>
    </row>
    <row r="3107" spans="1:16" x14ac:dyDescent="0.25">
      <c r="A3107" s="96" t="s">
        <v>2</v>
      </c>
      <c r="B3107" s="96" t="s">
        <v>288</v>
      </c>
      <c r="C3107" s="96" t="s">
        <v>2995</v>
      </c>
      <c r="D3107" s="96" t="s">
        <v>215</v>
      </c>
      <c r="E3107" s="43">
        <v>46074</v>
      </c>
      <c r="F3107" s="43">
        <v>46106</v>
      </c>
      <c r="G3107" s="96" t="s">
        <v>92</v>
      </c>
      <c r="H3107" s="96" t="s">
        <v>6810</v>
      </c>
      <c r="I3107" s="96" t="s">
        <v>228</v>
      </c>
      <c r="J3107" s="96" t="s">
        <v>176</v>
      </c>
      <c r="K3107" s="96" t="s">
        <v>157</v>
      </c>
      <c r="L3107">
        <v>32</v>
      </c>
      <c r="M3107" t="s">
        <v>24</v>
      </c>
      <c r="N3107" t="s">
        <v>32</v>
      </c>
      <c r="O3107" t="s">
        <v>170</v>
      </c>
      <c r="P3107">
        <v>2026</v>
      </c>
    </row>
    <row r="3108" spans="1:16" hidden="1" x14ac:dyDescent="0.25">
      <c r="A3108" s="96" t="s">
        <v>2</v>
      </c>
      <c r="B3108" s="96" t="s">
        <v>253</v>
      </c>
      <c r="C3108" s="96" t="s">
        <v>2996</v>
      </c>
      <c r="D3108" s="96" t="s">
        <v>203</v>
      </c>
      <c r="E3108" s="43">
        <v>45929</v>
      </c>
      <c r="F3108" s="43">
        <v>45949</v>
      </c>
      <c r="G3108" s="96" t="s">
        <v>92</v>
      </c>
      <c r="H3108" s="96" t="s">
        <v>6811</v>
      </c>
      <c r="I3108" s="96" t="s">
        <v>9</v>
      </c>
      <c r="J3108" s="96" t="s">
        <v>176</v>
      </c>
      <c r="K3108" s="96" t="s">
        <v>200</v>
      </c>
      <c r="L3108">
        <v>20</v>
      </c>
      <c r="M3108" t="s">
        <v>19</v>
      </c>
      <c r="N3108" t="s">
        <v>12</v>
      </c>
      <c r="O3108" t="s">
        <v>152</v>
      </c>
      <c r="P3108">
        <v>2025</v>
      </c>
    </row>
    <row r="3109" spans="1:16" hidden="1" x14ac:dyDescent="0.25">
      <c r="A3109" s="96" t="s">
        <v>2</v>
      </c>
      <c r="B3109" s="96" t="s">
        <v>240</v>
      </c>
      <c r="C3109" s="96" t="s">
        <v>2997</v>
      </c>
      <c r="D3109" s="96" t="s">
        <v>10</v>
      </c>
      <c r="E3109" s="43">
        <v>45842</v>
      </c>
      <c r="F3109" s="43">
        <v>45860</v>
      </c>
      <c r="G3109" s="96" t="s">
        <v>92</v>
      </c>
      <c r="H3109" s="96" t="s">
        <v>2900</v>
      </c>
      <c r="I3109" s="96" t="s">
        <v>209</v>
      </c>
      <c r="J3109" s="96" t="s">
        <v>91</v>
      </c>
      <c r="K3109" s="96" t="s">
        <v>205</v>
      </c>
      <c r="L3109">
        <v>18</v>
      </c>
      <c r="M3109" t="s">
        <v>19</v>
      </c>
      <c r="N3109" t="s">
        <v>187</v>
      </c>
      <c r="O3109" t="s">
        <v>149</v>
      </c>
      <c r="P3109">
        <v>2025</v>
      </c>
    </row>
    <row r="3110" spans="1:16" x14ac:dyDescent="0.25">
      <c r="A3110" s="96" t="s">
        <v>2</v>
      </c>
      <c r="B3110" s="96" t="s">
        <v>249</v>
      </c>
      <c r="C3110" s="96" t="s">
        <v>6812</v>
      </c>
      <c r="D3110" s="96" t="s">
        <v>237</v>
      </c>
      <c r="E3110" s="43">
        <v>46068</v>
      </c>
      <c r="F3110" s="43">
        <v>46145</v>
      </c>
      <c r="G3110" s="96" t="s">
        <v>92</v>
      </c>
      <c r="H3110" s="96" t="s">
        <v>2901</v>
      </c>
      <c r="I3110" s="96" t="s">
        <v>209</v>
      </c>
      <c r="J3110" s="96" t="s">
        <v>283</v>
      </c>
      <c r="K3110" s="96" t="s">
        <v>210</v>
      </c>
      <c r="L3110">
        <v>77</v>
      </c>
      <c r="M3110" t="s">
        <v>28</v>
      </c>
      <c r="N3110" t="s">
        <v>32</v>
      </c>
      <c r="O3110" t="s">
        <v>170</v>
      </c>
      <c r="P3110">
        <v>2026</v>
      </c>
    </row>
    <row r="3111" spans="1:16" hidden="1" x14ac:dyDescent="0.25">
      <c r="A3111" s="96" t="s">
        <v>2</v>
      </c>
      <c r="B3111" s="96" t="s">
        <v>272</v>
      </c>
      <c r="C3111" s="96" t="s">
        <v>2998</v>
      </c>
      <c r="D3111" s="96" t="s">
        <v>208</v>
      </c>
      <c r="E3111" s="43">
        <v>45686</v>
      </c>
      <c r="F3111" s="43">
        <v>45744</v>
      </c>
      <c r="G3111" s="96" t="s">
        <v>95</v>
      </c>
      <c r="H3111" s="96" t="s">
        <v>2903</v>
      </c>
      <c r="I3111" s="96" t="s">
        <v>209</v>
      </c>
      <c r="J3111" s="96" t="s">
        <v>94</v>
      </c>
      <c r="K3111" s="96" t="s">
        <v>246</v>
      </c>
      <c r="L3111">
        <v>58</v>
      </c>
      <c r="M3111" t="s">
        <v>24</v>
      </c>
      <c r="N3111" t="s">
        <v>181</v>
      </c>
      <c r="O3111" t="s">
        <v>151</v>
      </c>
      <c r="P3111">
        <v>2025</v>
      </c>
    </row>
    <row r="3112" spans="1:16" x14ac:dyDescent="0.25">
      <c r="A3112" s="96" t="s">
        <v>2</v>
      </c>
      <c r="B3112" s="96" t="s">
        <v>244</v>
      </c>
      <c r="C3112" s="96" t="s">
        <v>6813</v>
      </c>
      <c r="D3112" s="96" t="s">
        <v>34</v>
      </c>
      <c r="E3112" s="43">
        <v>46043</v>
      </c>
      <c r="F3112" s="43">
        <v>46071</v>
      </c>
      <c r="G3112" s="96" t="s">
        <v>92</v>
      </c>
      <c r="H3112" s="96" t="s">
        <v>2905</v>
      </c>
      <c r="I3112" s="96" t="s">
        <v>204</v>
      </c>
      <c r="J3112" s="96" t="s">
        <v>93</v>
      </c>
      <c r="K3112" s="96" t="s">
        <v>217</v>
      </c>
      <c r="L3112">
        <v>28</v>
      </c>
      <c r="M3112" t="s">
        <v>19</v>
      </c>
      <c r="N3112" t="s">
        <v>29</v>
      </c>
      <c r="O3112" t="s">
        <v>150</v>
      </c>
      <c r="P3112">
        <v>2026</v>
      </c>
    </row>
    <row r="3113" spans="1:16" x14ac:dyDescent="0.25">
      <c r="A3113" s="96" t="s">
        <v>2</v>
      </c>
      <c r="B3113" s="96" t="s">
        <v>261</v>
      </c>
      <c r="C3113" s="96" t="s">
        <v>6814</v>
      </c>
      <c r="D3113" s="96" t="s">
        <v>215</v>
      </c>
      <c r="E3113" s="43">
        <v>46112</v>
      </c>
      <c r="F3113" s="43">
        <v>46150</v>
      </c>
      <c r="G3113" s="96" t="s">
        <v>92</v>
      </c>
      <c r="H3113" s="96" t="s">
        <v>6815</v>
      </c>
      <c r="I3113" s="96" t="s">
        <v>228</v>
      </c>
      <c r="J3113" s="96" t="s">
        <v>97</v>
      </c>
      <c r="K3113" s="96" t="s">
        <v>157</v>
      </c>
      <c r="L3113">
        <v>38</v>
      </c>
      <c r="M3113" t="s">
        <v>24</v>
      </c>
      <c r="N3113" t="s">
        <v>35</v>
      </c>
      <c r="O3113" t="s">
        <v>151</v>
      </c>
      <c r="P3113">
        <v>2026</v>
      </c>
    </row>
    <row r="3114" spans="1:16" x14ac:dyDescent="0.25">
      <c r="A3114" s="96" t="s">
        <v>2</v>
      </c>
      <c r="B3114" s="96" t="s">
        <v>274</v>
      </c>
      <c r="C3114" s="96" t="s">
        <v>2999</v>
      </c>
      <c r="D3114" s="96" t="s">
        <v>40</v>
      </c>
      <c r="E3114" s="43">
        <v>46025</v>
      </c>
      <c r="F3114" s="43">
        <v>46029</v>
      </c>
      <c r="G3114" s="96" t="s">
        <v>90</v>
      </c>
      <c r="H3114" s="96" t="s">
        <v>6816</v>
      </c>
      <c r="I3114" s="96" t="s">
        <v>209</v>
      </c>
      <c r="J3114" s="96" t="s">
        <v>174</v>
      </c>
      <c r="K3114" s="96" t="s">
        <v>195</v>
      </c>
      <c r="L3114">
        <v>4</v>
      </c>
      <c r="M3114" t="s">
        <v>11</v>
      </c>
      <c r="N3114" t="s">
        <v>29</v>
      </c>
      <c r="O3114" t="s">
        <v>170</v>
      </c>
      <c r="P3114">
        <v>2026</v>
      </c>
    </row>
    <row r="3115" spans="1:16" x14ac:dyDescent="0.25">
      <c r="A3115" s="96" t="s">
        <v>2</v>
      </c>
      <c r="B3115" s="96" t="s">
        <v>269</v>
      </c>
      <c r="C3115" s="96" t="s">
        <v>3000</v>
      </c>
      <c r="D3115" s="96" t="s">
        <v>223</v>
      </c>
      <c r="E3115" s="43">
        <v>46039</v>
      </c>
      <c r="F3115" s="43">
        <v>46151</v>
      </c>
      <c r="G3115" s="96" t="s">
        <v>92</v>
      </c>
      <c r="H3115" s="96" t="s">
        <v>6817</v>
      </c>
      <c r="I3115" s="96" t="s">
        <v>209</v>
      </c>
      <c r="J3115" s="96" t="s">
        <v>216</v>
      </c>
      <c r="K3115" s="96" t="s">
        <v>200</v>
      </c>
      <c r="L3115">
        <v>112</v>
      </c>
      <c r="M3115" t="s">
        <v>28</v>
      </c>
      <c r="N3115" t="s">
        <v>29</v>
      </c>
      <c r="O3115" t="s">
        <v>152</v>
      </c>
      <c r="P3115">
        <v>2026</v>
      </c>
    </row>
    <row r="3116" spans="1:16" hidden="1" x14ac:dyDescent="0.25">
      <c r="A3116" s="96" t="s">
        <v>2</v>
      </c>
      <c r="B3116" s="96" t="s">
        <v>272</v>
      </c>
      <c r="C3116" s="96" t="s">
        <v>3001</v>
      </c>
      <c r="D3116" s="96" t="s">
        <v>40</v>
      </c>
      <c r="E3116" s="43">
        <v>45951</v>
      </c>
      <c r="F3116" s="43">
        <v>46029</v>
      </c>
      <c r="G3116" s="96" t="s">
        <v>92</v>
      </c>
      <c r="H3116" s="96" t="s">
        <v>6818</v>
      </c>
      <c r="I3116" s="96" t="s">
        <v>157</v>
      </c>
      <c r="J3116" s="96" t="s">
        <v>176</v>
      </c>
      <c r="K3116" s="96" t="s">
        <v>233</v>
      </c>
      <c r="L3116">
        <v>78</v>
      </c>
      <c r="M3116" t="s">
        <v>28</v>
      </c>
      <c r="N3116" t="s">
        <v>16</v>
      </c>
      <c r="O3116" t="s">
        <v>151</v>
      </c>
      <c r="P3116">
        <v>2025</v>
      </c>
    </row>
    <row r="3117" spans="1:16" x14ac:dyDescent="0.25">
      <c r="A3117" s="96" t="s">
        <v>2</v>
      </c>
      <c r="B3117" s="96" t="s">
        <v>374</v>
      </c>
      <c r="C3117" s="96" t="s">
        <v>3002</v>
      </c>
      <c r="D3117" s="96" t="s">
        <v>223</v>
      </c>
      <c r="E3117" s="43">
        <v>46105</v>
      </c>
      <c r="F3117" s="43">
        <v>46150</v>
      </c>
      <c r="G3117" s="96" t="s">
        <v>92</v>
      </c>
      <c r="H3117" s="96" t="s">
        <v>6819</v>
      </c>
      <c r="I3117" s="96" t="s">
        <v>209</v>
      </c>
      <c r="J3117" s="96" t="s">
        <v>177</v>
      </c>
      <c r="K3117" s="96" t="s">
        <v>246</v>
      </c>
      <c r="L3117">
        <v>45</v>
      </c>
      <c r="M3117" t="s">
        <v>24</v>
      </c>
      <c r="N3117" t="s">
        <v>35</v>
      </c>
      <c r="O3117" t="s">
        <v>150</v>
      </c>
      <c r="P3117">
        <v>2026</v>
      </c>
    </row>
    <row r="3118" spans="1:16" x14ac:dyDescent="0.25">
      <c r="A3118" s="96" t="s">
        <v>175</v>
      </c>
      <c r="B3118" s="96" t="s">
        <v>226</v>
      </c>
      <c r="C3118" s="96" t="s">
        <v>3003</v>
      </c>
      <c r="D3118" s="96" t="s">
        <v>40</v>
      </c>
      <c r="E3118" s="43">
        <v>46143</v>
      </c>
      <c r="F3118" s="43">
        <v>46146</v>
      </c>
      <c r="G3118" s="96" t="s">
        <v>90</v>
      </c>
      <c r="H3118" s="96" t="s">
        <v>6820</v>
      </c>
      <c r="I3118" s="96" t="s">
        <v>204</v>
      </c>
      <c r="J3118" s="96" t="s">
        <v>94</v>
      </c>
      <c r="K3118" s="96" t="s">
        <v>157</v>
      </c>
      <c r="L3118">
        <v>3</v>
      </c>
      <c r="M3118" t="s">
        <v>11</v>
      </c>
      <c r="N3118" t="s">
        <v>183</v>
      </c>
      <c r="O3118" t="s">
        <v>151</v>
      </c>
      <c r="P3118">
        <v>2026</v>
      </c>
    </row>
    <row r="3119" spans="1:16" hidden="1" x14ac:dyDescent="0.25">
      <c r="A3119" s="96" t="s">
        <v>189</v>
      </c>
      <c r="B3119" s="96" t="s">
        <v>240</v>
      </c>
      <c r="C3119" s="96" t="s">
        <v>3004</v>
      </c>
      <c r="D3119" s="96" t="s">
        <v>10</v>
      </c>
      <c r="E3119" s="43">
        <v>45962</v>
      </c>
      <c r="F3119" s="43">
        <v>46049</v>
      </c>
      <c r="G3119" s="96" t="s">
        <v>92</v>
      </c>
      <c r="H3119" s="96" t="s">
        <v>6821</v>
      </c>
      <c r="I3119" s="96" t="s">
        <v>194</v>
      </c>
      <c r="J3119" s="96" t="s">
        <v>174</v>
      </c>
      <c r="K3119" s="96" t="s">
        <v>195</v>
      </c>
      <c r="L3119">
        <v>87</v>
      </c>
      <c r="M3119" t="s">
        <v>28</v>
      </c>
      <c r="N3119" t="s">
        <v>20</v>
      </c>
      <c r="O3119" t="s">
        <v>149</v>
      </c>
      <c r="P3119">
        <v>2025</v>
      </c>
    </row>
    <row r="3120" spans="1:16" x14ac:dyDescent="0.25">
      <c r="A3120" s="96" t="s">
        <v>2</v>
      </c>
      <c r="B3120" s="96" t="s">
        <v>196</v>
      </c>
      <c r="C3120" s="96" t="s">
        <v>3005</v>
      </c>
      <c r="D3120" s="96" t="s">
        <v>40</v>
      </c>
      <c r="E3120" s="43">
        <v>46088</v>
      </c>
      <c r="F3120" s="43">
        <v>46129</v>
      </c>
      <c r="G3120" s="96" t="s">
        <v>92</v>
      </c>
      <c r="H3120" s="96" t="s">
        <v>6822</v>
      </c>
      <c r="I3120" s="96" t="s">
        <v>209</v>
      </c>
      <c r="J3120" s="96" t="s">
        <v>98</v>
      </c>
      <c r="K3120" s="96" t="s">
        <v>230</v>
      </c>
      <c r="L3120">
        <v>41</v>
      </c>
      <c r="M3120" t="s">
        <v>24</v>
      </c>
      <c r="N3120" t="s">
        <v>35</v>
      </c>
      <c r="O3120" t="s">
        <v>152</v>
      </c>
      <c r="P3120">
        <v>2026</v>
      </c>
    </row>
    <row r="3121" spans="1:16" x14ac:dyDescent="0.25">
      <c r="A3121" s="96" t="s">
        <v>175</v>
      </c>
      <c r="B3121" s="96" t="s">
        <v>219</v>
      </c>
      <c r="C3121" s="96" t="s">
        <v>3008</v>
      </c>
      <c r="D3121" s="96" t="s">
        <v>10</v>
      </c>
      <c r="E3121" s="43">
        <v>46076</v>
      </c>
      <c r="F3121" s="43">
        <v>46129</v>
      </c>
      <c r="G3121" s="96" t="s">
        <v>92</v>
      </c>
      <c r="H3121" s="96" t="s">
        <v>6823</v>
      </c>
      <c r="I3121" s="96" t="s">
        <v>209</v>
      </c>
      <c r="J3121" s="96" t="s">
        <v>169</v>
      </c>
      <c r="K3121" s="96" t="s">
        <v>233</v>
      </c>
      <c r="L3121">
        <v>53</v>
      </c>
      <c r="M3121" t="s">
        <v>24</v>
      </c>
      <c r="N3121" t="s">
        <v>32</v>
      </c>
      <c r="O3121" t="s">
        <v>149</v>
      </c>
      <c r="P3121">
        <v>2026</v>
      </c>
    </row>
    <row r="3122" spans="1:16" hidden="1" x14ac:dyDescent="0.25">
      <c r="A3122" s="96" t="s">
        <v>2</v>
      </c>
      <c r="B3122" s="96" t="s">
        <v>280</v>
      </c>
      <c r="C3122" s="96" t="s">
        <v>6824</v>
      </c>
      <c r="D3122" s="96" t="s">
        <v>34</v>
      </c>
      <c r="E3122" s="43">
        <v>45955</v>
      </c>
      <c r="F3122" s="43">
        <v>46069</v>
      </c>
      <c r="G3122" s="96" t="s">
        <v>92</v>
      </c>
      <c r="H3122" s="96" t="s">
        <v>6825</v>
      </c>
      <c r="I3122" s="96" t="s">
        <v>228</v>
      </c>
      <c r="J3122" s="96" t="s">
        <v>96</v>
      </c>
      <c r="K3122" s="96" t="s">
        <v>195</v>
      </c>
      <c r="L3122">
        <v>114</v>
      </c>
      <c r="M3122" t="s">
        <v>28</v>
      </c>
      <c r="N3122" t="s">
        <v>16</v>
      </c>
      <c r="O3122" t="s">
        <v>170</v>
      </c>
      <c r="P3122">
        <v>2025</v>
      </c>
    </row>
    <row r="3123" spans="1:16" hidden="1" x14ac:dyDescent="0.25">
      <c r="A3123" s="96" t="s">
        <v>2</v>
      </c>
      <c r="B3123" s="96" t="s">
        <v>206</v>
      </c>
      <c r="C3123" s="96" t="s">
        <v>6826</v>
      </c>
      <c r="D3123" s="96" t="s">
        <v>14</v>
      </c>
      <c r="E3123" s="43">
        <v>45696</v>
      </c>
      <c r="F3123" s="43">
        <v>45761</v>
      </c>
      <c r="G3123" s="96" t="s">
        <v>90</v>
      </c>
      <c r="H3123" s="96" t="s">
        <v>6827</v>
      </c>
      <c r="I3123" s="96" t="s">
        <v>228</v>
      </c>
      <c r="J3123" s="96" t="s">
        <v>199</v>
      </c>
      <c r="K3123" s="96" t="s">
        <v>210</v>
      </c>
      <c r="L3123">
        <v>65</v>
      </c>
      <c r="M3123" t="s">
        <v>28</v>
      </c>
      <c r="N3123" t="s">
        <v>188</v>
      </c>
      <c r="O3123" t="s">
        <v>152</v>
      </c>
      <c r="P3123">
        <v>2025</v>
      </c>
    </row>
    <row r="3124" spans="1:16" hidden="1" x14ac:dyDescent="0.25">
      <c r="A3124" s="96" t="s">
        <v>2</v>
      </c>
      <c r="B3124" s="96" t="s">
        <v>238</v>
      </c>
      <c r="C3124" s="96" t="s">
        <v>3009</v>
      </c>
      <c r="D3124" s="96" t="s">
        <v>40</v>
      </c>
      <c r="E3124" s="43">
        <v>45685</v>
      </c>
      <c r="F3124" s="43">
        <v>45719</v>
      </c>
      <c r="G3124" s="96" t="s">
        <v>92</v>
      </c>
      <c r="H3124" s="96" t="s">
        <v>6828</v>
      </c>
      <c r="I3124" s="96" t="s">
        <v>228</v>
      </c>
      <c r="J3124" s="96" t="s">
        <v>98</v>
      </c>
      <c r="K3124" s="96" t="s">
        <v>233</v>
      </c>
      <c r="L3124">
        <v>34</v>
      </c>
      <c r="M3124" t="s">
        <v>24</v>
      </c>
      <c r="N3124" t="s">
        <v>181</v>
      </c>
      <c r="O3124" t="s">
        <v>170</v>
      </c>
      <c r="P3124">
        <v>2025</v>
      </c>
    </row>
    <row r="3125" spans="1:16" hidden="1" x14ac:dyDescent="0.25">
      <c r="A3125" s="96" t="s">
        <v>2</v>
      </c>
      <c r="B3125" s="96" t="s">
        <v>211</v>
      </c>
      <c r="C3125" s="96" t="s">
        <v>3011</v>
      </c>
      <c r="D3125" s="96" t="s">
        <v>40</v>
      </c>
      <c r="E3125" s="43">
        <v>45797</v>
      </c>
      <c r="F3125" s="43">
        <v>45832</v>
      </c>
      <c r="G3125" s="96" t="s">
        <v>95</v>
      </c>
      <c r="H3125" s="96" t="s">
        <v>6829</v>
      </c>
      <c r="I3125" s="96" t="s">
        <v>194</v>
      </c>
      <c r="J3125" s="96" t="s">
        <v>165</v>
      </c>
      <c r="K3125" s="96" t="s">
        <v>210</v>
      </c>
      <c r="L3125">
        <v>35</v>
      </c>
      <c r="M3125" t="s">
        <v>24</v>
      </c>
      <c r="N3125" t="s">
        <v>182</v>
      </c>
      <c r="O3125" t="s">
        <v>170</v>
      </c>
      <c r="P3125">
        <v>2025</v>
      </c>
    </row>
    <row r="3126" spans="1:16" x14ac:dyDescent="0.25">
      <c r="A3126" s="96" t="s">
        <v>2</v>
      </c>
      <c r="B3126" s="96" t="s">
        <v>196</v>
      </c>
      <c r="C3126" s="96" t="s">
        <v>6830</v>
      </c>
      <c r="D3126" s="96" t="s">
        <v>223</v>
      </c>
      <c r="E3126" s="43">
        <v>46036</v>
      </c>
      <c r="F3126" s="43">
        <v>46124</v>
      </c>
      <c r="G3126" s="96" t="s">
        <v>92</v>
      </c>
      <c r="H3126" s="96" t="s">
        <v>6831</v>
      </c>
      <c r="I3126" s="96" t="s">
        <v>194</v>
      </c>
      <c r="J3126" s="96" t="s">
        <v>176</v>
      </c>
      <c r="K3126" s="96" t="s">
        <v>210</v>
      </c>
      <c r="L3126">
        <v>88</v>
      </c>
      <c r="M3126" t="s">
        <v>28</v>
      </c>
      <c r="N3126" t="s">
        <v>29</v>
      </c>
      <c r="O3126" t="s">
        <v>152</v>
      </c>
      <c r="P3126">
        <v>2026</v>
      </c>
    </row>
    <row r="3127" spans="1:16" hidden="1" x14ac:dyDescent="0.25">
      <c r="A3127" s="96" t="s">
        <v>2</v>
      </c>
      <c r="B3127" s="96" t="s">
        <v>213</v>
      </c>
      <c r="C3127" s="96" t="s">
        <v>3013</v>
      </c>
      <c r="D3127" s="96" t="s">
        <v>215</v>
      </c>
      <c r="E3127" s="43">
        <v>45785</v>
      </c>
      <c r="F3127" s="43">
        <v>45860</v>
      </c>
      <c r="G3127" s="96" t="s">
        <v>92</v>
      </c>
      <c r="H3127" s="96" t="s">
        <v>2913</v>
      </c>
      <c r="I3127" s="96" t="s">
        <v>204</v>
      </c>
      <c r="J3127" s="96" t="s">
        <v>173</v>
      </c>
      <c r="K3127" s="96" t="s">
        <v>233</v>
      </c>
      <c r="L3127">
        <v>75</v>
      </c>
      <c r="M3127" t="s">
        <v>28</v>
      </c>
      <c r="N3127" t="s">
        <v>182</v>
      </c>
      <c r="O3127" t="s">
        <v>149</v>
      </c>
      <c r="P3127">
        <v>2025</v>
      </c>
    </row>
    <row r="3128" spans="1:16" hidden="1" x14ac:dyDescent="0.25">
      <c r="A3128" s="96" t="s">
        <v>2</v>
      </c>
      <c r="B3128" s="96" t="s">
        <v>257</v>
      </c>
      <c r="C3128" s="96" t="s">
        <v>6832</v>
      </c>
      <c r="D3128" s="96" t="s">
        <v>40</v>
      </c>
      <c r="E3128" s="43">
        <v>45948</v>
      </c>
      <c r="F3128" s="43">
        <v>46042</v>
      </c>
      <c r="G3128" s="96" t="s">
        <v>92</v>
      </c>
      <c r="H3128" s="96" t="s">
        <v>2915</v>
      </c>
      <c r="I3128" s="96" t="s">
        <v>194</v>
      </c>
      <c r="J3128" s="96" t="s">
        <v>165</v>
      </c>
      <c r="K3128" s="96" t="s">
        <v>230</v>
      </c>
      <c r="L3128">
        <v>94</v>
      </c>
      <c r="M3128" t="s">
        <v>28</v>
      </c>
      <c r="N3128" t="s">
        <v>16</v>
      </c>
      <c r="O3128" t="s">
        <v>151</v>
      </c>
      <c r="P3128">
        <v>2025</v>
      </c>
    </row>
    <row r="3129" spans="1:16" x14ac:dyDescent="0.25">
      <c r="A3129" s="96" t="s">
        <v>2</v>
      </c>
      <c r="B3129" s="96" t="s">
        <v>302</v>
      </c>
      <c r="C3129" s="96" t="s">
        <v>3014</v>
      </c>
      <c r="D3129" s="96" t="s">
        <v>40</v>
      </c>
      <c r="E3129" s="43">
        <v>46117</v>
      </c>
      <c r="F3129" s="43">
        <v>46138</v>
      </c>
      <c r="G3129" s="96" t="s">
        <v>90</v>
      </c>
      <c r="H3129" s="96" t="s">
        <v>6833</v>
      </c>
      <c r="I3129" s="96" t="s">
        <v>194</v>
      </c>
      <c r="J3129" s="96" t="s">
        <v>91</v>
      </c>
      <c r="K3129" s="96" t="s">
        <v>205</v>
      </c>
      <c r="L3129">
        <v>21</v>
      </c>
      <c r="M3129" t="s">
        <v>19</v>
      </c>
      <c r="N3129" t="s">
        <v>37</v>
      </c>
      <c r="O3129" t="s">
        <v>150</v>
      </c>
      <c r="P3129">
        <v>2026</v>
      </c>
    </row>
    <row r="3130" spans="1:16" hidden="1" x14ac:dyDescent="0.25">
      <c r="A3130" s="96" t="s">
        <v>2</v>
      </c>
      <c r="B3130" s="96" t="s">
        <v>272</v>
      </c>
      <c r="C3130" s="96" t="s">
        <v>6834</v>
      </c>
      <c r="D3130" s="96" t="s">
        <v>237</v>
      </c>
      <c r="E3130" s="43">
        <v>45750</v>
      </c>
      <c r="F3130" s="43">
        <v>45816</v>
      </c>
      <c r="G3130" s="96" t="s">
        <v>90</v>
      </c>
      <c r="H3130" s="96" t="s">
        <v>6835</v>
      </c>
      <c r="I3130" s="96" t="s">
        <v>228</v>
      </c>
      <c r="J3130" s="96" t="s">
        <v>176</v>
      </c>
      <c r="K3130" s="96" t="s">
        <v>217</v>
      </c>
      <c r="L3130">
        <v>66</v>
      </c>
      <c r="M3130" t="s">
        <v>28</v>
      </c>
      <c r="N3130" t="s">
        <v>185</v>
      </c>
      <c r="O3130" t="s">
        <v>151</v>
      </c>
      <c r="P3130">
        <v>2025</v>
      </c>
    </row>
    <row r="3131" spans="1:16" x14ac:dyDescent="0.25">
      <c r="A3131" s="96" t="s">
        <v>2</v>
      </c>
      <c r="B3131" s="96" t="s">
        <v>269</v>
      </c>
      <c r="C3131" s="96" t="s">
        <v>6836</v>
      </c>
      <c r="D3131" s="96" t="s">
        <v>215</v>
      </c>
      <c r="E3131" s="43">
        <v>46031</v>
      </c>
      <c r="F3131" s="43">
        <v>46127</v>
      </c>
      <c r="G3131" s="96" t="s">
        <v>92</v>
      </c>
      <c r="H3131" s="96" t="s">
        <v>6837</v>
      </c>
      <c r="I3131" s="96" t="s">
        <v>228</v>
      </c>
      <c r="J3131" s="96" t="s">
        <v>199</v>
      </c>
      <c r="K3131" s="96" t="s">
        <v>200</v>
      </c>
      <c r="L3131">
        <v>96</v>
      </c>
      <c r="M3131" t="s">
        <v>28</v>
      </c>
      <c r="N3131" t="s">
        <v>29</v>
      </c>
      <c r="O3131" t="s">
        <v>152</v>
      </c>
      <c r="P3131">
        <v>2026</v>
      </c>
    </row>
    <row r="3132" spans="1:16" hidden="1" x14ac:dyDescent="0.25">
      <c r="A3132" s="96" t="s">
        <v>175</v>
      </c>
      <c r="B3132" s="96" t="s">
        <v>240</v>
      </c>
      <c r="C3132" s="96" t="s">
        <v>3015</v>
      </c>
      <c r="D3132" s="96" t="s">
        <v>208</v>
      </c>
      <c r="E3132" s="43">
        <v>45848</v>
      </c>
      <c r="F3132" s="43">
        <v>45959</v>
      </c>
      <c r="G3132" s="96" t="s">
        <v>92</v>
      </c>
      <c r="H3132" s="96" t="s">
        <v>6838</v>
      </c>
      <c r="I3132" s="96" t="s">
        <v>228</v>
      </c>
      <c r="J3132" s="96" t="s">
        <v>199</v>
      </c>
      <c r="K3132" s="96" t="s">
        <v>157</v>
      </c>
      <c r="L3132">
        <v>111</v>
      </c>
      <c r="M3132" t="s">
        <v>28</v>
      </c>
      <c r="N3132" t="s">
        <v>187</v>
      </c>
      <c r="O3132" t="s">
        <v>149</v>
      </c>
      <c r="P3132">
        <v>2025</v>
      </c>
    </row>
    <row r="3133" spans="1:16" hidden="1" x14ac:dyDescent="0.25">
      <c r="A3133" s="96" t="s">
        <v>2</v>
      </c>
      <c r="B3133" s="96" t="s">
        <v>238</v>
      </c>
      <c r="C3133" s="96" t="s">
        <v>3016</v>
      </c>
      <c r="D3133" s="96" t="s">
        <v>203</v>
      </c>
      <c r="E3133" s="43">
        <v>45904</v>
      </c>
      <c r="F3133" s="43">
        <v>45963</v>
      </c>
      <c r="G3133" s="96" t="s">
        <v>90</v>
      </c>
      <c r="H3133" s="96" t="s">
        <v>6839</v>
      </c>
      <c r="I3133" s="96" t="s">
        <v>228</v>
      </c>
      <c r="J3133" s="96" t="s">
        <v>199</v>
      </c>
      <c r="K3133" s="96" t="s">
        <v>200</v>
      </c>
      <c r="L3133">
        <v>59</v>
      </c>
      <c r="M3133" t="s">
        <v>24</v>
      </c>
      <c r="N3133" t="s">
        <v>12</v>
      </c>
      <c r="O3133" t="s">
        <v>170</v>
      </c>
      <c r="P3133">
        <v>2025</v>
      </c>
    </row>
    <row r="3134" spans="1:16" hidden="1" x14ac:dyDescent="0.25">
      <c r="A3134" s="96" t="s">
        <v>2</v>
      </c>
      <c r="B3134" s="96" t="s">
        <v>213</v>
      </c>
      <c r="C3134" s="96" t="s">
        <v>3017</v>
      </c>
      <c r="D3134" s="96" t="s">
        <v>40</v>
      </c>
      <c r="E3134" s="43">
        <v>45982</v>
      </c>
      <c r="F3134" s="43">
        <v>46083</v>
      </c>
      <c r="G3134" s="96" t="s">
        <v>92</v>
      </c>
      <c r="H3134" s="96" t="s">
        <v>6840</v>
      </c>
      <c r="I3134" s="96" t="s">
        <v>9</v>
      </c>
      <c r="J3134" s="96" t="s">
        <v>93</v>
      </c>
      <c r="K3134" s="96" t="s">
        <v>233</v>
      </c>
      <c r="L3134">
        <v>101</v>
      </c>
      <c r="M3134" t="s">
        <v>28</v>
      </c>
      <c r="N3134" t="s">
        <v>20</v>
      </c>
      <c r="O3134" t="s">
        <v>149</v>
      </c>
      <c r="P3134">
        <v>2025</v>
      </c>
    </row>
    <row r="3135" spans="1:16" x14ac:dyDescent="0.25">
      <c r="A3135" s="96" t="s">
        <v>2</v>
      </c>
      <c r="B3135" s="96" t="s">
        <v>302</v>
      </c>
      <c r="C3135" s="96" t="s">
        <v>3018</v>
      </c>
      <c r="D3135" s="96" t="s">
        <v>237</v>
      </c>
      <c r="E3135" s="43">
        <v>46103</v>
      </c>
      <c r="F3135" s="43">
        <v>46149</v>
      </c>
      <c r="G3135" s="96" t="s">
        <v>95</v>
      </c>
      <c r="H3135" s="96" t="s">
        <v>6841</v>
      </c>
      <c r="I3135" s="96" t="s">
        <v>204</v>
      </c>
      <c r="J3135" s="96" t="s">
        <v>97</v>
      </c>
      <c r="K3135" s="96" t="s">
        <v>195</v>
      </c>
      <c r="L3135">
        <v>46</v>
      </c>
      <c r="M3135" t="s">
        <v>24</v>
      </c>
      <c r="N3135" t="s">
        <v>35</v>
      </c>
      <c r="O3135" t="s">
        <v>150</v>
      </c>
      <c r="P3135">
        <v>2026</v>
      </c>
    </row>
    <row r="3136" spans="1:16" x14ac:dyDescent="0.25">
      <c r="A3136" s="96" t="s">
        <v>2</v>
      </c>
      <c r="B3136" s="96" t="s">
        <v>201</v>
      </c>
      <c r="C3136" s="96" t="s">
        <v>3019</v>
      </c>
      <c r="D3136" s="96" t="s">
        <v>215</v>
      </c>
      <c r="E3136" s="43">
        <v>46102</v>
      </c>
      <c r="F3136" s="43">
        <v>46146</v>
      </c>
      <c r="G3136" s="96" t="s">
        <v>92</v>
      </c>
      <c r="H3136" s="96" t="s">
        <v>6842</v>
      </c>
      <c r="I3136" s="96" t="s">
        <v>194</v>
      </c>
      <c r="J3136" s="96" t="s">
        <v>91</v>
      </c>
      <c r="K3136" s="96" t="s">
        <v>200</v>
      </c>
      <c r="L3136">
        <v>44</v>
      </c>
      <c r="M3136" t="s">
        <v>24</v>
      </c>
      <c r="N3136" t="s">
        <v>35</v>
      </c>
      <c r="O3136" t="s">
        <v>170</v>
      </c>
      <c r="P3136">
        <v>2026</v>
      </c>
    </row>
    <row r="3137" spans="1:16" hidden="1" x14ac:dyDescent="0.25">
      <c r="A3137" s="96" t="s">
        <v>2</v>
      </c>
      <c r="B3137" s="96" t="s">
        <v>206</v>
      </c>
      <c r="C3137" s="96" t="s">
        <v>6843</v>
      </c>
      <c r="D3137" s="96" t="s">
        <v>14</v>
      </c>
      <c r="E3137" s="43">
        <v>45688</v>
      </c>
      <c r="F3137" s="43">
        <v>45773</v>
      </c>
      <c r="G3137" s="96" t="s">
        <v>90</v>
      </c>
      <c r="H3137" s="96" t="s">
        <v>6844</v>
      </c>
      <c r="I3137" s="96" t="s">
        <v>209</v>
      </c>
      <c r="J3137" s="96" t="s">
        <v>91</v>
      </c>
      <c r="K3137" s="96" t="s">
        <v>200</v>
      </c>
      <c r="L3137">
        <v>85</v>
      </c>
      <c r="M3137" t="s">
        <v>28</v>
      </c>
      <c r="N3137" t="s">
        <v>181</v>
      </c>
      <c r="O3137" t="s">
        <v>152</v>
      </c>
      <c r="P3137">
        <v>2025</v>
      </c>
    </row>
    <row r="3138" spans="1:16" hidden="1" x14ac:dyDescent="0.25">
      <c r="A3138" s="96" t="s">
        <v>2</v>
      </c>
      <c r="B3138" s="96" t="s">
        <v>211</v>
      </c>
      <c r="C3138" s="96" t="s">
        <v>3020</v>
      </c>
      <c r="D3138" s="96" t="s">
        <v>40</v>
      </c>
      <c r="E3138" s="43">
        <v>45713</v>
      </c>
      <c r="F3138" s="43">
        <v>45770</v>
      </c>
      <c r="G3138" s="96" t="s">
        <v>92</v>
      </c>
      <c r="H3138" s="96" t="s">
        <v>6845</v>
      </c>
      <c r="I3138" s="96" t="s">
        <v>194</v>
      </c>
      <c r="J3138" s="96" t="s">
        <v>91</v>
      </c>
      <c r="K3138" s="96" t="s">
        <v>246</v>
      </c>
      <c r="L3138">
        <v>57</v>
      </c>
      <c r="M3138" t="s">
        <v>24</v>
      </c>
      <c r="N3138" t="s">
        <v>188</v>
      </c>
      <c r="O3138" t="s">
        <v>170</v>
      </c>
      <c r="P3138">
        <v>2025</v>
      </c>
    </row>
    <row r="3139" spans="1:16" hidden="1" x14ac:dyDescent="0.25">
      <c r="A3139" s="96" t="s">
        <v>2</v>
      </c>
      <c r="B3139" s="96" t="s">
        <v>238</v>
      </c>
      <c r="C3139" s="96" t="s">
        <v>6846</v>
      </c>
      <c r="D3139" s="96" t="s">
        <v>208</v>
      </c>
      <c r="E3139" s="43">
        <v>45832</v>
      </c>
      <c r="F3139" s="43">
        <v>45918</v>
      </c>
      <c r="G3139" s="96" t="s">
        <v>92</v>
      </c>
      <c r="H3139" s="96" t="s">
        <v>6847</v>
      </c>
      <c r="I3139" s="96" t="s">
        <v>204</v>
      </c>
      <c r="J3139" s="96" t="s">
        <v>172</v>
      </c>
      <c r="K3139" s="96" t="s">
        <v>157</v>
      </c>
      <c r="L3139">
        <v>86</v>
      </c>
      <c r="M3139" t="s">
        <v>28</v>
      </c>
      <c r="N3139" t="s">
        <v>184</v>
      </c>
      <c r="O3139" t="s">
        <v>170</v>
      </c>
      <c r="P3139">
        <v>2025</v>
      </c>
    </row>
    <row r="3140" spans="1:16" hidden="1" x14ac:dyDescent="0.25">
      <c r="A3140" s="96" t="s">
        <v>2</v>
      </c>
      <c r="B3140" s="96" t="s">
        <v>251</v>
      </c>
      <c r="C3140" s="96" t="s">
        <v>3022</v>
      </c>
      <c r="D3140" s="96" t="s">
        <v>14</v>
      </c>
      <c r="E3140" s="43">
        <v>45886</v>
      </c>
      <c r="F3140" s="43">
        <v>45922</v>
      </c>
      <c r="G3140" s="96" t="s">
        <v>92</v>
      </c>
      <c r="H3140" s="96" t="s">
        <v>6848</v>
      </c>
      <c r="I3140" s="96" t="s">
        <v>209</v>
      </c>
      <c r="J3140" s="96" t="s">
        <v>216</v>
      </c>
      <c r="K3140" s="96" t="s">
        <v>200</v>
      </c>
      <c r="L3140">
        <v>36</v>
      </c>
      <c r="M3140" t="s">
        <v>24</v>
      </c>
      <c r="N3140" t="s">
        <v>8</v>
      </c>
      <c r="O3140" t="s">
        <v>170</v>
      </c>
      <c r="P3140">
        <v>2025</v>
      </c>
    </row>
    <row r="3141" spans="1:16" hidden="1" x14ac:dyDescent="0.25">
      <c r="A3141" s="96" t="s">
        <v>2</v>
      </c>
      <c r="B3141" s="96" t="s">
        <v>221</v>
      </c>
      <c r="C3141" s="96" t="s">
        <v>3023</v>
      </c>
      <c r="D3141" s="96" t="s">
        <v>40</v>
      </c>
      <c r="E3141" s="43">
        <v>45882</v>
      </c>
      <c r="F3141" s="43">
        <v>45945</v>
      </c>
      <c r="G3141" s="96" t="s">
        <v>92</v>
      </c>
      <c r="H3141" s="96" t="s">
        <v>2925</v>
      </c>
      <c r="I3141" s="96" t="s">
        <v>225</v>
      </c>
      <c r="J3141" s="96" t="s">
        <v>174</v>
      </c>
      <c r="K3141" s="96" t="s">
        <v>233</v>
      </c>
      <c r="L3141">
        <v>63</v>
      </c>
      <c r="M3141" t="s">
        <v>28</v>
      </c>
      <c r="N3141" t="s">
        <v>8</v>
      </c>
      <c r="O3141" t="s">
        <v>170</v>
      </c>
      <c r="P3141">
        <v>2025</v>
      </c>
    </row>
    <row r="3142" spans="1:16" hidden="1" x14ac:dyDescent="0.25">
      <c r="A3142" s="96" t="s">
        <v>2</v>
      </c>
      <c r="B3142" s="96" t="s">
        <v>253</v>
      </c>
      <c r="C3142" s="96" t="s">
        <v>3024</v>
      </c>
      <c r="D3142" s="96" t="s">
        <v>208</v>
      </c>
      <c r="E3142" s="43">
        <v>45879</v>
      </c>
      <c r="F3142" s="43">
        <v>45910</v>
      </c>
      <c r="G3142" s="96" t="s">
        <v>92</v>
      </c>
      <c r="H3142" s="96" t="s">
        <v>6849</v>
      </c>
      <c r="I3142" s="96" t="s">
        <v>9</v>
      </c>
      <c r="J3142" s="96" t="s">
        <v>176</v>
      </c>
      <c r="K3142" s="96" t="s">
        <v>230</v>
      </c>
      <c r="L3142">
        <v>31</v>
      </c>
      <c r="M3142" t="s">
        <v>24</v>
      </c>
      <c r="N3142" t="s">
        <v>8</v>
      </c>
      <c r="O3142" t="s">
        <v>152</v>
      </c>
      <c r="P3142">
        <v>2025</v>
      </c>
    </row>
    <row r="3143" spans="1:16" hidden="1" x14ac:dyDescent="0.25">
      <c r="A3143" s="96" t="s">
        <v>2</v>
      </c>
      <c r="B3143" s="96" t="s">
        <v>264</v>
      </c>
      <c r="C3143" s="96" t="s">
        <v>3025</v>
      </c>
      <c r="D3143" s="96" t="s">
        <v>34</v>
      </c>
      <c r="E3143" s="43">
        <v>45718</v>
      </c>
      <c r="F3143" s="43">
        <v>45757</v>
      </c>
      <c r="G3143" s="96" t="s">
        <v>92</v>
      </c>
      <c r="H3143" s="96" t="s">
        <v>6850</v>
      </c>
      <c r="I3143" s="96" t="s">
        <v>9</v>
      </c>
      <c r="J3143" s="96" t="s">
        <v>199</v>
      </c>
      <c r="K3143" s="96" t="s">
        <v>200</v>
      </c>
      <c r="L3143">
        <v>39</v>
      </c>
      <c r="M3143" t="s">
        <v>24</v>
      </c>
      <c r="N3143" t="s">
        <v>186</v>
      </c>
      <c r="O3143" t="s">
        <v>152</v>
      </c>
      <c r="P3143">
        <v>2025</v>
      </c>
    </row>
    <row r="3144" spans="1:16" hidden="1" x14ac:dyDescent="0.25">
      <c r="A3144" s="96" t="s">
        <v>2</v>
      </c>
      <c r="B3144" s="96" t="s">
        <v>257</v>
      </c>
      <c r="C3144" s="96" t="s">
        <v>6851</v>
      </c>
      <c r="D3144" s="96" t="s">
        <v>208</v>
      </c>
      <c r="E3144" s="43">
        <v>45706</v>
      </c>
      <c r="F3144" s="43">
        <v>45742</v>
      </c>
      <c r="G3144" s="96" t="s">
        <v>95</v>
      </c>
      <c r="H3144" s="96" t="s">
        <v>2928</v>
      </c>
      <c r="I3144" s="96" t="s">
        <v>225</v>
      </c>
      <c r="J3144" s="96" t="s">
        <v>91</v>
      </c>
      <c r="K3144" s="96" t="s">
        <v>246</v>
      </c>
      <c r="L3144">
        <v>36</v>
      </c>
      <c r="M3144" t="s">
        <v>24</v>
      </c>
      <c r="N3144" t="s">
        <v>188</v>
      </c>
      <c r="O3144" t="s">
        <v>151</v>
      </c>
      <c r="P3144">
        <v>2025</v>
      </c>
    </row>
    <row r="3145" spans="1:16" hidden="1" x14ac:dyDescent="0.25">
      <c r="A3145" s="96" t="s">
        <v>2</v>
      </c>
      <c r="B3145" s="96" t="s">
        <v>240</v>
      </c>
      <c r="C3145" s="96" t="s">
        <v>3026</v>
      </c>
      <c r="D3145" s="96" t="s">
        <v>14</v>
      </c>
      <c r="E3145" s="43">
        <v>45923</v>
      </c>
      <c r="F3145" s="43">
        <v>45958</v>
      </c>
      <c r="G3145" s="96" t="s">
        <v>92</v>
      </c>
      <c r="H3145" s="96" t="s">
        <v>2930</v>
      </c>
      <c r="I3145" s="96" t="s">
        <v>9</v>
      </c>
      <c r="J3145" s="96" t="s">
        <v>172</v>
      </c>
      <c r="K3145" s="96" t="s">
        <v>246</v>
      </c>
      <c r="L3145">
        <v>35</v>
      </c>
      <c r="M3145" t="s">
        <v>24</v>
      </c>
      <c r="N3145" t="s">
        <v>12</v>
      </c>
      <c r="O3145" t="s">
        <v>149</v>
      </c>
      <c r="P3145">
        <v>2025</v>
      </c>
    </row>
    <row r="3146" spans="1:16" hidden="1" x14ac:dyDescent="0.25">
      <c r="A3146" s="96" t="s">
        <v>2</v>
      </c>
      <c r="B3146" s="96" t="s">
        <v>257</v>
      </c>
      <c r="C3146" s="96" t="s">
        <v>3027</v>
      </c>
      <c r="D3146" s="96" t="s">
        <v>192</v>
      </c>
      <c r="E3146" s="43">
        <v>45754</v>
      </c>
      <c r="F3146" s="43">
        <v>45824</v>
      </c>
      <c r="G3146" s="96" t="s">
        <v>92</v>
      </c>
      <c r="H3146" s="96" t="s">
        <v>2931</v>
      </c>
      <c r="I3146" s="96" t="s">
        <v>194</v>
      </c>
      <c r="J3146" s="96" t="s">
        <v>283</v>
      </c>
      <c r="K3146" s="96" t="s">
        <v>233</v>
      </c>
      <c r="L3146">
        <v>70</v>
      </c>
      <c r="M3146" t="s">
        <v>28</v>
      </c>
      <c r="N3146" t="s">
        <v>185</v>
      </c>
      <c r="O3146" t="s">
        <v>151</v>
      </c>
      <c r="P3146">
        <v>2025</v>
      </c>
    </row>
    <row r="3147" spans="1:16" x14ac:dyDescent="0.25">
      <c r="A3147" s="96" t="s">
        <v>21</v>
      </c>
      <c r="B3147" s="96" t="s">
        <v>218</v>
      </c>
      <c r="C3147" s="96" t="s">
        <v>3028</v>
      </c>
      <c r="D3147" s="96" t="s">
        <v>203</v>
      </c>
      <c r="E3147" s="43">
        <v>46035</v>
      </c>
      <c r="F3147" s="43">
        <v>46104</v>
      </c>
      <c r="G3147" s="96" t="s">
        <v>92</v>
      </c>
      <c r="H3147" s="96" t="s">
        <v>2933</v>
      </c>
      <c r="I3147" s="96" t="s">
        <v>204</v>
      </c>
      <c r="J3147" s="96" t="s">
        <v>169</v>
      </c>
      <c r="K3147" s="96" t="s">
        <v>210</v>
      </c>
      <c r="L3147">
        <v>69</v>
      </c>
      <c r="M3147" t="s">
        <v>28</v>
      </c>
      <c r="N3147" t="s">
        <v>29</v>
      </c>
      <c r="O3147" t="s">
        <v>152</v>
      </c>
      <c r="P3147">
        <v>2026</v>
      </c>
    </row>
    <row r="3148" spans="1:16" x14ac:dyDescent="0.25">
      <c r="A3148" s="96" t="s">
        <v>2</v>
      </c>
      <c r="B3148" s="96" t="s">
        <v>219</v>
      </c>
      <c r="C3148" s="96" t="s">
        <v>6852</v>
      </c>
      <c r="D3148" s="96" t="s">
        <v>40</v>
      </c>
      <c r="E3148" s="43">
        <v>46066</v>
      </c>
      <c r="F3148" s="43">
        <v>46092</v>
      </c>
      <c r="G3148" s="96" t="s">
        <v>92</v>
      </c>
      <c r="H3148" s="96" t="s">
        <v>2935</v>
      </c>
      <c r="I3148" s="96" t="s">
        <v>204</v>
      </c>
      <c r="J3148" s="96" t="s">
        <v>174</v>
      </c>
      <c r="K3148" s="96" t="s">
        <v>195</v>
      </c>
      <c r="L3148">
        <v>26</v>
      </c>
      <c r="M3148" t="s">
        <v>19</v>
      </c>
      <c r="N3148" t="s">
        <v>32</v>
      </c>
      <c r="O3148" t="s">
        <v>149</v>
      </c>
      <c r="P3148">
        <v>2026</v>
      </c>
    </row>
    <row r="3149" spans="1:16" x14ac:dyDescent="0.25">
      <c r="A3149" s="96" t="s">
        <v>2</v>
      </c>
      <c r="B3149" s="96" t="s">
        <v>249</v>
      </c>
      <c r="C3149" s="96" t="s">
        <v>6853</v>
      </c>
      <c r="D3149" s="96" t="s">
        <v>10</v>
      </c>
      <c r="E3149" s="43">
        <v>46079</v>
      </c>
      <c r="F3149" s="43">
        <v>46148</v>
      </c>
      <c r="G3149" s="96" t="s">
        <v>90</v>
      </c>
      <c r="H3149" s="96" t="s">
        <v>6854</v>
      </c>
      <c r="I3149" s="96" t="s">
        <v>204</v>
      </c>
      <c r="J3149" s="96" t="s">
        <v>177</v>
      </c>
      <c r="K3149" s="96" t="s">
        <v>230</v>
      </c>
      <c r="L3149">
        <v>69</v>
      </c>
      <c r="M3149" t="s">
        <v>28</v>
      </c>
      <c r="N3149" t="s">
        <v>32</v>
      </c>
      <c r="O3149" t="s">
        <v>170</v>
      </c>
      <c r="P3149">
        <v>2026</v>
      </c>
    </row>
    <row r="3150" spans="1:16" hidden="1" x14ac:dyDescent="0.25">
      <c r="A3150" s="96" t="s">
        <v>2</v>
      </c>
      <c r="B3150" s="96" t="s">
        <v>206</v>
      </c>
      <c r="C3150" s="96" t="s">
        <v>3029</v>
      </c>
      <c r="D3150" s="96" t="s">
        <v>40</v>
      </c>
      <c r="E3150" s="43">
        <v>45840</v>
      </c>
      <c r="F3150" s="43">
        <v>45867</v>
      </c>
      <c r="G3150" s="96" t="s">
        <v>90</v>
      </c>
      <c r="H3150" s="96" t="s">
        <v>6855</v>
      </c>
      <c r="I3150" s="96" t="s">
        <v>228</v>
      </c>
      <c r="J3150" s="96" t="s">
        <v>91</v>
      </c>
      <c r="K3150" s="96" t="s">
        <v>195</v>
      </c>
      <c r="L3150">
        <v>27</v>
      </c>
      <c r="M3150" t="s">
        <v>19</v>
      </c>
      <c r="N3150" t="s">
        <v>187</v>
      </c>
      <c r="O3150" t="s">
        <v>152</v>
      </c>
      <c r="P3150">
        <v>2025</v>
      </c>
    </row>
    <row r="3151" spans="1:16" x14ac:dyDescent="0.25">
      <c r="A3151" s="96" t="s">
        <v>21</v>
      </c>
      <c r="B3151" s="96" t="s">
        <v>274</v>
      </c>
      <c r="C3151" s="96" t="s">
        <v>3030</v>
      </c>
      <c r="D3151" s="96" t="s">
        <v>215</v>
      </c>
      <c r="E3151" s="43">
        <v>46111</v>
      </c>
      <c r="F3151" s="43">
        <v>46150</v>
      </c>
      <c r="G3151" s="96" t="s">
        <v>90</v>
      </c>
      <c r="H3151" s="96" t="s">
        <v>6856</v>
      </c>
      <c r="I3151" s="96" t="s">
        <v>209</v>
      </c>
      <c r="J3151" s="96" t="s">
        <v>97</v>
      </c>
      <c r="K3151" s="96" t="s">
        <v>217</v>
      </c>
      <c r="L3151">
        <v>39</v>
      </c>
      <c r="M3151" t="s">
        <v>24</v>
      </c>
      <c r="N3151" t="s">
        <v>35</v>
      </c>
      <c r="O3151" t="s">
        <v>170</v>
      </c>
      <c r="P3151">
        <v>2026</v>
      </c>
    </row>
    <row r="3152" spans="1:16" hidden="1" x14ac:dyDescent="0.25">
      <c r="A3152" s="96" t="s">
        <v>21</v>
      </c>
      <c r="B3152" s="96" t="s">
        <v>322</v>
      </c>
      <c r="C3152" s="96" t="s">
        <v>3031</v>
      </c>
      <c r="D3152" s="96" t="s">
        <v>192</v>
      </c>
      <c r="E3152" s="43">
        <v>45703</v>
      </c>
      <c r="F3152" s="43">
        <v>45737</v>
      </c>
      <c r="G3152" s="96" t="s">
        <v>92</v>
      </c>
      <c r="H3152" s="96" t="s">
        <v>6857</v>
      </c>
      <c r="I3152" s="96" t="s">
        <v>228</v>
      </c>
      <c r="J3152" s="96" t="s">
        <v>165</v>
      </c>
      <c r="K3152" s="96" t="s">
        <v>205</v>
      </c>
      <c r="L3152">
        <v>34</v>
      </c>
      <c r="M3152" t="s">
        <v>24</v>
      </c>
      <c r="N3152" t="s">
        <v>188</v>
      </c>
      <c r="O3152" t="s">
        <v>150</v>
      </c>
      <c r="P3152">
        <v>2025</v>
      </c>
    </row>
    <row r="3153" spans="1:16" hidden="1" x14ac:dyDescent="0.25">
      <c r="A3153" s="96" t="s">
        <v>2</v>
      </c>
      <c r="B3153" s="96" t="s">
        <v>211</v>
      </c>
      <c r="C3153" s="96" t="s">
        <v>3032</v>
      </c>
      <c r="D3153" s="96" t="s">
        <v>10</v>
      </c>
      <c r="E3153" s="43">
        <v>45872</v>
      </c>
      <c r="F3153" s="43">
        <v>45912</v>
      </c>
      <c r="G3153" s="96" t="s">
        <v>95</v>
      </c>
      <c r="H3153" s="96" t="s">
        <v>6858</v>
      </c>
      <c r="I3153" s="96" t="s">
        <v>9</v>
      </c>
      <c r="J3153" s="96" t="s">
        <v>283</v>
      </c>
      <c r="K3153" s="96" t="s">
        <v>210</v>
      </c>
      <c r="L3153">
        <v>40</v>
      </c>
      <c r="M3153" t="s">
        <v>24</v>
      </c>
      <c r="N3153" t="s">
        <v>8</v>
      </c>
      <c r="O3153" t="s">
        <v>170</v>
      </c>
      <c r="P3153">
        <v>2025</v>
      </c>
    </row>
    <row r="3154" spans="1:16" hidden="1" x14ac:dyDescent="0.25">
      <c r="A3154" s="96" t="s">
        <v>2</v>
      </c>
      <c r="B3154" s="96" t="s">
        <v>190</v>
      </c>
      <c r="C3154" s="96" t="s">
        <v>3033</v>
      </c>
      <c r="D3154" s="96" t="s">
        <v>192</v>
      </c>
      <c r="E3154" s="43">
        <v>45988</v>
      </c>
      <c r="F3154" s="43">
        <v>46062</v>
      </c>
      <c r="G3154" s="96" t="s">
        <v>92</v>
      </c>
      <c r="H3154" s="96" t="s">
        <v>2937</v>
      </c>
      <c r="I3154" s="96" t="s">
        <v>228</v>
      </c>
      <c r="J3154" s="96" t="s">
        <v>91</v>
      </c>
      <c r="K3154" s="96" t="s">
        <v>157</v>
      </c>
      <c r="L3154">
        <v>74</v>
      </c>
      <c r="M3154" t="s">
        <v>28</v>
      </c>
      <c r="N3154" t="s">
        <v>20</v>
      </c>
      <c r="O3154" t="s">
        <v>150</v>
      </c>
      <c r="P3154">
        <v>2025</v>
      </c>
    </row>
    <row r="3155" spans="1:16" hidden="1" x14ac:dyDescent="0.25">
      <c r="A3155" s="96" t="s">
        <v>2</v>
      </c>
      <c r="B3155" s="96" t="s">
        <v>238</v>
      </c>
      <c r="C3155" s="96" t="s">
        <v>3034</v>
      </c>
      <c r="D3155" s="96" t="s">
        <v>34</v>
      </c>
      <c r="E3155" s="43">
        <v>45821</v>
      </c>
      <c r="F3155" s="43">
        <v>45940</v>
      </c>
      <c r="G3155" s="96" t="s">
        <v>90</v>
      </c>
      <c r="H3155" s="96" t="s">
        <v>6859</v>
      </c>
      <c r="I3155" s="96" t="s">
        <v>204</v>
      </c>
      <c r="J3155" s="96" t="s">
        <v>165</v>
      </c>
      <c r="K3155" s="96" t="s">
        <v>246</v>
      </c>
      <c r="L3155">
        <v>119</v>
      </c>
      <c r="M3155" t="s">
        <v>28</v>
      </c>
      <c r="N3155" t="s">
        <v>184</v>
      </c>
      <c r="O3155" t="s">
        <v>170</v>
      </c>
      <c r="P3155">
        <v>2025</v>
      </c>
    </row>
    <row r="3156" spans="1:16" x14ac:dyDescent="0.25">
      <c r="A3156" s="96" t="s">
        <v>2</v>
      </c>
      <c r="B3156" s="96" t="s">
        <v>288</v>
      </c>
      <c r="C3156" s="96" t="s">
        <v>3035</v>
      </c>
      <c r="D3156" s="96" t="s">
        <v>10</v>
      </c>
      <c r="E3156" s="43">
        <v>46108</v>
      </c>
      <c r="F3156" s="43">
        <v>46150</v>
      </c>
      <c r="G3156" s="96" t="s">
        <v>92</v>
      </c>
      <c r="H3156" s="96" t="s">
        <v>6860</v>
      </c>
      <c r="I3156" s="96" t="s">
        <v>225</v>
      </c>
      <c r="J3156" s="96" t="s">
        <v>165</v>
      </c>
      <c r="K3156" s="96" t="s">
        <v>195</v>
      </c>
      <c r="L3156">
        <v>42</v>
      </c>
      <c r="M3156" t="s">
        <v>24</v>
      </c>
      <c r="N3156" t="s">
        <v>35</v>
      </c>
      <c r="O3156" t="s">
        <v>170</v>
      </c>
      <c r="P3156">
        <v>2026</v>
      </c>
    </row>
    <row r="3157" spans="1:16" hidden="1" x14ac:dyDescent="0.25">
      <c r="A3157" s="96" t="s">
        <v>2</v>
      </c>
      <c r="B3157" s="96" t="s">
        <v>257</v>
      </c>
      <c r="C3157" s="96" t="s">
        <v>3036</v>
      </c>
      <c r="D3157" s="96" t="s">
        <v>40</v>
      </c>
      <c r="E3157" s="43">
        <v>45776</v>
      </c>
      <c r="F3157" s="43">
        <v>45856</v>
      </c>
      <c r="G3157" s="96" t="s">
        <v>92</v>
      </c>
      <c r="H3157" s="96" t="s">
        <v>6861</v>
      </c>
      <c r="I3157" s="96" t="s">
        <v>225</v>
      </c>
      <c r="J3157" s="96" t="s">
        <v>177</v>
      </c>
      <c r="K3157" s="96" t="s">
        <v>205</v>
      </c>
      <c r="L3157">
        <v>80</v>
      </c>
      <c r="M3157" t="s">
        <v>28</v>
      </c>
      <c r="N3157" t="s">
        <v>185</v>
      </c>
      <c r="O3157" t="s">
        <v>151</v>
      </c>
      <c r="P3157">
        <v>2025</v>
      </c>
    </row>
    <row r="3158" spans="1:16" x14ac:dyDescent="0.25">
      <c r="A3158" s="96" t="s">
        <v>2</v>
      </c>
      <c r="B3158" s="96" t="s">
        <v>374</v>
      </c>
      <c r="C3158" s="96" t="s">
        <v>6862</v>
      </c>
      <c r="D3158" s="96" t="s">
        <v>237</v>
      </c>
      <c r="E3158" s="43">
        <v>46086</v>
      </c>
      <c r="F3158" s="43">
        <v>46149</v>
      </c>
      <c r="G3158" s="96" t="s">
        <v>92</v>
      </c>
      <c r="H3158" s="96" t="s">
        <v>6863</v>
      </c>
      <c r="I3158" s="96" t="s">
        <v>194</v>
      </c>
      <c r="J3158" s="96" t="s">
        <v>172</v>
      </c>
      <c r="K3158" s="96" t="s">
        <v>217</v>
      </c>
      <c r="L3158">
        <v>63</v>
      </c>
      <c r="M3158" t="s">
        <v>28</v>
      </c>
      <c r="N3158" t="s">
        <v>35</v>
      </c>
      <c r="O3158" t="s">
        <v>150</v>
      </c>
      <c r="P3158">
        <v>2026</v>
      </c>
    </row>
    <row r="3159" spans="1:16" x14ac:dyDescent="0.25">
      <c r="A3159" s="96" t="s">
        <v>171</v>
      </c>
      <c r="B3159" s="96" t="s">
        <v>226</v>
      </c>
      <c r="C3159" s="96" t="s">
        <v>6864</v>
      </c>
      <c r="D3159" s="96" t="s">
        <v>14</v>
      </c>
      <c r="E3159" s="43">
        <v>46061</v>
      </c>
      <c r="F3159" s="43">
        <v>46149</v>
      </c>
      <c r="G3159" s="96" t="s">
        <v>92</v>
      </c>
      <c r="H3159" s="96" t="s">
        <v>6865</v>
      </c>
      <c r="I3159" s="96" t="s">
        <v>9</v>
      </c>
      <c r="J3159" s="96" t="s">
        <v>98</v>
      </c>
      <c r="K3159" s="96" t="s">
        <v>195</v>
      </c>
      <c r="L3159">
        <v>88</v>
      </c>
      <c r="M3159" t="s">
        <v>28</v>
      </c>
      <c r="N3159" t="s">
        <v>32</v>
      </c>
      <c r="O3159" t="s">
        <v>151</v>
      </c>
      <c r="P3159">
        <v>2026</v>
      </c>
    </row>
    <row r="3160" spans="1:16" hidden="1" x14ac:dyDescent="0.25">
      <c r="A3160" s="96" t="s">
        <v>2</v>
      </c>
      <c r="B3160" s="96" t="s">
        <v>322</v>
      </c>
      <c r="C3160" s="96" t="s">
        <v>6866</v>
      </c>
      <c r="D3160" s="96" t="s">
        <v>215</v>
      </c>
      <c r="E3160" s="43">
        <v>45697</v>
      </c>
      <c r="F3160" s="43">
        <v>45702</v>
      </c>
      <c r="G3160" s="96" t="s">
        <v>90</v>
      </c>
      <c r="H3160" s="96" t="s">
        <v>6867</v>
      </c>
      <c r="I3160" s="96" t="s">
        <v>228</v>
      </c>
      <c r="J3160" s="96" t="s">
        <v>174</v>
      </c>
      <c r="K3160" s="96" t="s">
        <v>200</v>
      </c>
      <c r="L3160">
        <v>5</v>
      </c>
      <c r="M3160" t="s">
        <v>11</v>
      </c>
      <c r="N3160" t="s">
        <v>188</v>
      </c>
      <c r="O3160" t="s">
        <v>150</v>
      </c>
      <c r="P3160">
        <v>2025</v>
      </c>
    </row>
    <row r="3161" spans="1:16" hidden="1" x14ac:dyDescent="0.25">
      <c r="A3161" s="96" t="s">
        <v>2</v>
      </c>
      <c r="B3161" s="96" t="s">
        <v>247</v>
      </c>
      <c r="C3161" s="96" t="s">
        <v>3037</v>
      </c>
      <c r="D3161" s="96" t="s">
        <v>40</v>
      </c>
      <c r="E3161" s="43">
        <v>45776</v>
      </c>
      <c r="F3161" s="43">
        <v>45857</v>
      </c>
      <c r="G3161" s="96" t="s">
        <v>90</v>
      </c>
      <c r="H3161" s="96" t="s">
        <v>6868</v>
      </c>
      <c r="I3161" s="96" t="s">
        <v>204</v>
      </c>
      <c r="J3161" s="96" t="s">
        <v>91</v>
      </c>
      <c r="K3161" s="96" t="s">
        <v>246</v>
      </c>
      <c r="L3161">
        <v>81</v>
      </c>
      <c r="M3161" t="s">
        <v>28</v>
      </c>
      <c r="N3161" t="s">
        <v>185</v>
      </c>
      <c r="O3161" t="s">
        <v>150</v>
      </c>
      <c r="P3161">
        <v>2025</v>
      </c>
    </row>
    <row r="3162" spans="1:16" x14ac:dyDescent="0.25">
      <c r="A3162" s="96" t="s">
        <v>2</v>
      </c>
      <c r="B3162" s="96" t="s">
        <v>290</v>
      </c>
      <c r="C3162" s="96" t="s">
        <v>3038</v>
      </c>
      <c r="D3162" s="96" t="s">
        <v>203</v>
      </c>
      <c r="E3162" s="43">
        <v>46043</v>
      </c>
      <c r="F3162" s="43">
        <v>46130</v>
      </c>
      <c r="G3162" s="96" t="s">
        <v>92</v>
      </c>
      <c r="H3162" s="96" t="s">
        <v>6869</v>
      </c>
      <c r="I3162" s="96" t="s">
        <v>204</v>
      </c>
      <c r="J3162" s="96" t="s">
        <v>229</v>
      </c>
      <c r="K3162" s="96" t="s">
        <v>205</v>
      </c>
      <c r="L3162">
        <v>87</v>
      </c>
      <c r="M3162" t="s">
        <v>28</v>
      </c>
      <c r="N3162" t="s">
        <v>29</v>
      </c>
      <c r="O3162" t="s">
        <v>149</v>
      </c>
      <c r="P3162">
        <v>2026</v>
      </c>
    </row>
    <row r="3163" spans="1:16" x14ac:dyDescent="0.25">
      <c r="A3163" s="96" t="s">
        <v>175</v>
      </c>
      <c r="B3163" s="96" t="s">
        <v>196</v>
      </c>
      <c r="C3163" s="96" t="s">
        <v>6870</v>
      </c>
      <c r="D3163" s="96" t="s">
        <v>215</v>
      </c>
      <c r="E3163" s="43">
        <v>46123</v>
      </c>
      <c r="F3163" s="43">
        <v>46148</v>
      </c>
      <c r="G3163" s="96" t="s">
        <v>92</v>
      </c>
      <c r="H3163" s="96" t="s">
        <v>6871</v>
      </c>
      <c r="I3163" s="96" t="s">
        <v>225</v>
      </c>
      <c r="J3163" s="96" t="s">
        <v>176</v>
      </c>
      <c r="K3163" s="96" t="s">
        <v>205</v>
      </c>
      <c r="L3163">
        <v>25</v>
      </c>
      <c r="M3163" t="s">
        <v>19</v>
      </c>
      <c r="N3163" t="s">
        <v>37</v>
      </c>
      <c r="O3163" t="s">
        <v>152</v>
      </c>
      <c r="P3163">
        <v>2026</v>
      </c>
    </row>
    <row r="3164" spans="1:16" hidden="1" x14ac:dyDescent="0.25">
      <c r="A3164" s="96" t="s">
        <v>2</v>
      </c>
      <c r="B3164" s="96" t="s">
        <v>264</v>
      </c>
      <c r="C3164" s="96" t="s">
        <v>3039</v>
      </c>
      <c r="D3164" s="96" t="s">
        <v>192</v>
      </c>
      <c r="E3164" s="43">
        <v>46007</v>
      </c>
      <c r="F3164" s="43">
        <v>46066</v>
      </c>
      <c r="G3164" s="96" t="s">
        <v>92</v>
      </c>
      <c r="H3164" s="96" t="s">
        <v>6872</v>
      </c>
      <c r="I3164" s="96" t="s">
        <v>209</v>
      </c>
      <c r="J3164" s="96" t="s">
        <v>172</v>
      </c>
      <c r="K3164" s="96" t="s">
        <v>195</v>
      </c>
      <c r="L3164">
        <v>59</v>
      </c>
      <c r="M3164" t="s">
        <v>24</v>
      </c>
      <c r="N3164" t="s">
        <v>25</v>
      </c>
      <c r="O3164" t="s">
        <v>152</v>
      </c>
      <c r="P3164">
        <v>2025</v>
      </c>
    </row>
    <row r="3165" spans="1:16" x14ac:dyDescent="0.25">
      <c r="A3165" s="96" t="s">
        <v>2</v>
      </c>
      <c r="B3165" s="96" t="s">
        <v>218</v>
      </c>
      <c r="C3165" s="96" t="s">
        <v>3040</v>
      </c>
      <c r="D3165" s="96" t="s">
        <v>237</v>
      </c>
      <c r="E3165" s="43">
        <v>46117</v>
      </c>
      <c r="F3165" s="43">
        <v>46147</v>
      </c>
      <c r="G3165" s="96" t="s">
        <v>92</v>
      </c>
      <c r="H3165" s="96" t="s">
        <v>6873</v>
      </c>
      <c r="I3165" s="96" t="s">
        <v>204</v>
      </c>
      <c r="J3165" s="96" t="s">
        <v>165</v>
      </c>
      <c r="K3165" s="96" t="s">
        <v>230</v>
      </c>
      <c r="L3165">
        <v>30</v>
      </c>
      <c r="M3165" t="s">
        <v>19</v>
      </c>
      <c r="N3165" t="s">
        <v>37</v>
      </c>
      <c r="O3165" t="s">
        <v>152</v>
      </c>
      <c r="P3165">
        <v>2026</v>
      </c>
    </row>
    <row r="3166" spans="1:16" hidden="1" x14ac:dyDescent="0.25">
      <c r="A3166" s="96" t="s">
        <v>175</v>
      </c>
      <c r="B3166" s="96" t="s">
        <v>257</v>
      </c>
      <c r="C3166" s="96" t="s">
        <v>6874</v>
      </c>
      <c r="D3166" s="96" t="s">
        <v>40</v>
      </c>
      <c r="E3166" s="43">
        <v>45787</v>
      </c>
      <c r="F3166" s="43">
        <v>45895</v>
      </c>
      <c r="G3166" s="96" t="s">
        <v>95</v>
      </c>
      <c r="H3166" s="96" t="s">
        <v>6875</v>
      </c>
      <c r="I3166" s="96" t="s">
        <v>209</v>
      </c>
      <c r="J3166" s="96" t="s">
        <v>91</v>
      </c>
      <c r="K3166" s="96" t="s">
        <v>233</v>
      </c>
      <c r="L3166">
        <v>108</v>
      </c>
      <c r="M3166" t="s">
        <v>28</v>
      </c>
      <c r="N3166" t="s">
        <v>182</v>
      </c>
      <c r="O3166" t="s">
        <v>151</v>
      </c>
      <c r="P3166">
        <v>2025</v>
      </c>
    </row>
    <row r="3167" spans="1:16" x14ac:dyDescent="0.25">
      <c r="A3167" s="96" t="s">
        <v>2</v>
      </c>
      <c r="B3167" s="96" t="s">
        <v>261</v>
      </c>
      <c r="C3167" s="96" t="s">
        <v>3045</v>
      </c>
      <c r="D3167" s="96" t="s">
        <v>208</v>
      </c>
      <c r="E3167" s="43">
        <v>46125</v>
      </c>
      <c r="F3167" s="43">
        <v>46150</v>
      </c>
      <c r="G3167" s="96" t="s">
        <v>92</v>
      </c>
      <c r="H3167" s="96" t="s">
        <v>6876</v>
      </c>
      <c r="I3167" s="96" t="s">
        <v>225</v>
      </c>
      <c r="J3167" s="96" t="s">
        <v>174</v>
      </c>
      <c r="K3167" s="96" t="s">
        <v>230</v>
      </c>
      <c r="L3167">
        <v>25</v>
      </c>
      <c r="M3167" t="s">
        <v>19</v>
      </c>
      <c r="N3167" t="s">
        <v>37</v>
      </c>
      <c r="O3167" t="s">
        <v>151</v>
      </c>
      <c r="P3167">
        <v>2026</v>
      </c>
    </row>
    <row r="3168" spans="1:16" hidden="1" x14ac:dyDescent="0.25">
      <c r="A3168" s="96" t="s">
        <v>2</v>
      </c>
      <c r="B3168" s="96" t="s">
        <v>255</v>
      </c>
      <c r="C3168" s="96" t="s">
        <v>6877</v>
      </c>
      <c r="D3168" s="96" t="s">
        <v>10</v>
      </c>
      <c r="E3168" s="43">
        <v>46016</v>
      </c>
      <c r="F3168" s="43">
        <v>46090</v>
      </c>
      <c r="G3168" s="96" t="s">
        <v>92</v>
      </c>
      <c r="H3168" s="96" t="s">
        <v>2953</v>
      </c>
      <c r="I3168" s="96" t="s">
        <v>157</v>
      </c>
      <c r="J3168" s="96" t="s">
        <v>96</v>
      </c>
      <c r="K3168" s="96" t="s">
        <v>210</v>
      </c>
      <c r="L3168">
        <v>74</v>
      </c>
      <c r="M3168" t="s">
        <v>28</v>
      </c>
      <c r="N3168" t="s">
        <v>25</v>
      </c>
      <c r="O3168" t="s">
        <v>150</v>
      </c>
      <c r="P3168">
        <v>2025</v>
      </c>
    </row>
    <row r="3169" spans="1:16" hidden="1" x14ac:dyDescent="0.25">
      <c r="A3169" s="96" t="s">
        <v>2</v>
      </c>
      <c r="B3169" s="96" t="s">
        <v>272</v>
      </c>
      <c r="C3169" s="96" t="s">
        <v>3046</v>
      </c>
      <c r="D3169" s="96" t="s">
        <v>203</v>
      </c>
      <c r="E3169" s="43">
        <v>45978</v>
      </c>
      <c r="F3169" s="43">
        <v>46002</v>
      </c>
      <c r="G3169" s="96" t="s">
        <v>92</v>
      </c>
      <c r="H3169" s="96" t="s">
        <v>6878</v>
      </c>
      <c r="I3169" s="96" t="s">
        <v>209</v>
      </c>
      <c r="J3169" s="96" t="s">
        <v>98</v>
      </c>
      <c r="K3169" s="96" t="s">
        <v>233</v>
      </c>
      <c r="L3169">
        <v>24</v>
      </c>
      <c r="M3169" t="s">
        <v>19</v>
      </c>
      <c r="N3169" t="s">
        <v>20</v>
      </c>
      <c r="O3169" t="s">
        <v>151</v>
      </c>
      <c r="P3169">
        <v>2025</v>
      </c>
    </row>
    <row r="3170" spans="1:16" hidden="1" x14ac:dyDescent="0.25">
      <c r="A3170" s="96" t="s">
        <v>2</v>
      </c>
      <c r="B3170" s="96" t="s">
        <v>322</v>
      </c>
      <c r="C3170" s="96" t="s">
        <v>3048</v>
      </c>
      <c r="D3170" s="96" t="s">
        <v>215</v>
      </c>
      <c r="E3170" s="43">
        <v>45990</v>
      </c>
      <c r="F3170" s="43">
        <v>46018</v>
      </c>
      <c r="G3170" s="96" t="s">
        <v>92</v>
      </c>
      <c r="H3170" s="96" t="s">
        <v>6879</v>
      </c>
      <c r="I3170" s="96" t="s">
        <v>194</v>
      </c>
      <c r="J3170" s="96" t="s">
        <v>216</v>
      </c>
      <c r="K3170" s="96" t="s">
        <v>195</v>
      </c>
      <c r="L3170">
        <v>28</v>
      </c>
      <c r="M3170" t="s">
        <v>19</v>
      </c>
      <c r="N3170" t="s">
        <v>20</v>
      </c>
      <c r="O3170" t="s">
        <v>150</v>
      </c>
      <c r="P3170">
        <v>2025</v>
      </c>
    </row>
    <row r="3171" spans="1:16" hidden="1" x14ac:dyDescent="0.25">
      <c r="A3171" s="96" t="s">
        <v>2</v>
      </c>
      <c r="B3171" s="96" t="s">
        <v>247</v>
      </c>
      <c r="C3171" s="96" t="s">
        <v>3050</v>
      </c>
      <c r="D3171" s="96" t="s">
        <v>34</v>
      </c>
      <c r="E3171" s="43">
        <v>45684</v>
      </c>
      <c r="F3171" s="43">
        <v>45724</v>
      </c>
      <c r="G3171" s="96" t="s">
        <v>95</v>
      </c>
      <c r="H3171" s="96" t="s">
        <v>6880</v>
      </c>
      <c r="I3171" s="96" t="s">
        <v>157</v>
      </c>
      <c r="J3171" s="96" t="s">
        <v>97</v>
      </c>
      <c r="K3171" s="96" t="s">
        <v>205</v>
      </c>
      <c r="L3171">
        <v>40</v>
      </c>
      <c r="M3171" t="s">
        <v>24</v>
      </c>
      <c r="N3171" t="s">
        <v>181</v>
      </c>
      <c r="O3171" t="s">
        <v>150</v>
      </c>
      <c r="P3171">
        <v>2025</v>
      </c>
    </row>
    <row r="3172" spans="1:16" hidden="1" x14ac:dyDescent="0.25">
      <c r="A3172" s="96" t="s">
        <v>2</v>
      </c>
      <c r="B3172" s="96" t="s">
        <v>240</v>
      </c>
      <c r="C3172" s="96" t="s">
        <v>6881</v>
      </c>
      <c r="D3172" s="96" t="s">
        <v>215</v>
      </c>
      <c r="E3172" s="43">
        <v>45910</v>
      </c>
      <c r="F3172" s="43">
        <v>45928</v>
      </c>
      <c r="G3172" s="96" t="s">
        <v>92</v>
      </c>
      <c r="H3172" s="96" t="s">
        <v>6882</v>
      </c>
      <c r="I3172" s="96" t="s">
        <v>157</v>
      </c>
      <c r="J3172" s="96" t="s">
        <v>229</v>
      </c>
      <c r="K3172" s="96" t="s">
        <v>200</v>
      </c>
      <c r="L3172">
        <v>18</v>
      </c>
      <c r="M3172" t="s">
        <v>19</v>
      </c>
      <c r="N3172" t="s">
        <v>12</v>
      </c>
      <c r="O3172" t="s">
        <v>149</v>
      </c>
      <c r="P3172">
        <v>2025</v>
      </c>
    </row>
    <row r="3173" spans="1:16" x14ac:dyDescent="0.25">
      <c r="A3173" s="96" t="s">
        <v>2</v>
      </c>
      <c r="B3173" s="96" t="s">
        <v>218</v>
      </c>
      <c r="C3173" s="96" t="s">
        <v>3051</v>
      </c>
      <c r="D3173" s="96" t="s">
        <v>223</v>
      </c>
      <c r="E3173" s="43">
        <v>46129</v>
      </c>
      <c r="F3173" s="43">
        <v>46148</v>
      </c>
      <c r="G3173" s="96" t="s">
        <v>90</v>
      </c>
      <c r="H3173" s="96" t="s">
        <v>6883</v>
      </c>
      <c r="I3173" s="96" t="s">
        <v>9</v>
      </c>
      <c r="J3173" s="96" t="s">
        <v>283</v>
      </c>
      <c r="K3173" s="96" t="s">
        <v>157</v>
      </c>
      <c r="L3173">
        <v>19</v>
      </c>
      <c r="M3173" t="s">
        <v>19</v>
      </c>
      <c r="N3173" t="s">
        <v>37</v>
      </c>
      <c r="O3173" t="s">
        <v>152</v>
      </c>
      <c r="P3173">
        <v>2026</v>
      </c>
    </row>
    <row r="3174" spans="1:16" hidden="1" x14ac:dyDescent="0.25">
      <c r="A3174" s="96" t="s">
        <v>2</v>
      </c>
      <c r="B3174" s="96" t="s">
        <v>255</v>
      </c>
      <c r="C3174" s="96" t="s">
        <v>3053</v>
      </c>
      <c r="D3174" s="96" t="s">
        <v>237</v>
      </c>
      <c r="E3174" s="43">
        <v>45972</v>
      </c>
      <c r="F3174" s="43">
        <v>45976</v>
      </c>
      <c r="G3174" s="96" t="s">
        <v>92</v>
      </c>
      <c r="H3174" s="96" t="s">
        <v>6884</v>
      </c>
      <c r="I3174" s="96" t="s">
        <v>209</v>
      </c>
      <c r="J3174" s="96" t="s">
        <v>174</v>
      </c>
      <c r="K3174" s="96" t="s">
        <v>205</v>
      </c>
      <c r="L3174">
        <v>4</v>
      </c>
      <c r="M3174" t="s">
        <v>11</v>
      </c>
      <c r="N3174" t="s">
        <v>20</v>
      </c>
      <c r="O3174" t="s">
        <v>150</v>
      </c>
      <c r="P3174">
        <v>2025</v>
      </c>
    </row>
    <row r="3175" spans="1:16" x14ac:dyDescent="0.25">
      <c r="A3175" s="96" t="s">
        <v>2</v>
      </c>
      <c r="B3175" s="96" t="s">
        <v>305</v>
      </c>
      <c r="C3175" s="96" t="s">
        <v>3055</v>
      </c>
      <c r="D3175" s="96" t="s">
        <v>223</v>
      </c>
      <c r="E3175" s="43">
        <v>46120</v>
      </c>
      <c r="F3175" s="43">
        <v>46148</v>
      </c>
      <c r="G3175" s="96" t="s">
        <v>92</v>
      </c>
      <c r="H3175" s="96" t="s">
        <v>6885</v>
      </c>
      <c r="I3175" s="96" t="s">
        <v>9</v>
      </c>
      <c r="J3175" s="96" t="s">
        <v>96</v>
      </c>
      <c r="K3175" s="96" t="s">
        <v>200</v>
      </c>
      <c r="L3175">
        <v>28</v>
      </c>
      <c r="M3175" t="s">
        <v>19</v>
      </c>
      <c r="N3175" t="s">
        <v>37</v>
      </c>
      <c r="O3175" t="s">
        <v>170</v>
      </c>
      <c r="P3175">
        <v>2026</v>
      </c>
    </row>
    <row r="3176" spans="1:16" x14ac:dyDescent="0.25">
      <c r="A3176" s="96" t="s">
        <v>2</v>
      </c>
      <c r="B3176" s="96" t="s">
        <v>288</v>
      </c>
      <c r="C3176" s="96" t="s">
        <v>3058</v>
      </c>
      <c r="D3176" s="96" t="s">
        <v>208</v>
      </c>
      <c r="E3176" s="43">
        <v>46137</v>
      </c>
      <c r="F3176" s="43">
        <v>46147</v>
      </c>
      <c r="G3176" s="96" t="s">
        <v>92</v>
      </c>
      <c r="H3176" s="96" t="s">
        <v>2957</v>
      </c>
      <c r="I3176" s="96" t="s">
        <v>194</v>
      </c>
      <c r="J3176" s="96" t="s">
        <v>174</v>
      </c>
      <c r="K3176" s="96" t="s">
        <v>157</v>
      </c>
      <c r="L3176">
        <v>10</v>
      </c>
      <c r="M3176" t="s">
        <v>15</v>
      </c>
      <c r="N3176" t="s">
        <v>37</v>
      </c>
      <c r="O3176" t="s">
        <v>170</v>
      </c>
      <c r="P3176">
        <v>2026</v>
      </c>
    </row>
    <row r="3177" spans="1:16" x14ac:dyDescent="0.25">
      <c r="A3177" s="96" t="s">
        <v>2</v>
      </c>
      <c r="B3177" s="96" t="s">
        <v>226</v>
      </c>
      <c r="C3177" s="96" t="s">
        <v>3059</v>
      </c>
      <c r="D3177" s="96" t="s">
        <v>192</v>
      </c>
      <c r="E3177" s="43">
        <v>46026</v>
      </c>
      <c r="F3177" s="43">
        <v>46040</v>
      </c>
      <c r="G3177" s="96" t="s">
        <v>90</v>
      </c>
      <c r="H3177" s="96" t="s">
        <v>2958</v>
      </c>
      <c r="I3177" s="96" t="s">
        <v>9</v>
      </c>
      <c r="J3177" s="96" t="s">
        <v>168</v>
      </c>
      <c r="K3177" s="96" t="s">
        <v>233</v>
      </c>
      <c r="L3177">
        <v>14</v>
      </c>
      <c r="M3177" t="s">
        <v>15</v>
      </c>
      <c r="N3177" t="s">
        <v>29</v>
      </c>
      <c r="O3177" t="s">
        <v>151</v>
      </c>
      <c r="P3177">
        <v>2026</v>
      </c>
    </row>
    <row r="3178" spans="1:16" x14ac:dyDescent="0.25">
      <c r="A3178" s="96" t="s">
        <v>2</v>
      </c>
      <c r="B3178" s="96" t="s">
        <v>261</v>
      </c>
      <c r="C3178" s="96" t="s">
        <v>3060</v>
      </c>
      <c r="D3178" s="96" t="s">
        <v>208</v>
      </c>
      <c r="E3178" s="43">
        <v>46111</v>
      </c>
      <c r="F3178" s="43">
        <v>46128</v>
      </c>
      <c r="G3178" s="96" t="s">
        <v>95</v>
      </c>
      <c r="H3178" s="96" t="s">
        <v>2960</v>
      </c>
      <c r="I3178" s="96" t="s">
        <v>225</v>
      </c>
      <c r="J3178" s="96" t="s">
        <v>165</v>
      </c>
      <c r="K3178" s="96" t="s">
        <v>210</v>
      </c>
      <c r="L3178">
        <v>17</v>
      </c>
      <c r="M3178" t="s">
        <v>19</v>
      </c>
      <c r="N3178" t="s">
        <v>35</v>
      </c>
      <c r="O3178" t="s">
        <v>151</v>
      </c>
      <c r="P3178">
        <v>2026</v>
      </c>
    </row>
    <row r="3179" spans="1:16" x14ac:dyDescent="0.25">
      <c r="A3179" s="96" t="s">
        <v>2</v>
      </c>
      <c r="B3179" s="96" t="s">
        <v>196</v>
      </c>
      <c r="C3179" s="96" t="s">
        <v>3061</v>
      </c>
      <c r="D3179" s="96" t="s">
        <v>192</v>
      </c>
      <c r="E3179" s="43">
        <v>46126</v>
      </c>
      <c r="F3179" s="43">
        <v>46146</v>
      </c>
      <c r="G3179" s="96" t="s">
        <v>92</v>
      </c>
      <c r="H3179" s="96" t="s">
        <v>2962</v>
      </c>
      <c r="I3179" s="96" t="s">
        <v>194</v>
      </c>
      <c r="J3179" s="96" t="s">
        <v>216</v>
      </c>
      <c r="K3179" s="96" t="s">
        <v>230</v>
      </c>
      <c r="L3179">
        <v>20</v>
      </c>
      <c r="M3179" t="s">
        <v>19</v>
      </c>
      <c r="N3179" t="s">
        <v>37</v>
      </c>
      <c r="O3179" t="s">
        <v>152</v>
      </c>
      <c r="P3179">
        <v>2026</v>
      </c>
    </row>
    <row r="3180" spans="1:16" hidden="1" x14ac:dyDescent="0.25">
      <c r="A3180" s="96" t="s">
        <v>2</v>
      </c>
      <c r="B3180" s="96" t="s">
        <v>247</v>
      </c>
      <c r="C3180" s="96" t="s">
        <v>3062</v>
      </c>
      <c r="D3180" s="96" t="s">
        <v>14</v>
      </c>
      <c r="E3180" s="43">
        <v>45980</v>
      </c>
      <c r="F3180" s="43">
        <v>46090</v>
      </c>
      <c r="G3180" s="96" t="s">
        <v>92</v>
      </c>
      <c r="H3180" s="96" t="s">
        <v>2964</v>
      </c>
      <c r="I3180" s="96" t="s">
        <v>209</v>
      </c>
      <c r="J3180" s="96" t="s">
        <v>94</v>
      </c>
      <c r="K3180" s="96" t="s">
        <v>205</v>
      </c>
      <c r="L3180">
        <v>110</v>
      </c>
      <c r="M3180" t="s">
        <v>28</v>
      </c>
      <c r="N3180" t="s">
        <v>20</v>
      </c>
      <c r="O3180" t="s">
        <v>150</v>
      </c>
      <c r="P3180">
        <v>2025</v>
      </c>
    </row>
    <row r="3181" spans="1:16" hidden="1" x14ac:dyDescent="0.25">
      <c r="A3181" s="96" t="s">
        <v>2</v>
      </c>
      <c r="B3181" s="96" t="s">
        <v>253</v>
      </c>
      <c r="C3181" s="96" t="s">
        <v>3063</v>
      </c>
      <c r="D3181" s="96" t="s">
        <v>14</v>
      </c>
      <c r="E3181" s="43">
        <v>45855</v>
      </c>
      <c r="F3181" s="43">
        <v>45865</v>
      </c>
      <c r="G3181" s="96" t="s">
        <v>92</v>
      </c>
      <c r="H3181" s="96" t="s">
        <v>6886</v>
      </c>
      <c r="I3181" s="96" t="s">
        <v>204</v>
      </c>
      <c r="J3181" s="96" t="s">
        <v>93</v>
      </c>
      <c r="K3181" s="96" t="s">
        <v>200</v>
      </c>
      <c r="L3181">
        <v>10</v>
      </c>
      <c r="M3181" t="s">
        <v>15</v>
      </c>
      <c r="N3181" t="s">
        <v>187</v>
      </c>
      <c r="O3181" t="s">
        <v>152</v>
      </c>
      <c r="P3181">
        <v>2025</v>
      </c>
    </row>
    <row r="3182" spans="1:16" hidden="1" x14ac:dyDescent="0.25">
      <c r="A3182" s="96" t="s">
        <v>2</v>
      </c>
      <c r="B3182" s="96" t="s">
        <v>211</v>
      </c>
      <c r="C3182" s="96" t="s">
        <v>3064</v>
      </c>
      <c r="D3182" s="96" t="s">
        <v>237</v>
      </c>
      <c r="E3182" s="43">
        <v>45721</v>
      </c>
      <c r="F3182" s="43">
        <v>45775</v>
      </c>
      <c r="G3182" s="96" t="s">
        <v>92</v>
      </c>
      <c r="H3182" s="96" t="s">
        <v>2967</v>
      </c>
      <c r="I3182" s="96" t="s">
        <v>9</v>
      </c>
      <c r="J3182" s="96" t="s">
        <v>283</v>
      </c>
      <c r="K3182" s="96" t="s">
        <v>157</v>
      </c>
      <c r="L3182">
        <v>54</v>
      </c>
      <c r="M3182" t="s">
        <v>24</v>
      </c>
      <c r="N3182" t="s">
        <v>186</v>
      </c>
      <c r="O3182" t="s">
        <v>170</v>
      </c>
      <c r="P3182">
        <v>2025</v>
      </c>
    </row>
    <row r="3183" spans="1:16" x14ac:dyDescent="0.25">
      <c r="A3183" s="96" t="s">
        <v>2</v>
      </c>
      <c r="B3183" s="96" t="s">
        <v>261</v>
      </c>
      <c r="C3183" s="96" t="s">
        <v>6887</v>
      </c>
      <c r="D3183" s="96" t="s">
        <v>192</v>
      </c>
      <c r="E3183" s="43">
        <v>46063</v>
      </c>
      <c r="F3183" s="43">
        <v>46128</v>
      </c>
      <c r="G3183" s="96" t="s">
        <v>92</v>
      </c>
      <c r="H3183" s="96" t="s">
        <v>2968</v>
      </c>
      <c r="I3183" s="96" t="s">
        <v>194</v>
      </c>
      <c r="J3183" s="96" t="s">
        <v>176</v>
      </c>
      <c r="K3183" s="96" t="s">
        <v>233</v>
      </c>
      <c r="L3183">
        <v>65</v>
      </c>
      <c r="M3183" t="s">
        <v>28</v>
      </c>
      <c r="N3183" t="s">
        <v>32</v>
      </c>
      <c r="O3183" t="s">
        <v>151</v>
      </c>
      <c r="P3183">
        <v>2026</v>
      </c>
    </row>
    <row r="3184" spans="1:16" hidden="1" x14ac:dyDescent="0.25">
      <c r="A3184" s="96" t="s">
        <v>2</v>
      </c>
      <c r="B3184" s="96" t="s">
        <v>190</v>
      </c>
      <c r="C3184" s="96" t="s">
        <v>6888</v>
      </c>
      <c r="D3184" s="96" t="s">
        <v>192</v>
      </c>
      <c r="E3184" s="43">
        <v>45846</v>
      </c>
      <c r="F3184" s="43">
        <v>45925</v>
      </c>
      <c r="G3184" s="96" t="s">
        <v>92</v>
      </c>
      <c r="H3184" s="96" t="s">
        <v>2970</v>
      </c>
      <c r="I3184" s="96" t="s">
        <v>9</v>
      </c>
      <c r="J3184" s="96" t="s">
        <v>98</v>
      </c>
      <c r="K3184" s="96" t="s">
        <v>157</v>
      </c>
      <c r="L3184">
        <v>79</v>
      </c>
      <c r="M3184" t="s">
        <v>28</v>
      </c>
      <c r="N3184" t="s">
        <v>187</v>
      </c>
      <c r="O3184" t="s">
        <v>150</v>
      </c>
      <c r="P3184">
        <v>2025</v>
      </c>
    </row>
    <row r="3185" spans="1:16" hidden="1" x14ac:dyDescent="0.25">
      <c r="A3185" s="96" t="s">
        <v>2</v>
      </c>
      <c r="B3185" s="96" t="s">
        <v>221</v>
      </c>
      <c r="C3185" s="96" t="s">
        <v>3065</v>
      </c>
      <c r="D3185" s="96" t="s">
        <v>208</v>
      </c>
      <c r="E3185" s="43">
        <v>45680</v>
      </c>
      <c r="F3185" s="43">
        <v>45735</v>
      </c>
      <c r="G3185" s="96" t="s">
        <v>90</v>
      </c>
      <c r="H3185" s="96" t="s">
        <v>2971</v>
      </c>
      <c r="I3185" s="96" t="s">
        <v>209</v>
      </c>
      <c r="J3185" s="96" t="s">
        <v>165</v>
      </c>
      <c r="K3185" s="96" t="s">
        <v>233</v>
      </c>
      <c r="L3185">
        <v>55</v>
      </c>
      <c r="M3185" t="s">
        <v>24</v>
      </c>
      <c r="N3185" t="s">
        <v>181</v>
      </c>
      <c r="O3185" t="s">
        <v>170</v>
      </c>
      <c r="P3185">
        <v>2025</v>
      </c>
    </row>
    <row r="3186" spans="1:16" hidden="1" x14ac:dyDescent="0.25">
      <c r="A3186" s="96" t="s">
        <v>2</v>
      </c>
      <c r="B3186" s="96" t="s">
        <v>322</v>
      </c>
      <c r="C3186" s="96" t="s">
        <v>3066</v>
      </c>
      <c r="D3186" s="96" t="s">
        <v>215</v>
      </c>
      <c r="E3186" s="43">
        <v>45729</v>
      </c>
      <c r="F3186" s="43">
        <v>45805</v>
      </c>
      <c r="G3186" s="96" t="s">
        <v>92</v>
      </c>
      <c r="H3186" s="96" t="s">
        <v>2973</v>
      </c>
      <c r="I3186" s="96" t="s">
        <v>204</v>
      </c>
      <c r="J3186" s="96" t="s">
        <v>98</v>
      </c>
      <c r="K3186" s="96" t="s">
        <v>210</v>
      </c>
      <c r="L3186">
        <v>76</v>
      </c>
      <c r="M3186" t="s">
        <v>28</v>
      </c>
      <c r="N3186" t="s">
        <v>186</v>
      </c>
      <c r="O3186" t="s">
        <v>150</v>
      </c>
      <c r="P3186">
        <v>2025</v>
      </c>
    </row>
    <row r="3187" spans="1:16" x14ac:dyDescent="0.25">
      <c r="A3187" s="96" t="s">
        <v>2</v>
      </c>
      <c r="B3187" s="96" t="s">
        <v>261</v>
      </c>
      <c r="C3187" s="96" t="s">
        <v>3068</v>
      </c>
      <c r="D3187" s="96" t="s">
        <v>215</v>
      </c>
      <c r="E3187" s="43">
        <v>46140</v>
      </c>
      <c r="F3187" s="43">
        <v>46150</v>
      </c>
      <c r="G3187" s="96" t="s">
        <v>92</v>
      </c>
      <c r="H3187" s="96" t="s">
        <v>2975</v>
      </c>
      <c r="I3187" s="96" t="s">
        <v>194</v>
      </c>
      <c r="J3187" s="96" t="s">
        <v>172</v>
      </c>
      <c r="K3187" s="96" t="s">
        <v>157</v>
      </c>
      <c r="L3187">
        <v>10</v>
      </c>
      <c r="M3187" t="s">
        <v>15</v>
      </c>
      <c r="N3187" t="s">
        <v>37</v>
      </c>
      <c r="O3187" t="s">
        <v>151</v>
      </c>
      <c r="P3187">
        <v>2026</v>
      </c>
    </row>
    <row r="3188" spans="1:16" hidden="1" x14ac:dyDescent="0.25">
      <c r="A3188" s="96" t="s">
        <v>175</v>
      </c>
      <c r="B3188" s="96" t="s">
        <v>280</v>
      </c>
      <c r="C3188" s="96" t="s">
        <v>3069</v>
      </c>
      <c r="D3188" s="96" t="s">
        <v>14</v>
      </c>
      <c r="E3188" s="43">
        <v>45751</v>
      </c>
      <c r="F3188" s="43">
        <v>45768</v>
      </c>
      <c r="G3188" s="96" t="s">
        <v>90</v>
      </c>
      <c r="H3188" s="96" t="s">
        <v>6889</v>
      </c>
      <c r="I3188" s="96" t="s">
        <v>204</v>
      </c>
      <c r="J3188" s="96" t="s">
        <v>168</v>
      </c>
      <c r="K3188" s="96" t="s">
        <v>230</v>
      </c>
      <c r="L3188">
        <v>17</v>
      </c>
      <c r="M3188" t="s">
        <v>19</v>
      </c>
      <c r="N3188" t="s">
        <v>185</v>
      </c>
      <c r="O3188" t="s">
        <v>170</v>
      </c>
      <c r="P3188">
        <v>2025</v>
      </c>
    </row>
    <row r="3189" spans="1:16" x14ac:dyDescent="0.25">
      <c r="A3189" s="96" t="s">
        <v>2</v>
      </c>
      <c r="B3189" s="96" t="s">
        <v>218</v>
      </c>
      <c r="C3189" s="96" t="s">
        <v>3070</v>
      </c>
      <c r="D3189" s="96" t="s">
        <v>203</v>
      </c>
      <c r="E3189" s="43">
        <v>46119</v>
      </c>
      <c r="F3189" s="43">
        <v>46148</v>
      </c>
      <c r="G3189" s="96" t="s">
        <v>92</v>
      </c>
      <c r="H3189" s="96" t="s">
        <v>6890</v>
      </c>
      <c r="I3189" s="96" t="s">
        <v>9</v>
      </c>
      <c r="J3189" s="96" t="s">
        <v>96</v>
      </c>
      <c r="K3189" s="96" t="s">
        <v>157</v>
      </c>
      <c r="L3189">
        <v>29</v>
      </c>
      <c r="M3189" t="s">
        <v>19</v>
      </c>
      <c r="N3189" t="s">
        <v>37</v>
      </c>
      <c r="O3189" t="s">
        <v>152</v>
      </c>
      <c r="P3189">
        <v>2026</v>
      </c>
    </row>
    <row r="3190" spans="1:16" hidden="1" x14ac:dyDescent="0.25">
      <c r="A3190" s="96" t="s">
        <v>2</v>
      </c>
      <c r="B3190" s="96" t="s">
        <v>251</v>
      </c>
      <c r="C3190" s="96" t="s">
        <v>3071</v>
      </c>
      <c r="D3190" s="96" t="s">
        <v>14</v>
      </c>
      <c r="E3190" s="43">
        <v>45947</v>
      </c>
      <c r="F3190" s="43">
        <v>46026</v>
      </c>
      <c r="G3190" s="96" t="s">
        <v>92</v>
      </c>
      <c r="H3190" s="96" t="s">
        <v>6891</v>
      </c>
      <c r="I3190" s="96" t="s">
        <v>9</v>
      </c>
      <c r="J3190" s="96" t="s">
        <v>91</v>
      </c>
      <c r="K3190" s="96" t="s">
        <v>195</v>
      </c>
      <c r="L3190">
        <v>79</v>
      </c>
      <c r="M3190" t="s">
        <v>28</v>
      </c>
      <c r="N3190" t="s">
        <v>16</v>
      </c>
      <c r="O3190" t="s">
        <v>170</v>
      </c>
      <c r="P3190">
        <v>2025</v>
      </c>
    </row>
    <row r="3191" spans="1:16" x14ac:dyDescent="0.25">
      <c r="A3191" s="96" t="s">
        <v>171</v>
      </c>
      <c r="B3191" s="96" t="s">
        <v>374</v>
      </c>
      <c r="C3191" s="96" t="s">
        <v>6892</v>
      </c>
      <c r="D3191" s="96" t="s">
        <v>14</v>
      </c>
      <c r="E3191" s="43">
        <v>46092</v>
      </c>
      <c r="F3191" s="43">
        <v>46123</v>
      </c>
      <c r="G3191" s="96" t="s">
        <v>90</v>
      </c>
      <c r="H3191" s="96" t="s">
        <v>6893</v>
      </c>
      <c r="I3191" s="96" t="s">
        <v>209</v>
      </c>
      <c r="J3191" s="96" t="s">
        <v>93</v>
      </c>
      <c r="K3191" s="96" t="s">
        <v>217</v>
      </c>
      <c r="L3191">
        <v>31</v>
      </c>
      <c r="M3191" t="s">
        <v>24</v>
      </c>
      <c r="N3191" t="s">
        <v>35</v>
      </c>
      <c r="O3191" t="s">
        <v>150</v>
      </c>
      <c r="P3191">
        <v>2026</v>
      </c>
    </row>
    <row r="3192" spans="1:16" x14ac:dyDescent="0.25">
      <c r="A3192" s="96" t="s">
        <v>171</v>
      </c>
      <c r="B3192" s="96" t="s">
        <v>226</v>
      </c>
      <c r="C3192" s="96" t="s">
        <v>3072</v>
      </c>
      <c r="D3192" s="96" t="s">
        <v>10</v>
      </c>
      <c r="E3192" s="43">
        <v>46127</v>
      </c>
      <c r="F3192" s="43">
        <v>46139</v>
      </c>
      <c r="G3192" s="96" t="s">
        <v>95</v>
      </c>
      <c r="H3192" s="96" t="s">
        <v>6894</v>
      </c>
      <c r="I3192" s="96" t="s">
        <v>228</v>
      </c>
      <c r="J3192" s="96" t="s">
        <v>169</v>
      </c>
      <c r="K3192" s="96" t="s">
        <v>200</v>
      </c>
      <c r="L3192">
        <v>12</v>
      </c>
      <c r="M3192" t="s">
        <v>15</v>
      </c>
      <c r="N3192" t="s">
        <v>37</v>
      </c>
      <c r="O3192" t="s">
        <v>151</v>
      </c>
      <c r="P3192">
        <v>2026</v>
      </c>
    </row>
    <row r="3193" spans="1:16" x14ac:dyDescent="0.25">
      <c r="A3193" s="96" t="s">
        <v>2</v>
      </c>
      <c r="B3193" s="96" t="s">
        <v>226</v>
      </c>
      <c r="C3193" s="96" t="s">
        <v>3073</v>
      </c>
      <c r="D3193" s="96" t="s">
        <v>10</v>
      </c>
      <c r="E3193" s="43">
        <v>46052</v>
      </c>
      <c r="F3193" s="43">
        <v>46146</v>
      </c>
      <c r="G3193" s="96" t="s">
        <v>92</v>
      </c>
      <c r="H3193" s="96" t="s">
        <v>6895</v>
      </c>
      <c r="I3193" s="96" t="s">
        <v>209</v>
      </c>
      <c r="J3193" s="96" t="s">
        <v>174</v>
      </c>
      <c r="K3193" s="96" t="s">
        <v>246</v>
      </c>
      <c r="L3193">
        <v>94</v>
      </c>
      <c r="M3193" t="s">
        <v>28</v>
      </c>
      <c r="N3193" t="s">
        <v>29</v>
      </c>
      <c r="O3193" t="s">
        <v>151</v>
      </c>
      <c r="P3193">
        <v>2026</v>
      </c>
    </row>
    <row r="3194" spans="1:16" hidden="1" x14ac:dyDescent="0.25">
      <c r="A3194" s="96" t="s">
        <v>2</v>
      </c>
      <c r="B3194" s="96" t="s">
        <v>211</v>
      </c>
      <c r="C3194" s="96" t="s">
        <v>3074</v>
      </c>
      <c r="D3194" s="96" t="s">
        <v>223</v>
      </c>
      <c r="E3194" s="43">
        <v>45808</v>
      </c>
      <c r="F3194" s="43">
        <v>45818</v>
      </c>
      <c r="G3194" s="96" t="s">
        <v>95</v>
      </c>
      <c r="H3194" s="96" t="s">
        <v>6896</v>
      </c>
      <c r="I3194" s="96" t="s">
        <v>228</v>
      </c>
      <c r="J3194" s="96" t="s">
        <v>168</v>
      </c>
      <c r="K3194" s="96" t="s">
        <v>233</v>
      </c>
      <c r="L3194">
        <v>10</v>
      </c>
      <c r="M3194" t="s">
        <v>15</v>
      </c>
      <c r="N3194" t="s">
        <v>182</v>
      </c>
      <c r="O3194" t="s">
        <v>170</v>
      </c>
      <c r="P3194">
        <v>2025</v>
      </c>
    </row>
    <row r="3195" spans="1:16" hidden="1" x14ac:dyDescent="0.25">
      <c r="A3195" s="96" t="s">
        <v>2</v>
      </c>
      <c r="B3195" s="96" t="s">
        <v>231</v>
      </c>
      <c r="C3195" s="96" t="s">
        <v>6897</v>
      </c>
      <c r="D3195" s="96" t="s">
        <v>223</v>
      </c>
      <c r="E3195" s="43">
        <v>45723</v>
      </c>
      <c r="F3195" s="43">
        <v>45770</v>
      </c>
      <c r="G3195" s="96" t="s">
        <v>92</v>
      </c>
      <c r="H3195" s="96" t="s">
        <v>6898</v>
      </c>
      <c r="I3195" s="96" t="s">
        <v>194</v>
      </c>
      <c r="J3195" s="96" t="s">
        <v>169</v>
      </c>
      <c r="K3195" s="96" t="s">
        <v>233</v>
      </c>
      <c r="L3195">
        <v>47</v>
      </c>
      <c r="M3195" t="s">
        <v>24</v>
      </c>
      <c r="N3195" t="s">
        <v>186</v>
      </c>
      <c r="O3195" t="s">
        <v>170</v>
      </c>
      <c r="P3195">
        <v>2025</v>
      </c>
    </row>
    <row r="3196" spans="1:16" x14ac:dyDescent="0.25">
      <c r="A3196" s="96" t="s">
        <v>2</v>
      </c>
      <c r="B3196" s="96" t="s">
        <v>196</v>
      </c>
      <c r="C3196" s="96" t="s">
        <v>3075</v>
      </c>
      <c r="D3196" s="96" t="s">
        <v>208</v>
      </c>
      <c r="E3196" s="43">
        <v>46053</v>
      </c>
      <c r="F3196" s="43">
        <v>46106</v>
      </c>
      <c r="G3196" s="96" t="s">
        <v>92</v>
      </c>
      <c r="H3196" s="96" t="s">
        <v>6899</v>
      </c>
      <c r="I3196" s="96" t="s">
        <v>9</v>
      </c>
      <c r="J3196" s="96" t="s">
        <v>91</v>
      </c>
      <c r="K3196" s="96" t="s">
        <v>210</v>
      </c>
      <c r="L3196">
        <v>53</v>
      </c>
      <c r="M3196" t="s">
        <v>24</v>
      </c>
      <c r="N3196" t="s">
        <v>29</v>
      </c>
      <c r="O3196" t="s">
        <v>152</v>
      </c>
      <c r="P3196">
        <v>2026</v>
      </c>
    </row>
    <row r="3197" spans="1:16" hidden="1" x14ac:dyDescent="0.25">
      <c r="A3197" s="96" t="s">
        <v>21</v>
      </c>
      <c r="B3197" s="96" t="s">
        <v>240</v>
      </c>
      <c r="C3197" s="96" t="s">
        <v>6900</v>
      </c>
      <c r="D3197" s="96" t="s">
        <v>223</v>
      </c>
      <c r="E3197" s="43">
        <v>45975</v>
      </c>
      <c r="F3197" s="43">
        <v>45983</v>
      </c>
      <c r="G3197" s="96" t="s">
        <v>90</v>
      </c>
      <c r="H3197" s="96" t="s">
        <v>6901</v>
      </c>
      <c r="I3197" s="96" t="s">
        <v>228</v>
      </c>
      <c r="J3197" s="96" t="s">
        <v>174</v>
      </c>
      <c r="K3197" s="96" t="s">
        <v>233</v>
      </c>
      <c r="L3197">
        <v>8</v>
      </c>
      <c r="M3197" t="s">
        <v>15</v>
      </c>
      <c r="N3197" t="s">
        <v>20</v>
      </c>
      <c r="O3197" t="s">
        <v>149</v>
      </c>
      <c r="P3197">
        <v>2025</v>
      </c>
    </row>
    <row r="3198" spans="1:16" x14ac:dyDescent="0.25">
      <c r="A3198" s="96" t="s">
        <v>2</v>
      </c>
      <c r="B3198" s="96" t="s">
        <v>219</v>
      </c>
      <c r="C3198" s="96" t="s">
        <v>3076</v>
      </c>
      <c r="D3198" s="96" t="s">
        <v>223</v>
      </c>
      <c r="E3198" s="43">
        <v>46117</v>
      </c>
      <c r="F3198" s="43">
        <v>46151</v>
      </c>
      <c r="G3198" s="96" t="s">
        <v>92</v>
      </c>
      <c r="H3198" s="96" t="s">
        <v>6902</v>
      </c>
      <c r="I3198" s="96" t="s">
        <v>225</v>
      </c>
      <c r="J3198" s="96" t="s">
        <v>174</v>
      </c>
      <c r="K3198" s="96" t="s">
        <v>217</v>
      </c>
      <c r="L3198">
        <v>34</v>
      </c>
      <c r="M3198" t="s">
        <v>24</v>
      </c>
      <c r="N3198" t="s">
        <v>37</v>
      </c>
      <c r="O3198" t="s">
        <v>149</v>
      </c>
      <c r="P3198">
        <v>2026</v>
      </c>
    </row>
    <row r="3199" spans="1:16" hidden="1" x14ac:dyDescent="0.25">
      <c r="A3199" s="96" t="s">
        <v>175</v>
      </c>
      <c r="B3199" s="96" t="s">
        <v>240</v>
      </c>
      <c r="C3199" s="96" t="s">
        <v>6903</v>
      </c>
      <c r="D3199" s="96" t="s">
        <v>34</v>
      </c>
      <c r="E3199" s="43">
        <v>45919</v>
      </c>
      <c r="F3199" s="43">
        <v>45995</v>
      </c>
      <c r="G3199" s="96" t="s">
        <v>95</v>
      </c>
      <c r="H3199" s="96" t="s">
        <v>6904</v>
      </c>
      <c r="I3199" s="96" t="s">
        <v>209</v>
      </c>
      <c r="J3199" s="96" t="s">
        <v>94</v>
      </c>
      <c r="K3199" s="96" t="s">
        <v>200</v>
      </c>
      <c r="L3199">
        <v>76</v>
      </c>
      <c r="M3199" t="s">
        <v>28</v>
      </c>
      <c r="N3199" t="s">
        <v>12</v>
      </c>
      <c r="O3199" t="s">
        <v>149</v>
      </c>
      <c r="P3199">
        <v>2025</v>
      </c>
    </row>
    <row r="3200" spans="1:16" hidden="1" x14ac:dyDescent="0.25">
      <c r="A3200" s="96" t="s">
        <v>2</v>
      </c>
      <c r="B3200" s="96" t="s">
        <v>272</v>
      </c>
      <c r="C3200" s="96" t="s">
        <v>6905</v>
      </c>
      <c r="D3200" s="96" t="s">
        <v>203</v>
      </c>
      <c r="E3200" s="43">
        <v>45699</v>
      </c>
      <c r="F3200" s="43">
        <v>45751</v>
      </c>
      <c r="G3200" s="96" t="s">
        <v>92</v>
      </c>
      <c r="H3200" s="96" t="s">
        <v>6906</v>
      </c>
      <c r="I3200" s="96" t="s">
        <v>228</v>
      </c>
      <c r="J3200" s="96" t="s">
        <v>229</v>
      </c>
      <c r="K3200" s="96" t="s">
        <v>246</v>
      </c>
      <c r="L3200">
        <v>52</v>
      </c>
      <c r="M3200" t="s">
        <v>24</v>
      </c>
      <c r="N3200" t="s">
        <v>188</v>
      </c>
      <c r="O3200" t="s">
        <v>151</v>
      </c>
      <c r="P3200">
        <v>2025</v>
      </c>
    </row>
    <row r="3201" spans="1:16" hidden="1" x14ac:dyDescent="0.25">
      <c r="A3201" s="96" t="s">
        <v>21</v>
      </c>
      <c r="B3201" s="96" t="s">
        <v>238</v>
      </c>
      <c r="C3201" s="96" t="s">
        <v>3077</v>
      </c>
      <c r="D3201" s="96" t="s">
        <v>14</v>
      </c>
      <c r="E3201" s="43">
        <v>45982</v>
      </c>
      <c r="F3201" s="43">
        <v>46054</v>
      </c>
      <c r="G3201" s="96" t="s">
        <v>92</v>
      </c>
      <c r="H3201" s="96" t="s">
        <v>6907</v>
      </c>
      <c r="I3201" s="96" t="s">
        <v>228</v>
      </c>
      <c r="J3201" s="96" t="s">
        <v>165</v>
      </c>
      <c r="K3201" s="96" t="s">
        <v>205</v>
      </c>
      <c r="L3201">
        <v>72</v>
      </c>
      <c r="M3201" t="s">
        <v>28</v>
      </c>
      <c r="N3201" t="s">
        <v>20</v>
      </c>
      <c r="O3201" t="s">
        <v>170</v>
      </c>
      <c r="P3201">
        <v>2025</v>
      </c>
    </row>
    <row r="3202" spans="1:16" x14ac:dyDescent="0.25">
      <c r="A3202" s="96" t="s">
        <v>2</v>
      </c>
      <c r="B3202" s="96" t="s">
        <v>261</v>
      </c>
      <c r="C3202" s="96" t="s">
        <v>3078</v>
      </c>
      <c r="D3202" s="96" t="s">
        <v>40</v>
      </c>
      <c r="E3202" s="43">
        <v>46081</v>
      </c>
      <c r="F3202" s="43">
        <v>46121</v>
      </c>
      <c r="G3202" s="96" t="s">
        <v>92</v>
      </c>
      <c r="H3202" s="96" t="s">
        <v>6908</v>
      </c>
      <c r="I3202" s="96" t="s">
        <v>194</v>
      </c>
      <c r="J3202" s="96" t="s">
        <v>94</v>
      </c>
      <c r="K3202" s="96" t="s">
        <v>195</v>
      </c>
      <c r="L3202">
        <v>40</v>
      </c>
      <c r="M3202" t="s">
        <v>24</v>
      </c>
      <c r="N3202" t="s">
        <v>32</v>
      </c>
      <c r="O3202" t="s">
        <v>151</v>
      </c>
      <c r="P3202">
        <v>2026</v>
      </c>
    </row>
    <row r="3203" spans="1:16" x14ac:dyDescent="0.25">
      <c r="A3203" s="96" t="s">
        <v>189</v>
      </c>
      <c r="B3203" s="96" t="s">
        <v>288</v>
      </c>
      <c r="C3203" s="96" t="s">
        <v>3079</v>
      </c>
      <c r="D3203" s="96" t="s">
        <v>40</v>
      </c>
      <c r="E3203" s="43">
        <v>46030</v>
      </c>
      <c r="F3203" s="43">
        <v>46054</v>
      </c>
      <c r="G3203" s="96" t="s">
        <v>92</v>
      </c>
      <c r="H3203" s="96" t="s">
        <v>6909</v>
      </c>
      <c r="I3203" s="96" t="s">
        <v>157</v>
      </c>
      <c r="J3203" s="96" t="s">
        <v>169</v>
      </c>
      <c r="K3203" s="96" t="s">
        <v>210</v>
      </c>
      <c r="L3203">
        <v>24</v>
      </c>
      <c r="M3203" t="s">
        <v>19</v>
      </c>
      <c r="N3203" t="s">
        <v>29</v>
      </c>
      <c r="O3203" t="s">
        <v>170</v>
      </c>
      <c r="P3203">
        <v>2026</v>
      </c>
    </row>
    <row r="3204" spans="1:16" hidden="1" x14ac:dyDescent="0.25">
      <c r="A3204" s="96" t="s">
        <v>2</v>
      </c>
      <c r="B3204" s="96" t="s">
        <v>253</v>
      </c>
      <c r="C3204" s="96" t="s">
        <v>6910</v>
      </c>
      <c r="D3204" s="96" t="s">
        <v>237</v>
      </c>
      <c r="E3204" s="43">
        <v>45705</v>
      </c>
      <c r="F3204" s="43">
        <v>45812</v>
      </c>
      <c r="G3204" s="96" t="s">
        <v>92</v>
      </c>
      <c r="H3204" s="96" t="s">
        <v>2982</v>
      </c>
      <c r="I3204" s="96" t="s">
        <v>228</v>
      </c>
      <c r="J3204" s="96" t="s">
        <v>93</v>
      </c>
      <c r="K3204" s="96" t="s">
        <v>157</v>
      </c>
      <c r="L3204">
        <v>107</v>
      </c>
      <c r="M3204" t="s">
        <v>28</v>
      </c>
      <c r="N3204" t="s">
        <v>188</v>
      </c>
      <c r="O3204" t="s">
        <v>152</v>
      </c>
      <c r="P3204">
        <v>2025</v>
      </c>
    </row>
    <row r="3205" spans="1:16" hidden="1" x14ac:dyDescent="0.25">
      <c r="A3205" s="96" t="s">
        <v>2</v>
      </c>
      <c r="B3205" s="96" t="s">
        <v>253</v>
      </c>
      <c r="C3205" s="96" t="s">
        <v>3080</v>
      </c>
      <c r="D3205" s="96" t="s">
        <v>14</v>
      </c>
      <c r="E3205" s="43">
        <v>45809</v>
      </c>
      <c r="F3205" s="43">
        <v>45828</v>
      </c>
      <c r="G3205" s="96" t="s">
        <v>92</v>
      </c>
      <c r="H3205" s="96" t="s">
        <v>2984</v>
      </c>
      <c r="I3205" s="96" t="s">
        <v>228</v>
      </c>
      <c r="J3205" s="96" t="s">
        <v>93</v>
      </c>
      <c r="K3205" s="96" t="s">
        <v>217</v>
      </c>
      <c r="L3205">
        <v>19</v>
      </c>
      <c r="M3205" t="s">
        <v>19</v>
      </c>
      <c r="N3205" t="s">
        <v>184</v>
      </c>
      <c r="O3205" t="s">
        <v>152</v>
      </c>
      <c r="P3205">
        <v>2025</v>
      </c>
    </row>
    <row r="3206" spans="1:16" hidden="1" x14ac:dyDescent="0.25">
      <c r="A3206" s="96" t="s">
        <v>2</v>
      </c>
      <c r="B3206" s="96" t="s">
        <v>255</v>
      </c>
      <c r="C3206" s="96" t="s">
        <v>3081</v>
      </c>
      <c r="D3206" s="96" t="s">
        <v>14</v>
      </c>
      <c r="E3206" s="43">
        <v>45969</v>
      </c>
      <c r="F3206" s="43">
        <v>45998</v>
      </c>
      <c r="G3206" s="96" t="s">
        <v>92</v>
      </c>
      <c r="H3206" s="96" t="s">
        <v>2985</v>
      </c>
      <c r="I3206" s="96" t="s">
        <v>209</v>
      </c>
      <c r="J3206" s="96" t="s">
        <v>165</v>
      </c>
      <c r="K3206" s="96" t="s">
        <v>205</v>
      </c>
      <c r="L3206">
        <v>29</v>
      </c>
      <c r="M3206" t="s">
        <v>19</v>
      </c>
      <c r="N3206" t="s">
        <v>20</v>
      </c>
      <c r="O3206" t="s">
        <v>150</v>
      </c>
      <c r="P3206">
        <v>2025</v>
      </c>
    </row>
    <row r="3207" spans="1:16" hidden="1" x14ac:dyDescent="0.25">
      <c r="A3207" s="96" t="s">
        <v>175</v>
      </c>
      <c r="B3207" s="96" t="s">
        <v>272</v>
      </c>
      <c r="C3207" s="96" t="s">
        <v>3082</v>
      </c>
      <c r="D3207" s="96" t="s">
        <v>14</v>
      </c>
      <c r="E3207" s="43">
        <v>45767</v>
      </c>
      <c r="F3207" s="43">
        <v>45771</v>
      </c>
      <c r="G3207" s="96" t="s">
        <v>92</v>
      </c>
      <c r="H3207" s="96" t="s">
        <v>6911</v>
      </c>
      <c r="I3207" s="96" t="s">
        <v>194</v>
      </c>
      <c r="J3207" s="96" t="s">
        <v>176</v>
      </c>
      <c r="K3207" s="96" t="s">
        <v>157</v>
      </c>
      <c r="L3207">
        <v>4</v>
      </c>
      <c r="M3207" t="s">
        <v>11</v>
      </c>
      <c r="N3207" t="s">
        <v>185</v>
      </c>
      <c r="O3207" t="s">
        <v>151</v>
      </c>
      <c r="P3207">
        <v>2025</v>
      </c>
    </row>
    <row r="3208" spans="1:16" hidden="1" x14ac:dyDescent="0.25">
      <c r="A3208" s="96" t="s">
        <v>175</v>
      </c>
      <c r="B3208" s="96" t="s">
        <v>231</v>
      </c>
      <c r="C3208" s="96" t="s">
        <v>6912</v>
      </c>
      <c r="D3208" s="96" t="s">
        <v>208</v>
      </c>
      <c r="E3208" s="43">
        <v>45869</v>
      </c>
      <c r="F3208" s="43">
        <v>45909</v>
      </c>
      <c r="G3208" s="96" t="s">
        <v>95</v>
      </c>
      <c r="H3208" s="96" t="s">
        <v>2986</v>
      </c>
      <c r="I3208" s="96" t="s">
        <v>225</v>
      </c>
      <c r="J3208" s="96" t="s">
        <v>169</v>
      </c>
      <c r="K3208" s="96" t="s">
        <v>230</v>
      </c>
      <c r="L3208">
        <v>40</v>
      </c>
      <c r="M3208" t="s">
        <v>24</v>
      </c>
      <c r="N3208" t="s">
        <v>187</v>
      </c>
      <c r="O3208" t="s">
        <v>170</v>
      </c>
      <c r="P3208">
        <v>2025</v>
      </c>
    </row>
    <row r="3209" spans="1:16" x14ac:dyDescent="0.25">
      <c r="A3209" s="96" t="s">
        <v>2</v>
      </c>
      <c r="B3209" s="96" t="s">
        <v>201</v>
      </c>
      <c r="C3209" s="96" t="s">
        <v>3083</v>
      </c>
      <c r="D3209" s="96" t="s">
        <v>40</v>
      </c>
      <c r="E3209" s="43">
        <v>46041</v>
      </c>
      <c r="F3209" s="43">
        <v>46107</v>
      </c>
      <c r="G3209" s="96" t="s">
        <v>92</v>
      </c>
      <c r="H3209" s="96" t="s">
        <v>2988</v>
      </c>
      <c r="I3209" s="96" t="s">
        <v>204</v>
      </c>
      <c r="J3209" s="96" t="s">
        <v>177</v>
      </c>
      <c r="K3209" s="96" t="s">
        <v>200</v>
      </c>
      <c r="L3209">
        <v>66</v>
      </c>
      <c r="M3209" t="s">
        <v>28</v>
      </c>
      <c r="N3209" t="s">
        <v>29</v>
      </c>
      <c r="O3209" t="s">
        <v>170</v>
      </c>
      <c r="P3209">
        <v>2026</v>
      </c>
    </row>
    <row r="3210" spans="1:16" hidden="1" x14ac:dyDescent="0.25">
      <c r="A3210" s="96" t="s">
        <v>2</v>
      </c>
      <c r="B3210" s="96" t="s">
        <v>264</v>
      </c>
      <c r="C3210" s="96" t="s">
        <v>3084</v>
      </c>
      <c r="D3210" s="96" t="s">
        <v>215</v>
      </c>
      <c r="E3210" s="43">
        <v>45730</v>
      </c>
      <c r="F3210" s="43">
        <v>45839</v>
      </c>
      <c r="G3210" s="96" t="s">
        <v>92</v>
      </c>
      <c r="H3210" s="96" t="s">
        <v>2990</v>
      </c>
      <c r="I3210" s="96" t="s">
        <v>209</v>
      </c>
      <c r="J3210" s="96" t="s">
        <v>176</v>
      </c>
      <c r="K3210" s="96" t="s">
        <v>210</v>
      </c>
      <c r="L3210">
        <v>109</v>
      </c>
      <c r="M3210" t="s">
        <v>28</v>
      </c>
      <c r="N3210" t="s">
        <v>186</v>
      </c>
      <c r="O3210" t="s">
        <v>152</v>
      </c>
      <c r="P3210">
        <v>2025</v>
      </c>
    </row>
    <row r="3211" spans="1:16" hidden="1" x14ac:dyDescent="0.25">
      <c r="A3211" s="96" t="s">
        <v>2</v>
      </c>
      <c r="B3211" s="96" t="s">
        <v>257</v>
      </c>
      <c r="C3211" s="96" t="s">
        <v>3085</v>
      </c>
      <c r="D3211" s="96" t="s">
        <v>208</v>
      </c>
      <c r="E3211" s="43">
        <v>45753</v>
      </c>
      <c r="F3211" s="43">
        <v>45856</v>
      </c>
      <c r="G3211" s="96" t="s">
        <v>90</v>
      </c>
      <c r="H3211" s="96" t="s">
        <v>6913</v>
      </c>
      <c r="I3211" s="96" t="s">
        <v>194</v>
      </c>
      <c r="J3211" s="96" t="s">
        <v>165</v>
      </c>
      <c r="K3211" s="96" t="s">
        <v>200</v>
      </c>
      <c r="L3211">
        <v>103</v>
      </c>
      <c r="M3211" t="s">
        <v>28</v>
      </c>
      <c r="N3211" t="s">
        <v>185</v>
      </c>
      <c r="O3211" t="s">
        <v>151</v>
      </c>
      <c r="P3211">
        <v>2025</v>
      </c>
    </row>
    <row r="3212" spans="1:16" hidden="1" x14ac:dyDescent="0.25">
      <c r="A3212" s="96" t="s">
        <v>2</v>
      </c>
      <c r="B3212" s="96" t="s">
        <v>231</v>
      </c>
      <c r="C3212" s="96" t="s">
        <v>3086</v>
      </c>
      <c r="D3212" s="96" t="s">
        <v>34</v>
      </c>
      <c r="E3212" s="43">
        <v>45916</v>
      </c>
      <c r="F3212" s="43">
        <v>45972</v>
      </c>
      <c r="G3212" s="96" t="s">
        <v>90</v>
      </c>
      <c r="H3212" s="96" t="s">
        <v>6914</v>
      </c>
      <c r="I3212" s="96" t="s">
        <v>225</v>
      </c>
      <c r="J3212" s="96" t="s">
        <v>216</v>
      </c>
      <c r="K3212" s="96" t="s">
        <v>157</v>
      </c>
      <c r="L3212">
        <v>56</v>
      </c>
      <c r="M3212" t="s">
        <v>24</v>
      </c>
      <c r="N3212" t="s">
        <v>12</v>
      </c>
      <c r="O3212" t="s">
        <v>170</v>
      </c>
      <c r="P3212">
        <v>2025</v>
      </c>
    </row>
    <row r="3213" spans="1:16" hidden="1" x14ac:dyDescent="0.25">
      <c r="A3213" s="96" t="s">
        <v>2</v>
      </c>
      <c r="B3213" s="96" t="s">
        <v>240</v>
      </c>
      <c r="C3213" s="96" t="s">
        <v>6915</v>
      </c>
      <c r="D3213" s="96" t="s">
        <v>10</v>
      </c>
      <c r="E3213" s="43">
        <v>45724</v>
      </c>
      <c r="F3213" s="43">
        <v>45830</v>
      </c>
      <c r="G3213" s="96" t="s">
        <v>92</v>
      </c>
      <c r="H3213" s="96" t="s">
        <v>6916</v>
      </c>
      <c r="I3213" s="96" t="s">
        <v>228</v>
      </c>
      <c r="J3213" s="96" t="s">
        <v>172</v>
      </c>
      <c r="K3213" s="96" t="s">
        <v>230</v>
      </c>
      <c r="L3213">
        <v>106</v>
      </c>
      <c r="M3213" t="s">
        <v>28</v>
      </c>
      <c r="N3213" t="s">
        <v>186</v>
      </c>
      <c r="O3213" t="s">
        <v>149</v>
      </c>
      <c r="P3213">
        <v>2025</v>
      </c>
    </row>
    <row r="3214" spans="1:16" hidden="1" x14ac:dyDescent="0.25">
      <c r="A3214" s="96" t="s">
        <v>2</v>
      </c>
      <c r="B3214" s="96" t="s">
        <v>264</v>
      </c>
      <c r="C3214" s="96" t="s">
        <v>3087</v>
      </c>
      <c r="D3214" s="96" t="s">
        <v>192</v>
      </c>
      <c r="E3214" s="43">
        <v>45658</v>
      </c>
      <c r="F3214" s="43">
        <v>45677</v>
      </c>
      <c r="G3214" s="96" t="s">
        <v>92</v>
      </c>
      <c r="H3214" s="96" t="s">
        <v>6917</v>
      </c>
      <c r="I3214" s="96" t="s">
        <v>204</v>
      </c>
      <c r="J3214" s="96" t="s">
        <v>177</v>
      </c>
      <c r="K3214" s="96" t="s">
        <v>210</v>
      </c>
      <c r="L3214">
        <v>19</v>
      </c>
      <c r="M3214" t="s">
        <v>19</v>
      </c>
      <c r="N3214" t="s">
        <v>181</v>
      </c>
      <c r="O3214" t="s">
        <v>152</v>
      </c>
      <c r="P3214">
        <v>2025</v>
      </c>
    </row>
    <row r="3215" spans="1:16" hidden="1" x14ac:dyDescent="0.25">
      <c r="A3215" s="96" t="s">
        <v>2</v>
      </c>
      <c r="B3215" s="96" t="s">
        <v>221</v>
      </c>
      <c r="C3215" s="96" t="s">
        <v>6918</v>
      </c>
      <c r="D3215" s="96" t="s">
        <v>192</v>
      </c>
      <c r="E3215" s="43">
        <v>45894</v>
      </c>
      <c r="F3215" s="43">
        <v>45989</v>
      </c>
      <c r="G3215" s="96" t="s">
        <v>92</v>
      </c>
      <c r="H3215" s="96" t="s">
        <v>6919</v>
      </c>
      <c r="I3215" s="96" t="s">
        <v>157</v>
      </c>
      <c r="J3215" s="96" t="s">
        <v>199</v>
      </c>
      <c r="K3215" s="96" t="s">
        <v>157</v>
      </c>
      <c r="L3215">
        <v>95</v>
      </c>
      <c r="M3215" t="s">
        <v>28</v>
      </c>
      <c r="N3215" t="s">
        <v>8</v>
      </c>
      <c r="O3215" t="s">
        <v>170</v>
      </c>
      <c r="P3215">
        <v>2025</v>
      </c>
    </row>
    <row r="3216" spans="1:16" x14ac:dyDescent="0.25">
      <c r="A3216" s="96" t="s">
        <v>2</v>
      </c>
      <c r="B3216" s="96" t="s">
        <v>288</v>
      </c>
      <c r="C3216" s="96" t="s">
        <v>6920</v>
      </c>
      <c r="D3216" s="96" t="s">
        <v>237</v>
      </c>
      <c r="E3216" s="43">
        <v>46130</v>
      </c>
      <c r="F3216" s="43">
        <v>46149</v>
      </c>
      <c r="G3216" s="96" t="s">
        <v>92</v>
      </c>
      <c r="H3216" s="96" t="s">
        <v>6921</v>
      </c>
      <c r="I3216" s="96" t="s">
        <v>209</v>
      </c>
      <c r="J3216" s="96" t="s">
        <v>91</v>
      </c>
      <c r="K3216" s="96" t="s">
        <v>217</v>
      </c>
      <c r="L3216">
        <v>19</v>
      </c>
      <c r="M3216" t="s">
        <v>19</v>
      </c>
      <c r="N3216" t="s">
        <v>37</v>
      </c>
      <c r="O3216" t="s">
        <v>170</v>
      </c>
      <c r="P3216">
        <v>2026</v>
      </c>
    </row>
    <row r="3217" spans="1:16" x14ac:dyDescent="0.25">
      <c r="A3217" s="96" t="s">
        <v>2</v>
      </c>
      <c r="B3217" s="96" t="s">
        <v>261</v>
      </c>
      <c r="C3217" s="96" t="s">
        <v>3088</v>
      </c>
      <c r="D3217" s="96" t="s">
        <v>34</v>
      </c>
      <c r="E3217" s="43">
        <v>46144</v>
      </c>
      <c r="F3217" s="43">
        <v>46151</v>
      </c>
      <c r="G3217" s="96" t="s">
        <v>92</v>
      </c>
      <c r="H3217" s="96" t="s">
        <v>6922</v>
      </c>
      <c r="I3217" s="96" t="s">
        <v>209</v>
      </c>
      <c r="J3217" s="96" t="s">
        <v>176</v>
      </c>
      <c r="K3217" s="96" t="s">
        <v>233</v>
      </c>
      <c r="L3217">
        <v>7</v>
      </c>
      <c r="M3217" t="s">
        <v>11</v>
      </c>
      <c r="N3217" t="s">
        <v>183</v>
      </c>
      <c r="O3217" t="s">
        <v>151</v>
      </c>
      <c r="P3217">
        <v>2026</v>
      </c>
    </row>
    <row r="3218" spans="1:16" hidden="1" x14ac:dyDescent="0.25">
      <c r="A3218" s="96" t="s">
        <v>189</v>
      </c>
      <c r="B3218" s="96" t="s">
        <v>280</v>
      </c>
      <c r="C3218" s="96" t="s">
        <v>3090</v>
      </c>
      <c r="D3218" s="96" t="s">
        <v>14</v>
      </c>
      <c r="E3218" s="43">
        <v>45797</v>
      </c>
      <c r="F3218" s="43">
        <v>45888</v>
      </c>
      <c r="G3218" s="96" t="s">
        <v>92</v>
      </c>
      <c r="H3218" s="96" t="s">
        <v>6923</v>
      </c>
      <c r="I3218" s="96" t="s">
        <v>209</v>
      </c>
      <c r="J3218" s="96" t="s">
        <v>173</v>
      </c>
      <c r="K3218" s="96" t="s">
        <v>230</v>
      </c>
      <c r="L3218">
        <v>91</v>
      </c>
      <c r="M3218" t="s">
        <v>28</v>
      </c>
      <c r="N3218" t="s">
        <v>182</v>
      </c>
      <c r="O3218" t="s">
        <v>170</v>
      </c>
      <c r="P3218">
        <v>2025</v>
      </c>
    </row>
    <row r="3219" spans="1:16" hidden="1" x14ac:dyDescent="0.25">
      <c r="A3219" s="96" t="s">
        <v>2</v>
      </c>
      <c r="B3219" s="96" t="s">
        <v>272</v>
      </c>
      <c r="C3219" s="96" t="s">
        <v>3092</v>
      </c>
      <c r="D3219" s="96" t="s">
        <v>223</v>
      </c>
      <c r="E3219" s="43">
        <v>45741</v>
      </c>
      <c r="F3219" s="43">
        <v>45843</v>
      </c>
      <c r="G3219" s="96" t="s">
        <v>92</v>
      </c>
      <c r="H3219" s="96" t="s">
        <v>6924</v>
      </c>
      <c r="I3219" s="96" t="s">
        <v>204</v>
      </c>
      <c r="J3219" s="96" t="s">
        <v>177</v>
      </c>
      <c r="K3219" s="96" t="s">
        <v>200</v>
      </c>
      <c r="L3219">
        <v>102</v>
      </c>
      <c r="M3219" t="s">
        <v>28</v>
      </c>
      <c r="N3219" t="s">
        <v>186</v>
      </c>
      <c r="O3219" t="s">
        <v>151</v>
      </c>
      <c r="P3219">
        <v>2025</v>
      </c>
    </row>
    <row r="3220" spans="1:16" hidden="1" x14ac:dyDescent="0.25">
      <c r="A3220" s="96" t="s">
        <v>2</v>
      </c>
      <c r="B3220" s="96" t="s">
        <v>221</v>
      </c>
      <c r="C3220" s="96" t="s">
        <v>3094</v>
      </c>
      <c r="D3220" s="96" t="s">
        <v>237</v>
      </c>
      <c r="E3220" s="43">
        <v>45793</v>
      </c>
      <c r="F3220" s="43">
        <v>45831</v>
      </c>
      <c r="G3220" s="96" t="s">
        <v>95</v>
      </c>
      <c r="H3220" s="96" t="s">
        <v>6925</v>
      </c>
      <c r="I3220" s="96" t="s">
        <v>194</v>
      </c>
      <c r="J3220" s="96" t="s">
        <v>169</v>
      </c>
      <c r="K3220" s="96" t="s">
        <v>200</v>
      </c>
      <c r="L3220">
        <v>38</v>
      </c>
      <c r="M3220" t="s">
        <v>24</v>
      </c>
      <c r="N3220" t="s">
        <v>182</v>
      </c>
      <c r="O3220" t="s">
        <v>170</v>
      </c>
      <c r="P3220">
        <v>2025</v>
      </c>
    </row>
    <row r="3221" spans="1:16" x14ac:dyDescent="0.25">
      <c r="A3221" s="96" t="s">
        <v>189</v>
      </c>
      <c r="B3221" s="96" t="s">
        <v>317</v>
      </c>
      <c r="C3221" s="96" t="s">
        <v>3096</v>
      </c>
      <c r="D3221" s="96" t="s">
        <v>208</v>
      </c>
      <c r="E3221" s="43">
        <v>46048</v>
      </c>
      <c r="F3221" s="43">
        <v>46077</v>
      </c>
      <c r="G3221" s="96" t="s">
        <v>92</v>
      </c>
      <c r="H3221" s="96" t="s">
        <v>6926</v>
      </c>
      <c r="I3221" s="96" t="s">
        <v>204</v>
      </c>
      <c r="J3221" s="96" t="s">
        <v>165</v>
      </c>
      <c r="K3221" s="96" t="s">
        <v>230</v>
      </c>
      <c r="L3221">
        <v>29</v>
      </c>
      <c r="M3221" t="s">
        <v>19</v>
      </c>
      <c r="N3221" t="s">
        <v>29</v>
      </c>
      <c r="O3221" t="s">
        <v>170</v>
      </c>
      <c r="P3221">
        <v>2026</v>
      </c>
    </row>
    <row r="3222" spans="1:16" x14ac:dyDescent="0.25">
      <c r="A3222" s="96" t="s">
        <v>175</v>
      </c>
      <c r="B3222" s="96" t="s">
        <v>244</v>
      </c>
      <c r="C3222" s="96" t="s">
        <v>6927</v>
      </c>
      <c r="D3222" s="96" t="s">
        <v>215</v>
      </c>
      <c r="E3222" s="43">
        <v>46028</v>
      </c>
      <c r="F3222" s="43">
        <v>46041</v>
      </c>
      <c r="G3222" s="96" t="s">
        <v>90</v>
      </c>
      <c r="H3222" s="96" t="s">
        <v>6928</v>
      </c>
      <c r="I3222" s="96" t="s">
        <v>228</v>
      </c>
      <c r="J3222" s="96" t="s">
        <v>229</v>
      </c>
      <c r="K3222" s="96" t="s">
        <v>157</v>
      </c>
      <c r="L3222">
        <v>13</v>
      </c>
      <c r="M3222" t="s">
        <v>15</v>
      </c>
      <c r="N3222" t="s">
        <v>29</v>
      </c>
      <c r="O3222" t="s">
        <v>150</v>
      </c>
      <c r="P3222">
        <v>2026</v>
      </c>
    </row>
    <row r="3223" spans="1:16" hidden="1" x14ac:dyDescent="0.25">
      <c r="A3223" s="96" t="s">
        <v>2</v>
      </c>
      <c r="B3223" s="96" t="s">
        <v>206</v>
      </c>
      <c r="C3223" s="96" t="s">
        <v>3098</v>
      </c>
      <c r="D3223" s="96" t="s">
        <v>237</v>
      </c>
      <c r="E3223" s="43">
        <v>45696</v>
      </c>
      <c r="F3223" s="43">
        <v>45816</v>
      </c>
      <c r="G3223" s="96" t="s">
        <v>92</v>
      </c>
      <c r="H3223" s="96" t="s">
        <v>6929</v>
      </c>
      <c r="I3223" s="96" t="s">
        <v>209</v>
      </c>
      <c r="J3223" s="96" t="s">
        <v>91</v>
      </c>
      <c r="K3223" s="96" t="s">
        <v>200</v>
      </c>
      <c r="L3223">
        <v>120</v>
      </c>
      <c r="M3223" t="s">
        <v>28</v>
      </c>
      <c r="N3223" t="s">
        <v>188</v>
      </c>
      <c r="O3223" t="s">
        <v>152</v>
      </c>
      <c r="P3223">
        <v>2025</v>
      </c>
    </row>
    <row r="3224" spans="1:16" x14ac:dyDescent="0.25">
      <c r="A3224" s="96" t="s">
        <v>2</v>
      </c>
      <c r="B3224" s="96" t="s">
        <v>226</v>
      </c>
      <c r="C3224" s="96" t="s">
        <v>6930</v>
      </c>
      <c r="D3224" s="96" t="s">
        <v>192</v>
      </c>
      <c r="E3224" s="43">
        <v>46070</v>
      </c>
      <c r="F3224" s="43">
        <v>46098</v>
      </c>
      <c r="G3224" s="96" t="s">
        <v>92</v>
      </c>
      <c r="H3224" s="96" t="s">
        <v>6931</v>
      </c>
      <c r="I3224" s="96" t="s">
        <v>9</v>
      </c>
      <c r="J3224" s="96" t="s">
        <v>94</v>
      </c>
      <c r="K3224" s="96" t="s">
        <v>230</v>
      </c>
      <c r="L3224">
        <v>28</v>
      </c>
      <c r="M3224" t="s">
        <v>19</v>
      </c>
      <c r="N3224" t="s">
        <v>32</v>
      </c>
      <c r="O3224" t="s">
        <v>151</v>
      </c>
      <c r="P3224">
        <v>2026</v>
      </c>
    </row>
    <row r="3225" spans="1:16" hidden="1" x14ac:dyDescent="0.25">
      <c r="A3225" s="96" t="s">
        <v>175</v>
      </c>
      <c r="B3225" s="96" t="s">
        <v>272</v>
      </c>
      <c r="C3225" s="96" t="s">
        <v>3100</v>
      </c>
      <c r="D3225" s="96" t="s">
        <v>10</v>
      </c>
      <c r="E3225" s="43">
        <v>45809</v>
      </c>
      <c r="F3225" s="43">
        <v>45849</v>
      </c>
      <c r="G3225" s="96" t="s">
        <v>92</v>
      </c>
      <c r="H3225" s="96" t="s">
        <v>6932</v>
      </c>
      <c r="I3225" s="96" t="s">
        <v>157</v>
      </c>
      <c r="J3225" s="96" t="s">
        <v>174</v>
      </c>
      <c r="K3225" s="96" t="s">
        <v>230</v>
      </c>
      <c r="L3225">
        <v>40</v>
      </c>
      <c r="M3225" t="s">
        <v>24</v>
      </c>
      <c r="N3225" t="s">
        <v>184</v>
      </c>
      <c r="O3225" t="s">
        <v>151</v>
      </c>
      <c r="P3225">
        <v>2025</v>
      </c>
    </row>
    <row r="3226" spans="1:16" x14ac:dyDescent="0.25">
      <c r="A3226" s="96" t="s">
        <v>2</v>
      </c>
      <c r="B3226" s="96" t="s">
        <v>201</v>
      </c>
      <c r="C3226" s="96" t="s">
        <v>3102</v>
      </c>
      <c r="D3226" s="96" t="s">
        <v>208</v>
      </c>
      <c r="E3226" s="43">
        <v>46122</v>
      </c>
      <c r="F3226" s="43">
        <v>46148</v>
      </c>
      <c r="G3226" s="96" t="s">
        <v>90</v>
      </c>
      <c r="H3226" s="96" t="s">
        <v>6933</v>
      </c>
      <c r="I3226" s="96" t="s">
        <v>228</v>
      </c>
      <c r="J3226" s="96" t="s">
        <v>172</v>
      </c>
      <c r="K3226" s="96" t="s">
        <v>233</v>
      </c>
      <c r="L3226">
        <v>26</v>
      </c>
      <c r="M3226" t="s">
        <v>19</v>
      </c>
      <c r="N3226" t="s">
        <v>37</v>
      </c>
      <c r="O3226" t="s">
        <v>170</v>
      </c>
      <c r="P3226">
        <v>2026</v>
      </c>
    </row>
    <row r="3227" spans="1:16" hidden="1" x14ac:dyDescent="0.25">
      <c r="A3227" s="96" t="s">
        <v>2</v>
      </c>
      <c r="B3227" s="96" t="s">
        <v>238</v>
      </c>
      <c r="C3227" s="96" t="s">
        <v>3104</v>
      </c>
      <c r="D3227" s="96" t="s">
        <v>192</v>
      </c>
      <c r="E3227" s="43">
        <v>45950</v>
      </c>
      <c r="F3227" s="43">
        <v>46029</v>
      </c>
      <c r="G3227" s="96" t="s">
        <v>92</v>
      </c>
      <c r="H3227" s="96" t="s">
        <v>6934</v>
      </c>
      <c r="I3227" s="96" t="s">
        <v>228</v>
      </c>
      <c r="J3227" s="96" t="s">
        <v>97</v>
      </c>
      <c r="K3227" s="96" t="s">
        <v>233</v>
      </c>
      <c r="L3227">
        <v>79</v>
      </c>
      <c r="M3227" t="s">
        <v>28</v>
      </c>
      <c r="N3227" t="s">
        <v>16</v>
      </c>
      <c r="O3227" t="s">
        <v>170</v>
      </c>
      <c r="P3227">
        <v>2025</v>
      </c>
    </row>
    <row r="3228" spans="1:16" hidden="1" x14ac:dyDescent="0.25">
      <c r="A3228" s="96" t="s">
        <v>189</v>
      </c>
      <c r="B3228" s="96" t="s">
        <v>322</v>
      </c>
      <c r="C3228" s="96" t="s">
        <v>3107</v>
      </c>
      <c r="D3228" s="96" t="s">
        <v>208</v>
      </c>
      <c r="E3228" s="43">
        <v>45853</v>
      </c>
      <c r="F3228" s="43">
        <v>45941</v>
      </c>
      <c r="G3228" s="96" t="s">
        <v>92</v>
      </c>
      <c r="H3228" s="96" t="s">
        <v>6935</v>
      </c>
      <c r="I3228" s="96" t="s">
        <v>204</v>
      </c>
      <c r="J3228" s="96" t="s">
        <v>283</v>
      </c>
      <c r="K3228" s="96" t="s">
        <v>210</v>
      </c>
      <c r="L3228">
        <v>88</v>
      </c>
      <c r="M3228" t="s">
        <v>28</v>
      </c>
      <c r="N3228" t="s">
        <v>187</v>
      </c>
      <c r="O3228" t="s">
        <v>150</v>
      </c>
      <c r="P3228">
        <v>2025</v>
      </c>
    </row>
    <row r="3229" spans="1:16" x14ac:dyDescent="0.25">
      <c r="A3229" s="96" t="s">
        <v>2</v>
      </c>
      <c r="B3229" s="96" t="s">
        <v>374</v>
      </c>
      <c r="C3229" s="96" t="s">
        <v>6936</v>
      </c>
      <c r="D3229" s="96" t="s">
        <v>192</v>
      </c>
      <c r="E3229" s="43">
        <v>46070</v>
      </c>
      <c r="F3229" s="43">
        <v>46073</v>
      </c>
      <c r="G3229" s="96" t="s">
        <v>92</v>
      </c>
      <c r="H3229" s="96" t="s">
        <v>6937</v>
      </c>
      <c r="I3229" s="96" t="s">
        <v>209</v>
      </c>
      <c r="J3229" s="96" t="s">
        <v>172</v>
      </c>
      <c r="K3229" s="96" t="s">
        <v>200</v>
      </c>
      <c r="L3229">
        <v>3</v>
      </c>
      <c r="M3229" t="s">
        <v>11</v>
      </c>
      <c r="N3229" t="s">
        <v>32</v>
      </c>
      <c r="O3229" t="s">
        <v>150</v>
      </c>
      <c r="P3229">
        <v>2026</v>
      </c>
    </row>
    <row r="3230" spans="1:16" x14ac:dyDescent="0.25">
      <c r="A3230" s="96" t="s">
        <v>2</v>
      </c>
      <c r="B3230" s="96" t="s">
        <v>234</v>
      </c>
      <c r="C3230" s="96" t="s">
        <v>3108</v>
      </c>
      <c r="D3230" s="96" t="s">
        <v>237</v>
      </c>
      <c r="E3230" s="43">
        <v>46094</v>
      </c>
      <c r="F3230" s="43">
        <v>46147</v>
      </c>
      <c r="G3230" s="96" t="s">
        <v>92</v>
      </c>
      <c r="H3230" s="96" t="s">
        <v>3006</v>
      </c>
      <c r="I3230" s="96" t="s">
        <v>194</v>
      </c>
      <c r="J3230" s="96" t="s">
        <v>216</v>
      </c>
      <c r="K3230" s="96" t="s">
        <v>230</v>
      </c>
      <c r="L3230">
        <v>53</v>
      </c>
      <c r="M3230" t="s">
        <v>24</v>
      </c>
      <c r="N3230" t="s">
        <v>35</v>
      </c>
      <c r="O3230" t="s">
        <v>150</v>
      </c>
      <c r="P3230">
        <v>2026</v>
      </c>
    </row>
    <row r="3231" spans="1:16" x14ac:dyDescent="0.25">
      <c r="A3231" s="96" t="s">
        <v>175</v>
      </c>
      <c r="B3231" s="96" t="s">
        <v>218</v>
      </c>
      <c r="C3231" s="96" t="s">
        <v>3109</v>
      </c>
      <c r="D3231" s="96" t="s">
        <v>40</v>
      </c>
      <c r="E3231" s="43">
        <v>46122</v>
      </c>
      <c r="F3231" s="43">
        <v>46147</v>
      </c>
      <c r="G3231" s="96" t="s">
        <v>92</v>
      </c>
      <c r="H3231" s="96" t="s">
        <v>3007</v>
      </c>
      <c r="I3231" s="96" t="s">
        <v>225</v>
      </c>
      <c r="J3231" s="96" t="s">
        <v>283</v>
      </c>
      <c r="K3231" s="96" t="s">
        <v>157</v>
      </c>
      <c r="L3231">
        <v>25</v>
      </c>
      <c r="M3231" t="s">
        <v>19</v>
      </c>
      <c r="N3231" t="s">
        <v>37</v>
      </c>
      <c r="O3231" t="s">
        <v>152</v>
      </c>
      <c r="P3231">
        <v>2026</v>
      </c>
    </row>
    <row r="3232" spans="1:16" hidden="1" x14ac:dyDescent="0.25">
      <c r="A3232" s="96" t="s">
        <v>2</v>
      </c>
      <c r="B3232" s="96" t="s">
        <v>251</v>
      </c>
      <c r="C3232" s="96" t="s">
        <v>3110</v>
      </c>
      <c r="D3232" s="96" t="s">
        <v>237</v>
      </c>
      <c r="E3232" s="43">
        <v>45939</v>
      </c>
      <c r="F3232" s="43">
        <v>46033</v>
      </c>
      <c r="G3232" s="96" t="s">
        <v>92</v>
      </c>
      <c r="H3232" s="96" t="s">
        <v>6938</v>
      </c>
      <c r="I3232" s="96" t="s">
        <v>157</v>
      </c>
      <c r="J3232" s="96" t="s">
        <v>97</v>
      </c>
      <c r="K3232" s="96" t="s">
        <v>157</v>
      </c>
      <c r="L3232">
        <v>94</v>
      </c>
      <c r="M3232" t="s">
        <v>28</v>
      </c>
      <c r="N3232" t="s">
        <v>16</v>
      </c>
      <c r="O3232" t="s">
        <v>170</v>
      </c>
      <c r="P3232">
        <v>2025</v>
      </c>
    </row>
    <row r="3233" spans="1:16" hidden="1" x14ac:dyDescent="0.25">
      <c r="A3233" s="96" t="s">
        <v>175</v>
      </c>
      <c r="B3233" s="96" t="s">
        <v>264</v>
      </c>
      <c r="C3233" s="96" t="s">
        <v>3111</v>
      </c>
      <c r="D3233" s="96" t="s">
        <v>40</v>
      </c>
      <c r="E3233" s="43">
        <v>45882</v>
      </c>
      <c r="F3233" s="43">
        <v>45953</v>
      </c>
      <c r="G3233" s="96" t="s">
        <v>92</v>
      </c>
      <c r="H3233" s="96" t="s">
        <v>6939</v>
      </c>
      <c r="I3233" s="96" t="s">
        <v>225</v>
      </c>
      <c r="J3233" s="96" t="s">
        <v>93</v>
      </c>
      <c r="K3233" s="96" t="s">
        <v>205</v>
      </c>
      <c r="L3233">
        <v>71</v>
      </c>
      <c r="M3233" t="s">
        <v>28</v>
      </c>
      <c r="N3233" t="s">
        <v>8</v>
      </c>
      <c r="O3233" t="s">
        <v>152</v>
      </c>
      <c r="P3233">
        <v>2025</v>
      </c>
    </row>
    <row r="3234" spans="1:16" hidden="1" x14ac:dyDescent="0.25">
      <c r="A3234" s="96" t="s">
        <v>2</v>
      </c>
      <c r="B3234" s="96" t="s">
        <v>247</v>
      </c>
      <c r="C3234" s="96" t="s">
        <v>3112</v>
      </c>
      <c r="D3234" s="96" t="s">
        <v>14</v>
      </c>
      <c r="E3234" s="43">
        <v>45885</v>
      </c>
      <c r="F3234" s="43">
        <v>45938</v>
      </c>
      <c r="G3234" s="96" t="s">
        <v>92</v>
      </c>
      <c r="H3234" s="96" t="s">
        <v>6940</v>
      </c>
      <c r="I3234" s="96" t="s">
        <v>228</v>
      </c>
      <c r="J3234" s="96" t="s">
        <v>98</v>
      </c>
      <c r="K3234" s="96" t="s">
        <v>246</v>
      </c>
      <c r="L3234">
        <v>53</v>
      </c>
      <c r="M3234" t="s">
        <v>24</v>
      </c>
      <c r="N3234" t="s">
        <v>8</v>
      </c>
      <c r="O3234" t="s">
        <v>150</v>
      </c>
      <c r="P3234">
        <v>2025</v>
      </c>
    </row>
    <row r="3235" spans="1:16" x14ac:dyDescent="0.25">
      <c r="A3235" s="96" t="s">
        <v>171</v>
      </c>
      <c r="B3235" s="96" t="s">
        <v>261</v>
      </c>
      <c r="C3235" s="96" t="s">
        <v>3113</v>
      </c>
      <c r="D3235" s="96" t="s">
        <v>203</v>
      </c>
      <c r="E3235" s="43">
        <v>46068</v>
      </c>
      <c r="F3235" s="43">
        <v>46132</v>
      </c>
      <c r="G3235" s="96" t="s">
        <v>90</v>
      </c>
      <c r="H3235" s="96" t="s">
        <v>3010</v>
      </c>
      <c r="I3235" s="96" t="s">
        <v>209</v>
      </c>
      <c r="J3235" s="96" t="s">
        <v>176</v>
      </c>
      <c r="K3235" s="96" t="s">
        <v>246</v>
      </c>
      <c r="L3235">
        <v>64</v>
      </c>
      <c r="M3235" t="s">
        <v>28</v>
      </c>
      <c r="N3235" t="s">
        <v>32</v>
      </c>
      <c r="O3235" t="s">
        <v>151</v>
      </c>
      <c r="P3235">
        <v>2026</v>
      </c>
    </row>
    <row r="3236" spans="1:16" hidden="1" x14ac:dyDescent="0.25">
      <c r="A3236" s="96" t="s">
        <v>2</v>
      </c>
      <c r="B3236" s="96" t="s">
        <v>322</v>
      </c>
      <c r="C3236" s="96" t="s">
        <v>3114</v>
      </c>
      <c r="D3236" s="96" t="s">
        <v>208</v>
      </c>
      <c r="E3236" s="43">
        <v>45802</v>
      </c>
      <c r="F3236" s="43">
        <v>45896</v>
      </c>
      <c r="G3236" s="96" t="s">
        <v>90</v>
      </c>
      <c r="H3236" s="96" t="s">
        <v>3012</v>
      </c>
      <c r="I3236" s="96" t="s">
        <v>228</v>
      </c>
      <c r="J3236" s="96" t="s">
        <v>96</v>
      </c>
      <c r="K3236" s="96" t="s">
        <v>217</v>
      </c>
      <c r="L3236">
        <v>94</v>
      </c>
      <c r="M3236" t="s">
        <v>28</v>
      </c>
      <c r="N3236" t="s">
        <v>182</v>
      </c>
      <c r="O3236" t="s">
        <v>150</v>
      </c>
      <c r="P3236">
        <v>2025</v>
      </c>
    </row>
    <row r="3237" spans="1:16" hidden="1" x14ac:dyDescent="0.25">
      <c r="A3237" s="96" t="s">
        <v>2</v>
      </c>
      <c r="B3237" s="96" t="s">
        <v>280</v>
      </c>
      <c r="C3237" s="96" t="s">
        <v>6941</v>
      </c>
      <c r="D3237" s="96" t="s">
        <v>237</v>
      </c>
      <c r="E3237" s="43">
        <v>45878</v>
      </c>
      <c r="F3237" s="43">
        <v>45963</v>
      </c>
      <c r="G3237" s="96" t="s">
        <v>92</v>
      </c>
      <c r="H3237" s="96" t="s">
        <v>6942</v>
      </c>
      <c r="I3237" s="96" t="s">
        <v>157</v>
      </c>
      <c r="J3237" s="96" t="s">
        <v>283</v>
      </c>
      <c r="K3237" s="96" t="s">
        <v>195</v>
      </c>
      <c r="L3237">
        <v>85</v>
      </c>
      <c r="M3237" t="s">
        <v>28</v>
      </c>
      <c r="N3237" t="s">
        <v>8</v>
      </c>
      <c r="O3237" t="s">
        <v>170</v>
      </c>
      <c r="P3237">
        <v>2025</v>
      </c>
    </row>
    <row r="3238" spans="1:16" x14ac:dyDescent="0.25">
      <c r="A3238" s="96" t="s">
        <v>2</v>
      </c>
      <c r="B3238" s="96" t="s">
        <v>290</v>
      </c>
      <c r="C3238" s="96" t="s">
        <v>6943</v>
      </c>
      <c r="D3238" s="96" t="s">
        <v>14</v>
      </c>
      <c r="E3238" s="43">
        <v>46049</v>
      </c>
      <c r="F3238" s="43">
        <v>46113</v>
      </c>
      <c r="G3238" s="96" t="s">
        <v>92</v>
      </c>
      <c r="H3238" s="96" t="s">
        <v>6944</v>
      </c>
      <c r="I3238" s="96" t="s">
        <v>157</v>
      </c>
      <c r="J3238" s="96" t="s">
        <v>174</v>
      </c>
      <c r="K3238" s="96" t="s">
        <v>200</v>
      </c>
      <c r="L3238">
        <v>64</v>
      </c>
      <c r="M3238" t="s">
        <v>28</v>
      </c>
      <c r="N3238" t="s">
        <v>29</v>
      </c>
      <c r="O3238" t="s">
        <v>149</v>
      </c>
      <c r="P3238">
        <v>2026</v>
      </c>
    </row>
    <row r="3239" spans="1:16" hidden="1" x14ac:dyDescent="0.25">
      <c r="A3239" s="96" t="s">
        <v>2</v>
      </c>
      <c r="B3239" s="96" t="s">
        <v>272</v>
      </c>
      <c r="C3239" s="96" t="s">
        <v>6945</v>
      </c>
      <c r="D3239" s="96" t="s">
        <v>223</v>
      </c>
      <c r="E3239" s="43">
        <v>45742</v>
      </c>
      <c r="F3239" s="43">
        <v>45766</v>
      </c>
      <c r="G3239" s="96" t="s">
        <v>92</v>
      </c>
      <c r="H3239" s="96" t="s">
        <v>6946</v>
      </c>
      <c r="I3239" s="96" t="s">
        <v>225</v>
      </c>
      <c r="J3239" s="96" t="s">
        <v>97</v>
      </c>
      <c r="K3239" s="96" t="s">
        <v>246</v>
      </c>
      <c r="L3239">
        <v>24</v>
      </c>
      <c r="M3239" t="s">
        <v>19</v>
      </c>
      <c r="N3239" t="s">
        <v>186</v>
      </c>
      <c r="O3239" t="s">
        <v>151</v>
      </c>
      <c r="P3239">
        <v>2025</v>
      </c>
    </row>
    <row r="3240" spans="1:16" hidden="1" x14ac:dyDescent="0.25">
      <c r="A3240" s="96" t="s">
        <v>2</v>
      </c>
      <c r="B3240" s="96" t="s">
        <v>206</v>
      </c>
      <c r="C3240" s="96" t="s">
        <v>3115</v>
      </c>
      <c r="D3240" s="96" t="s">
        <v>34</v>
      </c>
      <c r="E3240" s="43">
        <v>45758</v>
      </c>
      <c r="F3240" s="43">
        <v>45876</v>
      </c>
      <c r="G3240" s="96" t="s">
        <v>92</v>
      </c>
      <c r="H3240" s="96" t="s">
        <v>6947</v>
      </c>
      <c r="I3240" s="96" t="s">
        <v>157</v>
      </c>
      <c r="J3240" s="96" t="s">
        <v>93</v>
      </c>
      <c r="K3240" s="96" t="s">
        <v>233</v>
      </c>
      <c r="L3240">
        <v>118</v>
      </c>
      <c r="M3240" t="s">
        <v>28</v>
      </c>
      <c r="N3240" t="s">
        <v>185</v>
      </c>
      <c r="O3240" t="s">
        <v>152</v>
      </c>
      <c r="P3240">
        <v>2025</v>
      </c>
    </row>
    <row r="3241" spans="1:16" hidden="1" x14ac:dyDescent="0.25">
      <c r="A3241" s="96" t="s">
        <v>2</v>
      </c>
      <c r="B3241" s="96" t="s">
        <v>264</v>
      </c>
      <c r="C3241" s="96" t="s">
        <v>3116</v>
      </c>
      <c r="D3241" s="96" t="s">
        <v>34</v>
      </c>
      <c r="E3241" s="43">
        <v>46009</v>
      </c>
      <c r="F3241" s="43">
        <v>46050</v>
      </c>
      <c r="G3241" s="96" t="s">
        <v>92</v>
      </c>
      <c r="H3241" s="96" t="s">
        <v>6948</v>
      </c>
      <c r="I3241" s="96" t="s">
        <v>228</v>
      </c>
      <c r="J3241" s="96" t="s">
        <v>229</v>
      </c>
      <c r="K3241" s="96" t="s">
        <v>205</v>
      </c>
      <c r="L3241">
        <v>41</v>
      </c>
      <c r="M3241" t="s">
        <v>24</v>
      </c>
      <c r="N3241" t="s">
        <v>25</v>
      </c>
      <c r="O3241" t="s">
        <v>152</v>
      </c>
      <c r="P3241">
        <v>2025</v>
      </c>
    </row>
    <row r="3242" spans="1:16" x14ac:dyDescent="0.25">
      <c r="A3242" s="96" t="s">
        <v>2</v>
      </c>
      <c r="B3242" s="96" t="s">
        <v>374</v>
      </c>
      <c r="C3242" s="96" t="s">
        <v>3117</v>
      </c>
      <c r="D3242" s="96" t="s">
        <v>237</v>
      </c>
      <c r="E3242" s="43">
        <v>46040</v>
      </c>
      <c r="F3242" s="43">
        <v>46065</v>
      </c>
      <c r="G3242" s="96" t="s">
        <v>90</v>
      </c>
      <c r="H3242" s="96" t="s">
        <v>6949</v>
      </c>
      <c r="I3242" s="96" t="s">
        <v>228</v>
      </c>
      <c r="J3242" s="96" t="s">
        <v>168</v>
      </c>
      <c r="K3242" s="96" t="s">
        <v>157</v>
      </c>
      <c r="L3242">
        <v>25</v>
      </c>
      <c r="M3242" t="s">
        <v>19</v>
      </c>
      <c r="N3242" t="s">
        <v>29</v>
      </c>
      <c r="O3242" t="s">
        <v>150</v>
      </c>
      <c r="P3242">
        <v>2026</v>
      </c>
    </row>
    <row r="3243" spans="1:16" hidden="1" x14ac:dyDescent="0.25">
      <c r="A3243" s="96" t="s">
        <v>2</v>
      </c>
      <c r="B3243" s="96" t="s">
        <v>247</v>
      </c>
      <c r="C3243" s="96" t="s">
        <v>3118</v>
      </c>
      <c r="D3243" s="96" t="s">
        <v>34</v>
      </c>
      <c r="E3243" s="43">
        <v>45829</v>
      </c>
      <c r="F3243" s="43">
        <v>45884</v>
      </c>
      <c r="G3243" s="96" t="s">
        <v>90</v>
      </c>
      <c r="H3243" s="96" t="s">
        <v>6950</v>
      </c>
      <c r="I3243" s="96" t="s">
        <v>204</v>
      </c>
      <c r="J3243" s="96" t="s">
        <v>96</v>
      </c>
      <c r="K3243" s="96" t="s">
        <v>217</v>
      </c>
      <c r="L3243">
        <v>55</v>
      </c>
      <c r="M3243" t="s">
        <v>24</v>
      </c>
      <c r="N3243" t="s">
        <v>184</v>
      </c>
      <c r="O3243" t="s">
        <v>150</v>
      </c>
      <c r="P3243">
        <v>2025</v>
      </c>
    </row>
    <row r="3244" spans="1:16" x14ac:dyDescent="0.25">
      <c r="A3244" s="96" t="s">
        <v>2</v>
      </c>
      <c r="B3244" s="96" t="s">
        <v>317</v>
      </c>
      <c r="C3244" s="96" t="s">
        <v>6951</v>
      </c>
      <c r="D3244" s="96" t="s">
        <v>208</v>
      </c>
      <c r="E3244" s="43">
        <v>46093</v>
      </c>
      <c r="F3244" s="43">
        <v>46138</v>
      </c>
      <c r="G3244" s="96" t="s">
        <v>92</v>
      </c>
      <c r="H3244" s="96" t="s">
        <v>6952</v>
      </c>
      <c r="I3244" s="96" t="s">
        <v>228</v>
      </c>
      <c r="J3244" s="96" t="s">
        <v>91</v>
      </c>
      <c r="K3244" s="96" t="s">
        <v>195</v>
      </c>
      <c r="L3244">
        <v>45</v>
      </c>
      <c r="M3244" t="s">
        <v>24</v>
      </c>
      <c r="N3244" t="s">
        <v>35</v>
      </c>
      <c r="O3244" t="s">
        <v>170</v>
      </c>
      <c r="P3244">
        <v>2026</v>
      </c>
    </row>
    <row r="3245" spans="1:16" x14ac:dyDescent="0.25">
      <c r="A3245" s="96" t="s">
        <v>2</v>
      </c>
      <c r="B3245" s="96" t="s">
        <v>196</v>
      </c>
      <c r="C3245" s="96" t="s">
        <v>6953</v>
      </c>
      <c r="D3245" s="96" t="s">
        <v>34</v>
      </c>
      <c r="E3245" s="43">
        <v>46060</v>
      </c>
      <c r="F3245" s="43">
        <v>46148</v>
      </c>
      <c r="G3245" s="96" t="s">
        <v>92</v>
      </c>
      <c r="H3245" s="96" t="s">
        <v>6954</v>
      </c>
      <c r="I3245" s="96" t="s">
        <v>204</v>
      </c>
      <c r="J3245" s="96" t="s">
        <v>168</v>
      </c>
      <c r="K3245" s="96" t="s">
        <v>230</v>
      </c>
      <c r="L3245">
        <v>88</v>
      </c>
      <c r="M3245" t="s">
        <v>28</v>
      </c>
      <c r="N3245" t="s">
        <v>32</v>
      </c>
      <c r="O3245" t="s">
        <v>152</v>
      </c>
      <c r="P3245">
        <v>2026</v>
      </c>
    </row>
    <row r="3246" spans="1:16" hidden="1" x14ac:dyDescent="0.25">
      <c r="A3246" s="96" t="s">
        <v>175</v>
      </c>
      <c r="B3246" s="96" t="s">
        <v>255</v>
      </c>
      <c r="C3246" s="96" t="s">
        <v>6955</v>
      </c>
      <c r="D3246" s="96" t="s">
        <v>208</v>
      </c>
      <c r="E3246" s="43">
        <v>45782</v>
      </c>
      <c r="F3246" s="43">
        <v>45793</v>
      </c>
      <c r="G3246" s="96" t="s">
        <v>90</v>
      </c>
      <c r="H3246" s="96" t="s">
        <v>6956</v>
      </c>
      <c r="I3246" s="96" t="s">
        <v>204</v>
      </c>
      <c r="J3246" s="96" t="s">
        <v>94</v>
      </c>
      <c r="K3246" s="96" t="s">
        <v>195</v>
      </c>
      <c r="L3246">
        <v>11</v>
      </c>
      <c r="M3246" t="s">
        <v>15</v>
      </c>
      <c r="N3246" t="s">
        <v>182</v>
      </c>
      <c r="O3246" t="s">
        <v>150</v>
      </c>
      <c r="P3246">
        <v>2025</v>
      </c>
    </row>
    <row r="3247" spans="1:16" hidden="1" x14ac:dyDescent="0.25">
      <c r="A3247" s="96" t="s">
        <v>2</v>
      </c>
      <c r="B3247" s="96" t="s">
        <v>211</v>
      </c>
      <c r="C3247" s="96" t="s">
        <v>3119</v>
      </c>
      <c r="D3247" s="96" t="s">
        <v>14</v>
      </c>
      <c r="E3247" s="43">
        <v>45705</v>
      </c>
      <c r="F3247" s="43">
        <v>45793</v>
      </c>
      <c r="G3247" s="96" t="s">
        <v>92</v>
      </c>
      <c r="H3247" s="96" t="s">
        <v>6957</v>
      </c>
      <c r="I3247" s="96" t="s">
        <v>225</v>
      </c>
      <c r="J3247" s="96" t="s">
        <v>169</v>
      </c>
      <c r="K3247" s="96" t="s">
        <v>200</v>
      </c>
      <c r="L3247">
        <v>88</v>
      </c>
      <c r="M3247" t="s">
        <v>28</v>
      </c>
      <c r="N3247" t="s">
        <v>188</v>
      </c>
      <c r="O3247" t="s">
        <v>170</v>
      </c>
      <c r="P3247">
        <v>2025</v>
      </c>
    </row>
    <row r="3248" spans="1:16" x14ac:dyDescent="0.25">
      <c r="A3248" s="96" t="s">
        <v>2</v>
      </c>
      <c r="B3248" s="96" t="s">
        <v>269</v>
      </c>
      <c r="C3248" s="96" t="s">
        <v>3120</v>
      </c>
      <c r="D3248" s="96" t="s">
        <v>40</v>
      </c>
      <c r="E3248" s="43">
        <v>46146</v>
      </c>
      <c r="F3248" s="43">
        <v>46151</v>
      </c>
      <c r="G3248" s="96" t="s">
        <v>92</v>
      </c>
      <c r="H3248" s="96" t="s">
        <v>3021</v>
      </c>
      <c r="I3248" s="96" t="s">
        <v>157</v>
      </c>
      <c r="J3248" s="96" t="s">
        <v>174</v>
      </c>
      <c r="K3248" s="96" t="s">
        <v>217</v>
      </c>
      <c r="L3248">
        <v>5</v>
      </c>
      <c r="M3248" t="s">
        <v>11</v>
      </c>
      <c r="N3248" t="s">
        <v>183</v>
      </c>
      <c r="O3248" t="s">
        <v>152</v>
      </c>
      <c r="P3248">
        <v>2026</v>
      </c>
    </row>
    <row r="3249" spans="1:16" hidden="1" x14ac:dyDescent="0.25">
      <c r="A3249" s="96" t="s">
        <v>21</v>
      </c>
      <c r="B3249" s="96" t="s">
        <v>322</v>
      </c>
      <c r="C3249" s="96" t="s">
        <v>3121</v>
      </c>
      <c r="D3249" s="96" t="s">
        <v>223</v>
      </c>
      <c r="E3249" s="43">
        <v>45728</v>
      </c>
      <c r="F3249" s="43">
        <v>45763</v>
      </c>
      <c r="G3249" s="96" t="s">
        <v>90</v>
      </c>
      <c r="H3249" s="96" t="s">
        <v>6958</v>
      </c>
      <c r="I3249" s="96" t="s">
        <v>204</v>
      </c>
      <c r="J3249" s="96" t="s">
        <v>169</v>
      </c>
      <c r="K3249" s="96" t="s">
        <v>157</v>
      </c>
      <c r="L3249">
        <v>35</v>
      </c>
      <c r="M3249" t="s">
        <v>24</v>
      </c>
      <c r="N3249" t="s">
        <v>186</v>
      </c>
      <c r="O3249" t="s">
        <v>150</v>
      </c>
      <c r="P3249">
        <v>2025</v>
      </c>
    </row>
    <row r="3250" spans="1:16" hidden="1" x14ac:dyDescent="0.25">
      <c r="A3250" s="96" t="s">
        <v>2</v>
      </c>
      <c r="B3250" s="96" t="s">
        <v>231</v>
      </c>
      <c r="C3250" s="96" t="s">
        <v>3122</v>
      </c>
      <c r="D3250" s="96" t="s">
        <v>40</v>
      </c>
      <c r="E3250" s="43">
        <v>45758</v>
      </c>
      <c r="F3250" s="43">
        <v>45853</v>
      </c>
      <c r="G3250" s="96" t="s">
        <v>92</v>
      </c>
      <c r="H3250" s="96" t="s">
        <v>6959</v>
      </c>
      <c r="I3250" s="96" t="s">
        <v>9</v>
      </c>
      <c r="J3250" s="96" t="s">
        <v>173</v>
      </c>
      <c r="K3250" s="96" t="s">
        <v>200</v>
      </c>
      <c r="L3250">
        <v>95</v>
      </c>
      <c r="M3250" t="s">
        <v>28</v>
      </c>
      <c r="N3250" t="s">
        <v>185</v>
      </c>
      <c r="O3250" t="s">
        <v>170</v>
      </c>
      <c r="P3250">
        <v>2025</v>
      </c>
    </row>
    <row r="3251" spans="1:16" hidden="1" x14ac:dyDescent="0.25">
      <c r="A3251" s="96" t="s">
        <v>2</v>
      </c>
      <c r="B3251" s="96" t="s">
        <v>257</v>
      </c>
      <c r="C3251" s="96" t="s">
        <v>6960</v>
      </c>
      <c r="D3251" s="96" t="s">
        <v>40</v>
      </c>
      <c r="E3251" s="43">
        <v>45997</v>
      </c>
      <c r="F3251" s="43">
        <v>46050</v>
      </c>
      <c r="G3251" s="96" t="s">
        <v>90</v>
      </c>
      <c r="H3251" s="96" t="s">
        <v>6961</v>
      </c>
      <c r="I3251" s="96" t="s">
        <v>204</v>
      </c>
      <c r="J3251" s="96" t="s">
        <v>174</v>
      </c>
      <c r="K3251" s="96" t="s">
        <v>230</v>
      </c>
      <c r="L3251">
        <v>53</v>
      </c>
      <c r="M3251" t="s">
        <v>24</v>
      </c>
      <c r="N3251" t="s">
        <v>25</v>
      </c>
      <c r="O3251" t="s">
        <v>151</v>
      </c>
      <c r="P3251">
        <v>2025</v>
      </c>
    </row>
    <row r="3252" spans="1:16" hidden="1" x14ac:dyDescent="0.25">
      <c r="A3252" s="96" t="s">
        <v>2</v>
      </c>
      <c r="B3252" s="96" t="s">
        <v>280</v>
      </c>
      <c r="C3252" s="96" t="s">
        <v>3123</v>
      </c>
      <c r="D3252" s="96" t="s">
        <v>237</v>
      </c>
      <c r="E3252" s="43">
        <v>45898</v>
      </c>
      <c r="F3252" s="43">
        <v>45940</v>
      </c>
      <c r="G3252" s="96" t="s">
        <v>92</v>
      </c>
      <c r="H3252" s="96" t="s">
        <v>6962</v>
      </c>
      <c r="I3252" s="96" t="s">
        <v>157</v>
      </c>
      <c r="J3252" s="96" t="s">
        <v>169</v>
      </c>
      <c r="K3252" s="96" t="s">
        <v>246</v>
      </c>
      <c r="L3252">
        <v>42</v>
      </c>
      <c r="M3252" t="s">
        <v>24</v>
      </c>
      <c r="N3252" t="s">
        <v>8</v>
      </c>
      <c r="O3252" t="s">
        <v>170</v>
      </c>
      <c r="P3252">
        <v>2025</v>
      </c>
    </row>
    <row r="3253" spans="1:16" hidden="1" x14ac:dyDescent="0.25">
      <c r="A3253" s="96" t="s">
        <v>175</v>
      </c>
      <c r="B3253" s="96" t="s">
        <v>322</v>
      </c>
      <c r="C3253" s="96" t="s">
        <v>3124</v>
      </c>
      <c r="D3253" s="96" t="s">
        <v>223</v>
      </c>
      <c r="E3253" s="43">
        <v>45848</v>
      </c>
      <c r="F3253" s="43">
        <v>45914</v>
      </c>
      <c r="G3253" s="96" t="s">
        <v>90</v>
      </c>
      <c r="H3253" s="96" t="s">
        <v>6963</v>
      </c>
      <c r="I3253" s="96" t="s">
        <v>228</v>
      </c>
      <c r="J3253" s="96" t="s">
        <v>97</v>
      </c>
      <c r="K3253" s="96" t="s">
        <v>157</v>
      </c>
      <c r="L3253">
        <v>66</v>
      </c>
      <c r="M3253" t="s">
        <v>28</v>
      </c>
      <c r="N3253" t="s">
        <v>187</v>
      </c>
      <c r="O3253" t="s">
        <v>150</v>
      </c>
      <c r="P3253">
        <v>2025</v>
      </c>
    </row>
    <row r="3254" spans="1:16" hidden="1" x14ac:dyDescent="0.25">
      <c r="A3254" s="96" t="s">
        <v>2</v>
      </c>
      <c r="B3254" s="96" t="s">
        <v>190</v>
      </c>
      <c r="C3254" s="96" t="s">
        <v>6964</v>
      </c>
      <c r="D3254" s="96" t="s">
        <v>208</v>
      </c>
      <c r="E3254" s="43">
        <v>45727</v>
      </c>
      <c r="F3254" s="43">
        <v>45776</v>
      </c>
      <c r="G3254" s="96" t="s">
        <v>92</v>
      </c>
      <c r="H3254" s="96" t="s">
        <v>6965</v>
      </c>
      <c r="I3254" s="96" t="s">
        <v>209</v>
      </c>
      <c r="J3254" s="96" t="s">
        <v>165</v>
      </c>
      <c r="K3254" s="96" t="s">
        <v>210</v>
      </c>
      <c r="L3254">
        <v>49</v>
      </c>
      <c r="M3254" t="s">
        <v>24</v>
      </c>
      <c r="N3254" t="s">
        <v>186</v>
      </c>
      <c r="O3254" t="s">
        <v>150</v>
      </c>
      <c r="P3254">
        <v>2025</v>
      </c>
    </row>
    <row r="3255" spans="1:16" hidden="1" x14ac:dyDescent="0.25">
      <c r="A3255" s="96" t="s">
        <v>2</v>
      </c>
      <c r="B3255" s="96" t="s">
        <v>211</v>
      </c>
      <c r="C3255" s="96" t="s">
        <v>3125</v>
      </c>
      <c r="D3255" s="96" t="s">
        <v>203</v>
      </c>
      <c r="E3255" s="43">
        <v>45752</v>
      </c>
      <c r="F3255" s="43">
        <v>45767</v>
      </c>
      <c r="G3255" s="96" t="s">
        <v>90</v>
      </c>
      <c r="H3255" s="96" t="s">
        <v>6966</v>
      </c>
      <c r="I3255" s="96" t="s">
        <v>9</v>
      </c>
      <c r="J3255" s="96" t="s">
        <v>216</v>
      </c>
      <c r="K3255" s="96" t="s">
        <v>205</v>
      </c>
      <c r="L3255">
        <v>15</v>
      </c>
      <c r="M3255" t="s">
        <v>19</v>
      </c>
      <c r="N3255" t="s">
        <v>185</v>
      </c>
      <c r="O3255" t="s">
        <v>170</v>
      </c>
      <c r="P3255">
        <v>2025</v>
      </c>
    </row>
    <row r="3256" spans="1:16" hidden="1" x14ac:dyDescent="0.25">
      <c r="A3256" s="96" t="s">
        <v>171</v>
      </c>
      <c r="B3256" s="96" t="s">
        <v>253</v>
      </c>
      <c r="C3256" s="96" t="s">
        <v>3126</v>
      </c>
      <c r="D3256" s="96" t="s">
        <v>192</v>
      </c>
      <c r="E3256" s="43">
        <v>45870</v>
      </c>
      <c r="F3256" s="43">
        <v>45990</v>
      </c>
      <c r="G3256" s="96" t="s">
        <v>92</v>
      </c>
      <c r="H3256" s="96" t="s">
        <v>6967</v>
      </c>
      <c r="I3256" s="96" t="s">
        <v>209</v>
      </c>
      <c r="J3256" s="96" t="s">
        <v>172</v>
      </c>
      <c r="K3256" s="96" t="s">
        <v>233</v>
      </c>
      <c r="L3256">
        <v>120</v>
      </c>
      <c r="M3256" t="s">
        <v>28</v>
      </c>
      <c r="N3256" t="s">
        <v>8</v>
      </c>
      <c r="O3256" t="s">
        <v>152</v>
      </c>
      <c r="P3256">
        <v>2025</v>
      </c>
    </row>
    <row r="3257" spans="1:16" hidden="1" x14ac:dyDescent="0.25">
      <c r="A3257" s="96" t="s">
        <v>2</v>
      </c>
      <c r="B3257" s="96" t="s">
        <v>206</v>
      </c>
      <c r="C3257" s="96" t="s">
        <v>3127</v>
      </c>
      <c r="D3257" s="96" t="s">
        <v>237</v>
      </c>
      <c r="E3257" s="43">
        <v>45865</v>
      </c>
      <c r="F3257" s="43">
        <v>45950</v>
      </c>
      <c r="G3257" s="96" t="s">
        <v>95</v>
      </c>
      <c r="H3257" s="96" t="s">
        <v>6968</v>
      </c>
      <c r="I3257" s="96" t="s">
        <v>225</v>
      </c>
      <c r="J3257" s="96" t="s">
        <v>91</v>
      </c>
      <c r="K3257" s="96" t="s">
        <v>200</v>
      </c>
      <c r="L3257">
        <v>85</v>
      </c>
      <c r="M3257" t="s">
        <v>28</v>
      </c>
      <c r="N3257" t="s">
        <v>187</v>
      </c>
      <c r="O3257" t="s">
        <v>152</v>
      </c>
      <c r="P3257">
        <v>2025</v>
      </c>
    </row>
    <row r="3258" spans="1:16" x14ac:dyDescent="0.25">
      <c r="A3258" s="96" t="s">
        <v>21</v>
      </c>
      <c r="B3258" s="96" t="s">
        <v>219</v>
      </c>
      <c r="C3258" s="96" t="s">
        <v>3128</v>
      </c>
      <c r="D3258" s="96" t="s">
        <v>10</v>
      </c>
      <c r="E3258" s="43">
        <v>46067</v>
      </c>
      <c r="F3258" s="43">
        <v>46077</v>
      </c>
      <c r="G3258" s="96" t="s">
        <v>95</v>
      </c>
      <c r="H3258" s="96" t="s">
        <v>6969</v>
      </c>
      <c r="I3258" s="96" t="s">
        <v>9</v>
      </c>
      <c r="J3258" s="96" t="s">
        <v>177</v>
      </c>
      <c r="K3258" s="96" t="s">
        <v>157</v>
      </c>
      <c r="L3258">
        <v>10</v>
      </c>
      <c r="M3258" t="s">
        <v>15</v>
      </c>
      <c r="N3258" t="s">
        <v>32</v>
      </c>
      <c r="O3258" t="s">
        <v>149</v>
      </c>
      <c r="P3258">
        <v>2026</v>
      </c>
    </row>
    <row r="3259" spans="1:16" x14ac:dyDescent="0.25">
      <c r="A3259" s="96" t="s">
        <v>2</v>
      </c>
      <c r="B3259" s="96" t="s">
        <v>290</v>
      </c>
      <c r="C3259" s="96" t="s">
        <v>3129</v>
      </c>
      <c r="D3259" s="96" t="s">
        <v>192</v>
      </c>
      <c r="E3259" s="43">
        <v>46068</v>
      </c>
      <c r="F3259" s="43">
        <v>46085</v>
      </c>
      <c r="G3259" s="96" t="s">
        <v>90</v>
      </c>
      <c r="H3259" s="96" t="s">
        <v>6970</v>
      </c>
      <c r="I3259" s="96" t="s">
        <v>209</v>
      </c>
      <c r="J3259" s="96" t="s">
        <v>97</v>
      </c>
      <c r="K3259" s="96" t="s">
        <v>217</v>
      </c>
      <c r="L3259">
        <v>17</v>
      </c>
      <c r="M3259" t="s">
        <v>19</v>
      </c>
      <c r="N3259" t="s">
        <v>32</v>
      </c>
      <c r="O3259" t="s">
        <v>149</v>
      </c>
      <c r="P3259">
        <v>2026</v>
      </c>
    </row>
    <row r="3260" spans="1:16" x14ac:dyDescent="0.25">
      <c r="A3260" s="96" t="s">
        <v>2</v>
      </c>
      <c r="B3260" s="96" t="s">
        <v>317</v>
      </c>
      <c r="C3260" s="96" t="s">
        <v>6971</v>
      </c>
      <c r="D3260" s="96" t="s">
        <v>10</v>
      </c>
      <c r="E3260" s="43">
        <v>46035</v>
      </c>
      <c r="F3260" s="43">
        <v>46103</v>
      </c>
      <c r="G3260" s="96" t="s">
        <v>92</v>
      </c>
      <c r="H3260" s="96" t="s">
        <v>6972</v>
      </c>
      <c r="I3260" s="96" t="s">
        <v>157</v>
      </c>
      <c r="J3260" s="96" t="s">
        <v>165</v>
      </c>
      <c r="K3260" s="96" t="s">
        <v>230</v>
      </c>
      <c r="L3260">
        <v>68</v>
      </c>
      <c r="M3260" t="s">
        <v>28</v>
      </c>
      <c r="N3260" t="s">
        <v>29</v>
      </c>
      <c r="O3260" t="s">
        <v>170</v>
      </c>
      <c r="P3260">
        <v>2026</v>
      </c>
    </row>
    <row r="3261" spans="1:16" hidden="1" x14ac:dyDescent="0.25">
      <c r="A3261" s="96" t="s">
        <v>175</v>
      </c>
      <c r="B3261" s="96" t="s">
        <v>264</v>
      </c>
      <c r="C3261" s="96" t="s">
        <v>3130</v>
      </c>
      <c r="D3261" s="96" t="s">
        <v>14</v>
      </c>
      <c r="E3261" s="43">
        <v>45932</v>
      </c>
      <c r="F3261" s="43">
        <v>45956</v>
      </c>
      <c r="G3261" s="96" t="s">
        <v>90</v>
      </c>
      <c r="H3261" s="96" t="s">
        <v>6973</v>
      </c>
      <c r="I3261" s="96" t="s">
        <v>194</v>
      </c>
      <c r="J3261" s="96" t="s">
        <v>91</v>
      </c>
      <c r="K3261" s="96" t="s">
        <v>195</v>
      </c>
      <c r="L3261">
        <v>24</v>
      </c>
      <c r="M3261" t="s">
        <v>19</v>
      </c>
      <c r="N3261" t="s">
        <v>16</v>
      </c>
      <c r="O3261" t="s">
        <v>152</v>
      </c>
      <c r="P3261">
        <v>2025</v>
      </c>
    </row>
    <row r="3262" spans="1:16" x14ac:dyDescent="0.25">
      <c r="A3262" s="96" t="s">
        <v>2</v>
      </c>
      <c r="B3262" s="96" t="s">
        <v>261</v>
      </c>
      <c r="C3262" s="96" t="s">
        <v>3132</v>
      </c>
      <c r="D3262" s="96" t="s">
        <v>208</v>
      </c>
      <c r="E3262" s="43">
        <v>46130</v>
      </c>
      <c r="F3262" s="43">
        <v>46151</v>
      </c>
      <c r="G3262" s="96" t="s">
        <v>92</v>
      </c>
      <c r="H3262" s="96" t="s">
        <v>6974</v>
      </c>
      <c r="I3262" s="96" t="s">
        <v>225</v>
      </c>
      <c r="J3262" s="96" t="s">
        <v>199</v>
      </c>
      <c r="K3262" s="96" t="s">
        <v>217</v>
      </c>
      <c r="L3262">
        <v>21</v>
      </c>
      <c r="M3262" t="s">
        <v>19</v>
      </c>
      <c r="N3262" t="s">
        <v>37</v>
      </c>
      <c r="O3262" t="s">
        <v>151</v>
      </c>
      <c r="P3262">
        <v>2026</v>
      </c>
    </row>
    <row r="3263" spans="1:16" x14ac:dyDescent="0.25">
      <c r="A3263" s="96" t="s">
        <v>2</v>
      </c>
      <c r="B3263" s="96" t="s">
        <v>218</v>
      </c>
      <c r="C3263" s="96" t="s">
        <v>6975</v>
      </c>
      <c r="D3263" s="96" t="s">
        <v>223</v>
      </c>
      <c r="E3263" s="43">
        <v>46112</v>
      </c>
      <c r="F3263" s="43">
        <v>46132</v>
      </c>
      <c r="G3263" s="96" t="s">
        <v>95</v>
      </c>
      <c r="H3263" s="96" t="s">
        <v>6976</v>
      </c>
      <c r="I3263" s="96" t="s">
        <v>194</v>
      </c>
      <c r="J3263" s="96" t="s">
        <v>96</v>
      </c>
      <c r="K3263" s="96" t="s">
        <v>217</v>
      </c>
      <c r="L3263">
        <v>20</v>
      </c>
      <c r="M3263" t="s">
        <v>19</v>
      </c>
      <c r="N3263" t="s">
        <v>35</v>
      </c>
      <c r="O3263" t="s">
        <v>152</v>
      </c>
      <c r="P3263">
        <v>2026</v>
      </c>
    </row>
    <row r="3264" spans="1:16" hidden="1" x14ac:dyDescent="0.25">
      <c r="A3264" s="96" t="s">
        <v>2</v>
      </c>
      <c r="B3264" s="96" t="s">
        <v>272</v>
      </c>
      <c r="C3264" s="96" t="s">
        <v>3133</v>
      </c>
      <c r="D3264" s="96" t="s">
        <v>34</v>
      </c>
      <c r="E3264" s="43">
        <v>45851</v>
      </c>
      <c r="F3264" s="43">
        <v>45911</v>
      </c>
      <c r="G3264" s="96" t="s">
        <v>90</v>
      </c>
      <c r="H3264" s="96" t="s">
        <v>6977</v>
      </c>
      <c r="I3264" s="96" t="s">
        <v>209</v>
      </c>
      <c r="J3264" s="96" t="s">
        <v>169</v>
      </c>
      <c r="K3264" s="96" t="s">
        <v>230</v>
      </c>
      <c r="L3264">
        <v>60</v>
      </c>
      <c r="M3264" t="s">
        <v>24</v>
      </c>
      <c r="N3264" t="s">
        <v>187</v>
      </c>
      <c r="O3264" t="s">
        <v>151</v>
      </c>
      <c r="P3264">
        <v>2025</v>
      </c>
    </row>
    <row r="3265" spans="1:16" hidden="1" x14ac:dyDescent="0.25">
      <c r="A3265" s="96" t="s">
        <v>2</v>
      </c>
      <c r="B3265" s="96" t="s">
        <v>257</v>
      </c>
      <c r="C3265" s="96" t="s">
        <v>3134</v>
      </c>
      <c r="D3265" s="96" t="s">
        <v>223</v>
      </c>
      <c r="E3265" s="43">
        <v>45707</v>
      </c>
      <c r="F3265" s="43">
        <v>45710</v>
      </c>
      <c r="G3265" s="96" t="s">
        <v>92</v>
      </c>
      <c r="H3265" s="96" t="s">
        <v>6978</v>
      </c>
      <c r="I3265" s="96" t="s">
        <v>157</v>
      </c>
      <c r="J3265" s="96" t="s">
        <v>98</v>
      </c>
      <c r="K3265" s="96" t="s">
        <v>205</v>
      </c>
      <c r="L3265">
        <v>3</v>
      </c>
      <c r="M3265" t="s">
        <v>11</v>
      </c>
      <c r="N3265" t="s">
        <v>188</v>
      </c>
      <c r="O3265" t="s">
        <v>151</v>
      </c>
      <c r="P3265">
        <v>2025</v>
      </c>
    </row>
    <row r="3266" spans="1:16" hidden="1" x14ac:dyDescent="0.25">
      <c r="A3266" s="96" t="s">
        <v>2</v>
      </c>
      <c r="B3266" s="96" t="s">
        <v>221</v>
      </c>
      <c r="C3266" s="96" t="s">
        <v>3135</v>
      </c>
      <c r="D3266" s="96" t="s">
        <v>215</v>
      </c>
      <c r="E3266" s="43">
        <v>45763</v>
      </c>
      <c r="F3266" s="43">
        <v>45802</v>
      </c>
      <c r="G3266" s="96" t="s">
        <v>92</v>
      </c>
      <c r="H3266" s="96" t="s">
        <v>6979</v>
      </c>
      <c r="I3266" s="96" t="s">
        <v>9</v>
      </c>
      <c r="J3266" s="96" t="s">
        <v>174</v>
      </c>
      <c r="K3266" s="96" t="s">
        <v>200</v>
      </c>
      <c r="L3266">
        <v>39</v>
      </c>
      <c r="M3266" t="s">
        <v>24</v>
      </c>
      <c r="N3266" t="s">
        <v>185</v>
      </c>
      <c r="O3266" t="s">
        <v>170</v>
      </c>
      <c r="P3266">
        <v>2025</v>
      </c>
    </row>
    <row r="3267" spans="1:16" hidden="1" x14ac:dyDescent="0.25">
      <c r="A3267" s="96" t="s">
        <v>2</v>
      </c>
      <c r="B3267" s="96" t="s">
        <v>240</v>
      </c>
      <c r="C3267" s="96" t="s">
        <v>3136</v>
      </c>
      <c r="D3267" s="96" t="s">
        <v>223</v>
      </c>
      <c r="E3267" s="43">
        <v>46004</v>
      </c>
      <c r="F3267" s="43">
        <v>46072</v>
      </c>
      <c r="G3267" s="96" t="s">
        <v>92</v>
      </c>
      <c r="H3267" s="96" t="s">
        <v>6980</v>
      </c>
      <c r="I3267" s="96" t="s">
        <v>9</v>
      </c>
      <c r="J3267" s="96" t="s">
        <v>91</v>
      </c>
      <c r="K3267" s="96" t="s">
        <v>233</v>
      </c>
      <c r="L3267">
        <v>68</v>
      </c>
      <c r="M3267" t="s">
        <v>28</v>
      </c>
      <c r="N3267" t="s">
        <v>25</v>
      </c>
      <c r="O3267" t="s">
        <v>149</v>
      </c>
      <c r="P3267">
        <v>2025</v>
      </c>
    </row>
    <row r="3268" spans="1:16" hidden="1" x14ac:dyDescent="0.25">
      <c r="A3268" s="96" t="s">
        <v>189</v>
      </c>
      <c r="B3268" s="96" t="s">
        <v>231</v>
      </c>
      <c r="C3268" s="96" t="s">
        <v>6981</v>
      </c>
      <c r="D3268" s="96" t="s">
        <v>40</v>
      </c>
      <c r="E3268" s="43">
        <v>45772</v>
      </c>
      <c r="F3268" s="43">
        <v>45867</v>
      </c>
      <c r="G3268" s="96" t="s">
        <v>92</v>
      </c>
      <c r="H3268" s="96" t="s">
        <v>6982</v>
      </c>
      <c r="I3268" s="96" t="s">
        <v>204</v>
      </c>
      <c r="J3268" s="96" t="s">
        <v>176</v>
      </c>
      <c r="K3268" s="96" t="s">
        <v>157</v>
      </c>
      <c r="L3268">
        <v>95</v>
      </c>
      <c r="M3268" t="s">
        <v>28</v>
      </c>
      <c r="N3268" t="s">
        <v>185</v>
      </c>
      <c r="O3268" t="s">
        <v>170</v>
      </c>
      <c r="P3268">
        <v>2025</v>
      </c>
    </row>
    <row r="3269" spans="1:16" x14ac:dyDescent="0.25">
      <c r="A3269" s="96" t="s">
        <v>2</v>
      </c>
      <c r="B3269" s="96" t="s">
        <v>305</v>
      </c>
      <c r="C3269" s="96" t="s">
        <v>3137</v>
      </c>
      <c r="D3269" s="96" t="s">
        <v>40</v>
      </c>
      <c r="E3269" s="43">
        <v>46104</v>
      </c>
      <c r="F3269" s="43">
        <v>46107</v>
      </c>
      <c r="G3269" s="96" t="s">
        <v>92</v>
      </c>
      <c r="H3269" s="96" t="s">
        <v>6983</v>
      </c>
      <c r="I3269" s="96" t="s">
        <v>157</v>
      </c>
      <c r="J3269" s="96" t="s">
        <v>199</v>
      </c>
      <c r="K3269" s="96" t="s">
        <v>157</v>
      </c>
      <c r="L3269">
        <v>3</v>
      </c>
      <c r="M3269" t="s">
        <v>11</v>
      </c>
      <c r="N3269" t="s">
        <v>35</v>
      </c>
      <c r="O3269" t="s">
        <v>170</v>
      </c>
      <c r="P3269">
        <v>2026</v>
      </c>
    </row>
    <row r="3270" spans="1:16" x14ac:dyDescent="0.25">
      <c r="A3270" s="96" t="s">
        <v>171</v>
      </c>
      <c r="B3270" s="96" t="s">
        <v>234</v>
      </c>
      <c r="C3270" s="96" t="s">
        <v>6984</v>
      </c>
      <c r="D3270" s="96" t="s">
        <v>10</v>
      </c>
      <c r="E3270" s="43">
        <v>46068</v>
      </c>
      <c r="F3270" s="43">
        <v>46147</v>
      </c>
      <c r="G3270" s="96" t="s">
        <v>90</v>
      </c>
      <c r="H3270" s="96" t="s">
        <v>6985</v>
      </c>
      <c r="I3270" s="96" t="s">
        <v>9</v>
      </c>
      <c r="J3270" s="96" t="s">
        <v>216</v>
      </c>
      <c r="K3270" s="96" t="s">
        <v>246</v>
      </c>
      <c r="L3270">
        <v>79</v>
      </c>
      <c r="M3270" t="s">
        <v>28</v>
      </c>
      <c r="N3270" t="s">
        <v>32</v>
      </c>
      <c r="O3270" t="s">
        <v>150</v>
      </c>
      <c r="P3270">
        <v>2026</v>
      </c>
    </row>
    <row r="3271" spans="1:16" hidden="1" x14ac:dyDescent="0.25">
      <c r="A3271" s="96" t="s">
        <v>2</v>
      </c>
      <c r="B3271" s="96" t="s">
        <v>251</v>
      </c>
      <c r="C3271" s="96" t="s">
        <v>3138</v>
      </c>
      <c r="D3271" s="96" t="s">
        <v>237</v>
      </c>
      <c r="E3271" s="43">
        <v>45669</v>
      </c>
      <c r="F3271" s="43">
        <v>45708</v>
      </c>
      <c r="G3271" s="96" t="s">
        <v>92</v>
      </c>
      <c r="H3271" s="96" t="s">
        <v>6986</v>
      </c>
      <c r="I3271" s="96" t="s">
        <v>194</v>
      </c>
      <c r="J3271" s="96" t="s">
        <v>199</v>
      </c>
      <c r="K3271" s="96" t="s">
        <v>233</v>
      </c>
      <c r="L3271">
        <v>39</v>
      </c>
      <c r="M3271" t="s">
        <v>24</v>
      </c>
      <c r="N3271" t="s">
        <v>181</v>
      </c>
      <c r="O3271" t="s">
        <v>170</v>
      </c>
      <c r="P3271">
        <v>2025</v>
      </c>
    </row>
    <row r="3272" spans="1:16" x14ac:dyDescent="0.25">
      <c r="A3272" s="96" t="s">
        <v>21</v>
      </c>
      <c r="B3272" s="96" t="s">
        <v>288</v>
      </c>
      <c r="C3272" s="96" t="s">
        <v>3139</v>
      </c>
      <c r="D3272" s="96" t="s">
        <v>203</v>
      </c>
      <c r="E3272" s="43">
        <v>46070</v>
      </c>
      <c r="F3272" s="43">
        <v>46141</v>
      </c>
      <c r="G3272" s="96" t="s">
        <v>90</v>
      </c>
      <c r="H3272" s="96" t="s">
        <v>6987</v>
      </c>
      <c r="I3272" s="96" t="s">
        <v>194</v>
      </c>
      <c r="J3272" s="96" t="s">
        <v>96</v>
      </c>
      <c r="K3272" s="96" t="s">
        <v>205</v>
      </c>
      <c r="L3272">
        <v>71</v>
      </c>
      <c r="M3272" t="s">
        <v>28</v>
      </c>
      <c r="N3272" t="s">
        <v>32</v>
      </c>
      <c r="O3272" t="s">
        <v>170</v>
      </c>
      <c r="P3272">
        <v>2026</v>
      </c>
    </row>
    <row r="3273" spans="1:16" hidden="1" x14ac:dyDescent="0.25">
      <c r="A3273" s="96" t="s">
        <v>2</v>
      </c>
      <c r="B3273" s="96" t="s">
        <v>280</v>
      </c>
      <c r="C3273" s="96" t="s">
        <v>3140</v>
      </c>
      <c r="D3273" s="96" t="s">
        <v>215</v>
      </c>
      <c r="E3273" s="43">
        <v>45779</v>
      </c>
      <c r="F3273" s="43">
        <v>45782</v>
      </c>
      <c r="G3273" s="96" t="s">
        <v>95</v>
      </c>
      <c r="H3273" s="96" t="s">
        <v>6988</v>
      </c>
      <c r="I3273" s="96" t="s">
        <v>9</v>
      </c>
      <c r="J3273" s="96" t="s">
        <v>168</v>
      </c>
      <c r="K3273" s="96" t="s">
        <v>210</v>
      </c>
      <c r="L3273">
        <v>3</v>
      </c>
      <c r="M3273" t="s">
        <v>11</v>
      </c>
      <c r="N3273" t="s">
        <v>182</v>
      </c>
      <c r="O3273" t="s">
        <v>170</v>
      </c>
      <c r="P3273">
        <v>2025</v>
      </c>
    </row>
    <row r="3274" spans="1:16" hidden="1" x14ac:dyDescent="0.25">
      <c r="A3274" s="96" t="s">
        <v>2</v>
      </c>
      <c r="B3274" s="96" t="s">
        <v>221</v>
      </c>
      <c r="C3274" s="96" t="s">
        <v>3141</v>
      </c>
      <c r="D3274" s="96" t="s">
        <v>223</v>
      </c>
      <c r="E3274" s="43">
        <v>45960</v>
      </c>
      <c r="F3274" s="43">
        <v>46013</v>
      </c>
      <c r="G3274" s="96" t="s">
        <v>92</v>
      </c>
      <c r="H3274" s="96" t="s">
        <v>6989</v>
      </c>
      <c r="I3274" s="96" t="s">
        <v>209</v>
      </c>
      <c r="J3274" s="96" t="s">
        <v>176</v>
      </c>
      <c r="K3274" s="96" t="s">
        <v>157</v>
      </c>
      <c r="L3274">
        <v>53</v>
      </c>
      <c r="M3274" t="s">
        <v>24</v>
      </c>
      <c r="N3274" t="s">
        <v>16</v>
      </c>
      <c r="O3274" t="s">
        <v>170</v>
      </c>
      <c r="P3274">
        <v>2025</v>
      </c>
    </row>
    <row r="3275" spans="1:16" hidden="1" x14ac:dyDescent="0.25">
      <c r="A3275" s="96" t="s">
        <v>2</v>
      </c>
      <c r="B3275" s="96" t="s">
        <v>253</v>
      </c>
      <c r="C3275" s="96" t="s">
        <v>3142</v>
      </c>
      <c r="D3275" s="96" t="s">
        <v>34</v>
      </c>
      <c r="E3275" s="43">
        <v>45786</v>
      </c>
      <c r="F3275" s="43">
        <v>45902</v>
      </c>
      <c r="G3275" s="96" t="s">
        <v>92</v>
      </c>
      <c r="H3275" s="96" t="s">
        <v>6990</v>
      </c>
      <c r="I3275" s="96" t="s">
        <v>225</v>
      </c>
      <c r="J3275" s="96" t="s">
        <v>172</v>
      </c>
      <c r="K3275" s="96" t="s">
        <v>217</v>
      </c>
      <c r="L3275">
        <v>116</v>
      </c>
      <c r="M3275" t="s">
        <v>28</v>
      </c>
      <c r="N3275" t="s">
        <v>182</v>
      </c>
      <c r="O3275" t="s">
        <v>152</v>
      </c>
      <c r="P3275">
        <v>2025</v>
      </c>
    </row>
    <row r="3276" spans="1:16" x14ac:dyDescent="0.25">
      <c r="A3276" s="96" t="s">
        <v>2</v>
      </c>
      <c r="B3276" s="96" t="s">
        <v>269</v>
      </c>
      <c r="C3276" s="96" t="s">
        <v>3143</v>
      </c>
      <c r="D3276" s="96" t="s">
        <v>203</v>
      </c>
      <c r="E3276" s="43">
        <v>46062</v>
      </c>
      <c r="F3276" s="43">
        <v>46106</v>
      </c>
      <c r="G3276" s="96" t="s">
        <v>92</v>
      </c>
      <c r="H3276" s="96" t="s">
        <v>6991</v>
      </c>
      <c r="I3276" s="96" t="s">
        <v>9</v>
      </c>
      <c r="J3276" s="96" t="s">
        <v>98</v>
      </c>
      <c r="K3276" s="96" t="s">
        <v>246</v>
      </c>
      <c r="L3276">
        <v>44</v>
      </c>
      <c r="M3276" t="s">
        <v>24</v>
      </c>
      <c r="N3276" t="s">
        <v>32</v>
      </c>
      <c r="O3276" t="s">
        <v>152</v>
      </c>
      <c r="P3276">
        <v>2026</v>
      </c>
    </row>
    <row r="3277" spans="1:16" hidden="1" x14ac:dyDescent="0.25">
      <c r="A3277" s="96" t="s">
        <v>2</v>
      </c>
      <c r="B3277" s="96" t="s">
        <v>253</v>
      </c>
      <c r="C3277" s="96" t="s">
        <v>3144</v>
      </c>
      <c r="D3277" s="96" t="s">
        <v>203</v>
      </c>
      <c r="E3277" s="43">
        <v>45978</v>
      </c>
      <c r="F3277" s="43">
        <v>46010</v>
      </c>
      <c r="G3277" s="96" t="s">
        <v>92</v>
      </c>
      <c r="H3277" s="96" t="s">
        <v>6992</v>
      </c>
      <c r="I3277" s="96" t="s">
        <v>204</v>
      </c>
      <c r="J3277" s="96" t="s">
        <v>94</v>
      </c>
      <c r="K3277" s="96" t="s">
        <v>230</v>
      </c>
      <c r="L3277">
        <v>32</v>
      </c>
      <c r="M3277" t="s">
        <v>24</v>
      </c>
      <c r="N3277" t="s">
        <v>20</v>
      </c>
      <c r="O3277" t="s">
        <v>152</v>
      </c>
      <c r="P3277">
        <v>2025</v>
      </c>
    </row>
    <row r="3278" spans="1:16" x14ac:dyDescent="0.25">
      <c r="A3278" s="96" t="s">
        <v>2</v>
      </c>
      <c r="B3278" s="96" t="s">
        <v>288</v>
      </c>
      <c r="C3278" s="96" t="s">
        <v>6993</v>
      </c>
      <c r="D3278" s="96" t="s">
        <v>203</v>
      </c>
      <c r="E3278" s="43">
        <v>46084</v>
      </c>
      <c r="F3278" s="43">
        <v>46151</v>
      </c>
      <c r="G3278" s="96" t="s">
        <v>95</v>
      </c>
      <c r="H3278" s="96" t="s">
        <v>6994</v>
      </c>
      <c r="I3278" s="96" t="s">
        <v>157</v>
      </c>
      <c r="J3278" s="96" t="s">
        <v>91</v>
      </c>
      <c r="K3278" s="96" t="s">
        <v>230</v>
      </c>
      <c r="L3278">
        <v>67</v>
      </c>
      <c r="M3278" t="s">
        <v>28</v>
      </c>
      <c r="N3278" t="s">
        <v>35</v>
      </c>
      <c r="O3278" t="s">
        <v>170</v>
      </c>
      <c r="P3278">
        <v>2026</v>
      </c>
    </row>
    <row r="3279" spans="1:16" x14ac:dyDescent="0.25">
      <c r="A3279" s="96" t="s">
        <v>2</v>
      </c>
      <c r="B3279" s="96" t="s">
        <v>219</v>
      </c>
      <c r="C3279" s="96" t="s">
        <v>3145</v>
      </c>
      <c r="D3279" s="96" t="s">
        <v>208</v>
      </c>
      <c r="E3279" s="43">
        <v>46148</v>
      </c>
      <c r="F3279" s="43">
        <v>46146</v>
      </c>
      <c r="G3279" s="96" t="s">
        <v>92</v>
      </c>
      <c r="H3279" s="96" t="s">
        <v>6995</v>
      </c>
      <c r="I3279" s="96" t="s">
        <v>157</v>
      </c>
      <c r="J3279" s="96" t="s">
        <v>94</v>
      </c>
      <c r="K3279" s="96" t="s">
        <v>217</v>
      </c>
      <c r="L3279">
        <v>-2</v>
      </c>
      <c r="M3279" t="s">
        <v>11</v>
      </c>
      <c r="N3279" t="s">
        <v>183</v>
      </c>
      <c r="O3279" t="s">
        <v>149</v>
      </c>
      <c r="P3279">
        <v>2026</v>
      </c>
    </row>
    <row r="3280" spans="1:16" hidden="1" x14ac:dyDescent="0.25">
      <c r="A3280" s="96" t="s">
        <v>2</v>
      </c>
      <c r="B3280" s="96" t="s">
        <v>257</v>
      </c>
      <c r="C3280" s="96" t="s">
        <v>3146</v>
      </c>
      <c r="D3280" s="96" t="s">
        <v>40</v>
      </c>
      <c r="E3280" s="43">
        <v>45896</v>
      </c>
      <c r="F3280" s="43">
        <v>45995</v>
      </c>
      <c r="G3280" s="96" t="s">
        <v>92</v>
      </c>
      <c r="H3280" s="96" t="s">
        <v>6996</v>
      </c>
      <c r="I3280" s="96" t="s">
        <v>204</v>
      </c>
      <c r="J3280" s="96" t="s">
        <v>176</v>
      </c>
      <c r="K3280" s="96" t="s">
        <v>233</v>
      </c>
      <c r="L3280">
        <v>99</v>
      </c>
      <c r="M3280" t="s">
        <v>28</v>
      </c>
      <c r="N3280" t="s">
        <v>8</v>
      </c>
      <c r="O3280" t="s">
        <v>151</v>
      </c>
      <c r="P3280">
        <v>2025</v>
      </c>
    </row>
    <row r="3281" spans="1:16" hidden="1" x14ac:dyDescent="0.25">
      <c r="A3281" s="96" t="s">
        <v>2</v>
      </c>
      <c r="B3281" s="96" t="s">
        <v>221</v>
      </c>
      <c r="C3281" s="96" t="s">
        <v>3147</v>
      </c>
      <c r="D3281" s="96" t="s">
        <v>215</v>
      </c>
      <c r="E3281" s="43">
        <v>45816</v>
      </c>
      <c r="F3281" s="43">
        <v>45871</v>
      </c>
      <c r="G3281" s="96" t="s">
        <v>90</v>
      </c>
      <c r="H3281" s="96" t="s">
        <v>3041</v>
      </c>
      <c r="I3281" s="96" t="s">
        <v>194</v>
      </c>
      <c r="J3281" s="96" t="s">
        <v>174</v>
      </c>
      <c r="K3281" s="96" t="s">
        <v>246</v>
      </c>
      <c r="L3281">
        <v>55</v>
      </c>
      <c r="M3281" t="s">
        <v>24</v>
      </c>
      <c r="N3281" t="s">
        <v>184</v>
      </c>
      <c r="O3281" t="s">
        <v>170</v>
      </c>
      <c r="P3281">
        <v>2025</v>
      </c>
    </row>
    <row r="3282" spans="1:16" hidden="1" x14ac:dyDescent="0.25">
      <c r="A3282" s="96" t="s">
        <v>2</v>
      </c>
      <c r="B3282" s="96" t="s">
        <v>221</v>
      </c>
      <c r="C3282" s="96" t="s">
        <v>3148</v>
      </c>
      <c r="D3282" s="96" t="s">
        <v>192</v>
      </c>
      <c r="E3282" s="43">
        <v>45680</v>
      </c>
      <c r="F3282" s="43">
        <v>45800</v>
      </c>
      <c r="G3282" s="96" t="s">
        <v>92</v>
      </c>
      <c r="H3282" s="96" t="s">
        <v>6997</v>
      </c>
      <c r="I3282" s="96" t="s">
        <v>225</v>
      </c>
      <c r="J3282" s="96" t="s">
        <v>172</v>
      </c>
      <c r="K3282" s="96" t="s">
        <v>157</v>
      </c>
      <c r="L3282">
        <v>120</v>
      </c>
      <c r="M3282" t="s">
        <v>28</v>
      </c>
      <c r="N3282" t="s">
        <v>181</v>
      </c>
      <c r="O3282" t="s">
        <v>170</v>
      </c>
      <c r="P3282">
        <v>2025</v>
      </c>
    </row>
    <row r="3283" spans="1:16" x14ac:dyDescent="0.25">
      <c r="A3283" s="96" t="s">
        <v>2</v>
      </c>
      <c r="B3283" s="96" t="s">
        <v>302</v>
      </c>
      <c r="C3283" s="96" t="s">
        <v>6998</v>
      </c>
      <c r="D3283" s="96" t="s">
        <v>192</v>
      </c>
      <c r="E3283" s="43">
        <v>46080</v>
      </c>
      <c r="F3283" s="43">
        <v>46147</v>
      </c>
      <c r="G3283" s="96" t="s">
        <v>92</v>
      </c>
      <c r="H3283" s="96" t="s">
        <v>3042</v>
      </c>
      <c r="I3283" s="96" t="s">
        <v>194</v>
      </c>
      <c r="J3283" s="96" t="s">
        <v>98</v>
      </c>
      <c r="K3283" s="96" t="s">
        <v>233</v>
      </c>
      <c r="L3283">
        <v>67</v>
      </c>
      <c r="M3283" t="s">
        <v>28</v>
      </c>
      <c r="N3283" t="s">
        <v>32</v>
      </c>
      <c r="O3283" t="s">
        <v>150</v>
      </c>
      <c r="P3283">
        <v>2026</v>
      </c>
    </row>
    <row r="3284" spans="1:16" hidden="1" x14ac:dyDescent="0.25">
      <c r="A3284" s="96" t="s">
        <v>2</v>
      </c>
      <c r="B3284" s="96" t="s">
        <v>272</v>
      </c>
      <c r="C3284" s="96" t="s">
        <v>3149</v>
      </c>
      <c r="D3284" s="96" t="s">
        <v>223</v>
      </c>
      <c r="E3284" s="43">
        <v>45915</v>
      </c>
      <c r="F3284" s="43">
        <v>46019</v>
      </c>
      <c r="G3284" s="96" t="s">
        <v>95</v>
      </c>
      <c r="H3284" s="96" t="s">
        <v>3043</v>
      </c>
      <c r="I3284" s="96" t="s">
        <v>157</v>
      </c>
      <c r="J3284" s="96" t="s">
        <v>93</v>
      </c>
      <c r="K3284" s="96" t="s">
        <v>246</v>
      </c>
      <c r="L3284">
        <v>104</v>
      </c>
      <c r="M3284" t="s">
        <v>28</v>
      </c>
      <c r="N3284" t="s">
        <v>12</v>
      </c>
      <c r="O3284" t="s">
        <v>151</v>
      </c>
      <c r="P3284">
        <v>2025</v>
      </c>
    </row>
    <row r="3285" spans="1:16" hidden="1" x14ac:dyDescent="0.25">
      <c r="A3285" s="96" t="s">
        <v>2</v>
      </c>
      <c r="B3285" s="96" t="s">
        <v>272</v>
      </c>
      <c r="C3285" s="96" t="s">
        <v>6999</v>
      </c>
      <c r="D3285" s="96" t="s">
        <v>10</v>
      </c>
      <c r="E3285" s="43">
        <v>45821</v>
      </c>
      <c r="F3285" s="43">
        <v>45898</v>
      </c>
      <c r="G3285" s="96" t="s">
        <v>92</v>
      </c>
      <c r="H3285" s="96" t="s">
        <v>3044</v>
      </c>
      <c r="I3285" s="96" t="s">
        <v>9</v>
      </c>
      <c r="J3285" s="96" t="s">
        <v>93</v>
      </c>
      <c r="K3285" s="96" t="s">
        <v>200</v>
      </c>
      <c r="L3285">
        <v>77</v>
      </c>
      <c r="M3285" t="s">
        <v>28</v>
      </c>
      <c r="N3285" t="s">
        <v>184</v>
      </c>
      <c r="O3285" t="s">
        <v>151</v>
      </c>
      <c r="P3285">
        <v>2025</v>
      </c>
    </row>
    <row r="3286" spans="1:16" hidden="1" x14ac:dyDescent="0.25">
      <c r="A3286" s="96" t="s">
        <v>2</v>
      </c>
      <c r="B3286" s="96" t="s">
        <v>211</v>
      </c>
      <c r="C3286" s="96" t="s">
        <v>3150</v>
      </c>
      <c r="D3286" s="96" t="s">
        <v>208</v>
      </c>
      <c r="E3286" s="43">
        <v>45802</v>
      </c>
      <c r="F3286" s="43">
        <v>45891</v>
      </c>
      <c r="G3286" s="96" t="s">
        <v>92</v>
      </c>
      <c r="H3286" s="96" t="s">
        <v>7000</v>
      </c>
      <c r="I3286" s="96" t="s">
        <v>9</v>
      </c>
      <c r="J3286" s="96" t="s">
        <v>93</v>
      </c>
      <c r="K3286" s="96" t="s">
        <v>205</v>
      </c>
      <c r="L3286">
        <v>89</v>
      </c>
      <c r="M3286" t="s">
        <v>28</v>
      </c>
      <c r="N3286" t="s">
        <v>182</v>
      </c>
      <c r="O3286" t="s">
        <v>170</v>
      </c>
      <c r="P3286">
        <v>2025</v>
      </c>
    </row>
    <row r="3287" spans="1:16" hidden="1" x14ac:dyDescent="0.25">
      <c r="A3287" s="96" t="s">
        <v>175</v>
      </c>
      <c r="B3287" s="96" t="s">
        <v>264</v>
      </c>
      <c r="C3287" s="96" t="s">
        <v>3151</v>
      </c>
      <c r="D3287" s="96" t="s">
        <v>34</v>
      </c>
      <c r="E3287" s="43">
        <v>45936</v>
      </c>
      <c r="F3287" s="43">
        <v>46052</v>
      </c>
      <c r="G3287" s="96" t="s">
        <v>92</v>
      </c>
      <c r="H3287" s="96" t="s">
        <v>7001</v>
      </c>
      <c r="I3287" s="96" t="s">
        <v>9</v>
      </c>
      <c r="J3287" s="96" t="s">
        <v>93</v>
      </c>
      <c r="K3287" s="96" t="s">
        <v>205</v>
      </c>
      <c r="L3287">
        <v>116</v>
      </c>
      <c r="M3287" t="s">
        <v>28</v>
      </c>
      <c r="N3287" t="s">
        <v>16</v>
      </c>
      <c r="O3287" t="s">
        <v>152</v>
      </c>
      <c r="P3287">
        <v>2025</v>
      </c>
    </row>
    <row r="3288" spans="1:16" x14ac:dyDescent="0.25">
      <c r="A3288" s="96" t="s">
        <v>2</v>
      </c>
      <c r="B3288" s="96" t="s">
        <v>196</v>
      </c>
      <c r="C3288" s="96" t="s">
        <v>3152</v>
      </c>
      <c r="D3288" s="96" t="s">
        <v>192</v>
      </c>
      <c r="E3288" s="43">
        <v>46063</v>
      </c>
      <c r="F3288" s="43">
        <v>46139</v>
      </c>
      <c r="G3288" s="96" t="s">
        <v>90</v>
      </c>
      <c r="H3288" s="96" t="s">
        <v>7002</v>
      </c>
      <c r="I3288" s="96" t="s">
        <v>157</v>
      </c>
      <c r="J3288" s="96" t="s">
        <v>91</v>
      </c>
      <c r="K3288" s="96" t="s">
        <v>195</v>
      </c>
      <c r="L3288">
        <v>76</v>
      </c>
      <c r="M3288" t="s">
        <v>28</v>
      </c>
      <c r="N3288" t="s">
        <v>32</v>
      </c>
      <c r="O3288" t="s">
        <v>152</v>
      </c>
      <c r="P3288">
        <v>2026</v>
      </c>
    </row>
    <row r="3289" spans="1:16" hidden="1" x14ac:dyDescent="0.25">
      <c r="A3289" s="96" t="s">
        <v>2</v>
      </c>
      <c r="B3289" s="96" t="s">
        <v>257</v>
      </c>
      <c r="C3289" s="96" t="s">
        <v>3154</v>
      </c>
      <c r="D3289" s="96" t="s">
        <v>192</v>
      </c>
      <c r="E3289" s="43">
        <v>45933</v>
      </c>
      <c r="F3289" s="43">
        <v>45961</v>
      </c>
      <c r="G3289" s="96" t="s">
        <v>90</v>
      </c>
      <c r="H3289" s="96" t="s">
        <v>7003</v>
      </c>
      <c r="I3289" s="96" t="s">
        <v>157</v>
      </c>
      <c r="J3289" s="96" t="s">
        <v>172</v>
      </c>
      <c r="K3289" s="96" t="s">
        <v>217</v>
      </c>
      <c r="L3289">
        <v>28</v>
      </c>
      <c r="M3289" t="s">
        <v>19</v>
      </c>
      <c r="N3289" t="s">
        <v>16</v>
      </c>
      <c r="O3289" t="s">
        <v>151</v>
      </c>
      <c r="P3289">
        <v>2025</v>
      </c>
    </row>
    <row r="3290" spans="1:16" x14ac:dyDescent="0.25">
      <c r="A3290" s="96" t="s">
        <v>2</v>
      </c>
      <c r="B3290" s="96" t="s">
        <v>249</v>
      </c>
      <c r="C3290" s="96" t="s">
        <v>7004</v>
      </c>
      <c r="D3290" s="96" t="s">
        <v>208</v>
      </c>
      <c r="E3290" s="43">
        <v>46139</v>
      </c>
      <c r="F3290" s="43">
        <v>46140</v>
      </c>
      <c r="G3290" s="96" t="s">
        <v>92</v>
      </c>
      <c r="H3290" s="96" t="s">
        <v>3047</v>
      </c>
      <c r="I3290" s="96" t="s">
        <v>157</v>
      </c>
      <c r="J3290" s="96" t="s">
        <v>229</v>
      </c>
      <c r="K3290" s="96" t="s">
        <v>230</v>
      </c>
      <c r="L3290">
        <v>1</v>
      </c>
      <c r="M3290" t="s">
        <v>11</v>
      </c>
      <c r="N3290" t="s">
        <v>37</v>
      </c>
      <c r="O3290" t="s">
        <v>170</v>
      </c>
      <c r="P3290">
        <v>2026</v>
      </c>
    </row>
    <row r="3291" spans="1:16" hidden="1" x14ac:dyDescent="0.25">
      <c r="A3291" s="96" t="s">
        <v>2</v>
      </c>
      <c r="B3291" s="96" t="s">
        <v>280</v>
      </c>
      <c r="C3291" s="96" t="s">
        <v>3155</v>
      </c>
      <c r="D3291" s="96" t="s">
        <v>192</v>
      </c>
      <c r="E3291" s="43">
        <v>45981</v>
      </c>
      <c r="F3291" s="43">
        <v>46022</v>
      </c>
      <c r="G3291" s="96" t="s">
        <v>92</v>
      </c>
      <c r="H3291" s="96" t="s">
        <v>3049</v>
      </c>
      <c r="I3291" s="96" t="s">
        <v>204</v>
      </c>
      <c r="J3291" s="96" t="s">
        <v>199</v>
      </c>
      <c r="K3291" s="96" t="s">
        <v>217</v>
      </c>
      <c r="L3291">
        <v>41</v>
      </c>
      <c r="M3291" t="s">
        <v>24</v>
      </c>
      <c r="N3291" t="s">
        <v>20</v>
      </c>
      <c r="O3291" t="s">
        <v>170</v>
      </c>
      <c r="P3291">
        <v>2025</v>
      </c>
    </row>
    <row r="3292" spans="1:16" x14ac:dyDescent="0.25">
      <c r="A3292" s="96" t="s">
        <v>2</v>
      </c>
      <c r="B3292" s="96" t="s">
        <v>218</v>
      </c>
      <c r="C3292" s="96" t="s">
        <v>7005</v>
      </c>
      <c r="D3292" s="96" t="s">
        <v>10</v>
      </c>
      <c r="E3292" s="43">
        <v>46123</v>
      </c>
      <c r="F3292" s="43">
        <v>46150</v>
      </c>
      <c r="G3292" s="96" t="s">
        <v>92</v>
      </c>
      <c r="H3292" s="96" t="s">
        <v>7006</v>
      </c>
      <c r="I3292" s="96" t="s">
        <v>9</v>
      </c>
      <c r="J3292" s="96" t="s">
        <v>94</v>
      </c>
      <c r="K3292" s="96" t="s">
        <v>210</v>
      </c>
      <c r="L3292">
        <v>27</v>
      </c>
      <c r="M3292" t="s">
        <v>19</v>
      </c>
      <c r="N3292" t="s">
        <v>37</v>
      </c>
      <c r="O3292" t="s">
        <v>152</v>
      </c>
      <c r="P3292">
        <v>2026</v>
      </c>
    </row>
    <row r="3293" spans="1:16" x14ac:dyDescent="0.25">
      <c r="A3293" s="96" t="s">
        <v>2</v>
      </c>
      <c r="B3293" s="96" t="s">
        <v>261</v>
      </c>
      <c r="C3293" s="96" t="s">
        <v>3156</v>
      </c>
      <c r="D3293" s="96" t="s">
        <v>203</v>
      </c>
      <c r="E3293" s="43">
        <v>46118</v>
      </c>
      <c r="F3293" s="43">
        <v>46148</v>
      </c>
      <c r="G3293" s="96" t="s">
        <v>90</v>
      </c>
      <c r="H3293" s="96" t="s">
        <v>7007</v>
      </c>
      <c r="I3293" s="96" t="s">
        <v>194</v>
      </c>
      <c r="J3293" s="96" t="s">
        <v>199</v>
      </c>
      <c r="K3293" s="96" t="s">
        <v>246</v>
      </c>
      <c r="L3293">
        <v>30</v>
      </c>
      <c r="M3293" t="s">
        <v>19</v>
      </c>
      <c r="N3293" t="s">
        <v>37</v>
      </c>
      <c r="O3293" t="s">
        <v>151</v>
      </c>
      <c r="P3293">
        <v>2026</v>
      </c>
    </row>
    <row r="3294" spans="1:16" x14ac:dyDescent="0.25">
      <c r="A3294" s="96" t="s">
        <v>2</v>
      </c>
      <c r="B3294" s="96" t="s">
        <v>374</v>
      </c>
      <c r="C3294" s="96" t="s">
        <v>7008</v>
      </c>
      <c r="D3294" s="96" t="s">
        <v>10</v>
      </c>
      <c r="E3294" s="43">
        <v>46028</v>
      </c>
      <c r="F3294" s="43">
        <v>46048</v>
      </c>
      <c r="G3294" s="96" t="s">
        <v>95</v>
      </c>
      <c r="H3294" s="96" t="s">
        <v>3052</v>
      </c>
      <c r="I3294" s="96" t="s">
        <v>204</v>
      </c>
      <c r="J3294" s="96" t="s">
        <v>177</v>
      </c>
      <c r="K3294" s="96" t="s">
        <v>205</v>
      </c>
      <c r="L3294">
        <v>20</v>
      </c>
      <c r="M3294" t="s">
        <v>19</v>
      </c>
      <c r="N3294" t="s">
        <v>29</v>
      </c>
      <c r="O3294" t="s">
        <v>150</v>
      </c>
      <c r="P3294">
        <v>2026</v>
      </c>
    </row>
    <row r="3295" spans="1:16" x14ac:dyDescent="0.25">
      <c r="A3295" s="96" t="s">
        <v>2</v>
      </c>
      <c r="B3295" s="96" t="s">
        <v>201</v>
      </c>
      <c r="C3295" s="96" t="s">
        <v>7009</v>
      </c>
      <c r="D3295" s="96" t="s">
        <v>14</v>
      </c>
      <c r="E3295" s="43">
        <v>46121</v>
      </c>
      <c r="F3295" s="43">
        <v>46135</v>
      </c>
      <c r="G3295" s="96" t="s">
        <v>92</v>
      </c>
      <c r="H3295" s="96" t="s">
        <v>3054</v>
      </c>
      <c r="I3295" s="96" t="s">
        <v>204</v>
      </c>
      <c r="J3295" s="96" t="s">
        <v>283</v>
      </c>
      <c r="K3295" s="96" t="s">
        <v>200</v>
      </c>
      <c r="L3295">
        <v>14</v>
      </c>
      <c r="M3295" t="s">
        <v>15</v>
      </c>
      <c r="N3295" t="s">
        <v>37</v>
      </c>
      <c r="O3295" t="s">
        <v>170</v>
      </c>
      <c r="P3295">
        <v>2026</v>
      </c>
    </row>
    <row r="3296" spans="1:16" hidden="1" x14ac:dyDescent="0.25">
      <c r="A3296" s="96" t="s">
        <v>175</v>
      </c>
      <c r="B3296" s="96" t="s">
        <v>190</v>
      </c>
      <c r="C3296" s="96" t="s">
        <v>3157</v>
      </c>
      <c r="D3296" s="96" t="s">
        <v>192</v>
      </c>
      <c r="E3296" s="43">
        <v>45825</v>
      </c>
      <c r="F3296" s="43">
        <v>45836</v>
      </c>
      <c r="G3296" s="96" t="s">
        <v>95</v>
      </c>
      <c r="H3296" s="96" t="s">
        <v>3056</v>
      </c>
      <c r="I3296" s="96" t="s">
        <v>9</v>
      </c>
      <c r="J3296" s="96" t="s">
        <v>283</v>
      </c>
      <c r="K3296" s="96" t="s">
        <v>230</v>
      </c>
      <c r="L3296">
        <v>11</v>
      </c>
      <c r="M3296" t="s">
        <v>15</v>
      </c>
      <c r="N3296" t="s">
        <v>184</v>
      </c>
      <c r="O3296" t="s">
        <v>150</v>
      </c>
      <c r="P3296">
        <v>2025</v>
      </c>
    </row>
    <row r="3297" spans="1:16" hidden="1" x14ac:dyDescent="0.25">
      <c r="A3297" s="96" t="s">
        <v>2</v>
      </c>
      <c r="B3297" s="96" t="s">
        <v>272</v>
      </c>
      <c r="C3297" s="96" t="s">
        <v>3158</v>
      </c>
      <c r="D3297" s="96" t="s">
        <v>215</v>
      </c>
      <c r="E3297" s="43">
        <v>45702</v>
      </c>
      <c r="F3297" s="43">
        <v>45747</v>
      </c>
      <c r="G3297" s="96" t="s">
        <v>90</v>
      </c>
      <c r="H3297" s="96" t="s">
        <v>3057</v>
      </c>
      <c r="I3297" s="96" t="s">
        <v>228</v>
      </c>
      <c r="J3297" s="96" t="s">
        <v>283</v>
      </c>
      <c r="K3297" s="96" t="s">
        <v>230</v>
      </c>
      <c r="L3297">
        <v>45</v>
      </c>
      <c r="M3297" t="s">
        <v>24</v>
      </c>
      <c r="N3297" t="s">
        <v>188</v>
      </c>
      <c r="O3297" t="s">
        <v>151</v>
      </c>
      <c r="P3297">
        <v>2025</v>
      </c>
    </row>
    <row r="3298" spans="1:16" hidden="1" x14ac:dyDescent="0.25">
      <c r="A3298" s="96" t="s">
        <v>189</v>
      </c>
      <c r="B3298" s="96" t="s">
        <v>251</v>
      </c>
      <c r="C3298" s="96" t="s">
        <v>3159</v>
      </c>
      <c r="D3298" s="96" t="s">
        <v>223</v>
      </c>
      <c r="E3298" s="43">
        <v>45828</v>
      </c>
      <c r="F3298" s="43">
        <v>45831</v>
      </c>
      <c r="G3298" s="96" t="s">
        <v>92</v>
      </c>
      <c r="H3298" s="96" t="s">
        <v>7010</v>
      </c>
      <c r="I3298" s="96" t="s">
        <v>157</v>
      </c>
      <c r="J3298" s="96" t="s">
        <v>172</v>
      </c>
      <c r="K3298" s="96" t="s">
        <v>233</v>
      </c>
      <c r="L3298">
        <v>3</v>
      </c>
      <c r="M3298" t="s">
        <v>11</v>
      </c>
      <c r="N3298" t="s">
        <v>184</v>
      </c>
      <c r="O3298" t="s">
        <v>170</v>
      </c>
      <c r="P3298">
        <v>2025</v>
      </c>
    </row>
    <row r="3299" spans="1:16" x14ac:dyDescent="0.25">
      <c r="A3299" s="96" t="s">
        <v>2</v>
      </c>
      <c r="B3299" s="96" t="s">
        <v>218</v>
      </c>
      <c r="C3299" s="96" t="s">
        <v>7011</v>
      </c>
      <c r="D3299" s="96" t="s">
        <v>192</v>
      </c>
      <c r="E3299" s="43">
        <v>46045</v>
      </c>
      <c r="F3299" s="43">
        <v>46098</v>
      </c>
      <c r="G3299" s="96" t="s">
        <v>92</v>
      </c>
      <c r="H3299" s="96" t="s">
        <v>7012</v>
      </c>
      <c r="I3299" s="96" t="s">
        <v>194</v>
      </c>
      <c r="J3299" s="96" t="s">
        <v>216</v>
      </c>
      <c r="K3299" s="96" t="s">
        <v>246</v>
      </c>
      <c r="L3299">
        <v>53</v>
      </c>
      <c r="M3299" t="s">
        <v>24</v>
      </c>
      <c r="N3299" t="s">
        <v>29</v>
      </c>
      <c r="O3299" t="s">
        <v>152</v>
      </c>
      <c r="P3299">
        <v>2026</v>
      </c>
    </row>
    <row r="3300" spans="1:16" hidden="1" x14ac:dyDescent="0.25">
      <c r="A3300" s="96" t="s">
        <v>2</v>
      </c>
      <c r="B3300" s="96" t="s">
        <v>255</v>
      </c>
      <c r="C3300" s="96" t="s">
        <v>7013</v>
      </c>
      <c r="D3300" s="96" t="s">
        <v>40</v>
      </c>
      <c r="E3300" s="43">
        <v>45708</v>
      </c>
      <c r="F3300" s="43">
        <v>45814</v>
      </c>
      <c r="G3300" s="96" t="s">
        <v>90</v>
      </c>
      <c r="H3300" s="96" t="s">
        <v>7014</v>
      </c>
      <c r="I3300" s="96" t="s">
        <v>228</v>
      </c>
      <c r="J3300" s="96" t="s">
        <v>283</v>
      </c>
      <c r="K3300" s="96" t="s">
        <v>230</v>
      </c>
      <c r="L3300">
        <v>106</v>
      </c>
      <c r="M3300" t="s">
        <v>28</v>
      </c>
      <c r="N3300" t="s">
        <v>188</v>
      </c>
      <c r="O3300" t="s">
        <v>150</v>
      </c>
      <c r="P3300">
        <v>2025</v>
      </c>
    </row>
    <row r="3301" spans="1:16" x14ac:dyDescent="0.25">
      <c r="A3301" s="96" t="s">
        <v>2</v>
      </c>
      <c r="B3301" s="96" t="s">
        <v>218</v>
      </c>
      <c r="C3301" s="96" t="s">
        <v>7015</v>
      </c>
      <c r="D3301" s="96" t="s">
        <v>215</v>
      </c>
      <c r="E3301" s="43">
        <v>46039</v>
      </c>
      <c r="F3301" s="43">
        <v>46127</v>
      </c>
      <c r="G3301" s="96" t="s">
        <v>92</v>
      </c>
      <c r="H3301" s="96" t="s">
        <v>7016</v>
      </c>
      <c r="I3301" s="96" t="s">
        <v>204</v>
      </c>
      <c r="J3301" s="96" t="s">
        <v>165</v>
      </c>
      <c r="K3301" s="96" t="s">
        <v>157</v>
      </c>
      <c r="L3301">
        <v>88</v>
      </c>
      <c r="M3301" t="s">
        <v>28</v>
      </c>
      <c r="N3301" t="s">
        <v>29</v>
      </c>
      <c r="O3301" t="s">
        <v>152</v>
      </c>
      <c r="P3301">
        <v>2026</v>
      </c>
    </row>
    <row r="3302" spans="1:16" x14ac:dyDescent="0.25">
      <c r="A3302" s="96" t="s">
        <v>2</v>
      </c>
      <c r="B3302" s="96" t="s">
        <v>290</v>
      </c>
      <c r="C3302" s="96" t="s">
        <v>3161</v>
      </c>
      <c r="D3302" s="96" t="s">
        <v>40</v>
      </c>
      <c r="E3302" s="43">
        <v>46044</v>
      </c>
      <c r="F3302" s="43">
        <v>46051</v>
      </c>
      <c r="G3302" s="96" t="s">
        <v>92</v>
      </c>
      <c r="H3302" s="96" t="s">
        <v>7017</v>
      </c>
      <c r="I3302" s="96" t="s">
        <v>157</v>
      </c>
      <c r="J3302" s="96" t="s">
        <v>94</v>
      </c>
      <c r="K3302" s="96" t="s">
        <v>157</v>
      </c>
      <c r="L3302">
        <v>7</v>
      </c>
      <c r="M3302" t="s">
        <v>11</v>
      </c>
      <c r="N3302" t="s">
        <v>29</v>
      </c>
      <c r="O3302" t="s">
        <v>149</v>
      </c>
      <c r="P3302">
        <v>2026</v>
      </c>
    </row>
    <row r="3303" spans="1:16" x14ac:dyDescent="0.25">
      <c r="A3303" s="96" t="s">
        <v>175</v>
      </c>
      <c r="B3303" s="96" t="s">
        <v>234</v>
      </c>
      <c r="C3303" s="96" t="s">
        <v>3164</v>
      </c>
      <c r="D3303" s="96" t="s">
        <v>192</v>
      </c>
      <c r="E3303" s="43">
        <v>46084</v>
      </c>
      <c r="F3303" s="43">
        <v>46146</v>
      </c>
      <c r="G3303" s="96" t="s">
        <v>90</v>
      </c>
      <c r="H3303" s="96" t="s">
        <v>7018</v>
      </c>
      <c r="I3303" s="96" t="s">
        <v>225</v>
      </c>
      <c r="J3303" s="96" t="s">
        <v>173</v>
      </c>
      <c r="K3303" s="96" t="s">
        <v>157</v>
      </c>
      <c r="L3303">
        <v>62</v>
      </c>
      <c r="M3303" t="s">
        <v>28</v>
      </c>
      <c r="N3303" t="s">
        <v>35</v>
      </c>
      <c r="O3303" t="s">
        <v>150</v>
      </c>
      <c r="P3303">
        <v>2026</v>
      </c>
    </row>
    <row r="3304" spans="1:16" hidden="1" x14ac:dyDescent="0.25">
      <c r="A3304" s="96" t="s">
        <v>171</v>
      </c>
      <c r="B3304" s="96" t="s">
        <v>240</v>
      </c>
      <c r="C3304" s="96" t="s">
        <v>7019</v>
      </c>
      <c r="D3304" s="96" t="s">
        <v>40</v>
      </c>
      <c r="E3304" s="43">
        <v>45908</v>
      </c>
      <c r="F3304" s="43">
        <v>46004</v>
      </c>
      <c r="G3304" s="96" t="s">
        <v>90</v>
      </c>
      <c r="H3304" s="96" t="s">
        <v>7020</v>
      </c>
      <c r="I3304" s="96" t="s">
        <v>228</v>
      </c>
      <c r="J3304" s="96" t="s">
        <v>199</v>
      </c>
      <c r="K3304" s="96" t="s">
        <v>210</v>
      </c>
      <c r="L3304">
        <v>96</v>
      </c>
      <c r="M3304" t="s">
        <v>28</v>
      </c>
      <c r="N3304" t="s">
        <v>12</v>
      </c>
      <c r="O3304" t="s">
        <v>149</v>
      </c>
      <c r="P3304">
        <v>2025</v>
      </c>
    </row>
    <row r="3305" spans="1:16" hidden="1" x14ac:dyDescent="0.25">
      <c r="A3305" s="96" t="s">
        <v>2</v>
      </c>
      <c r="B3305" s="96" t="s">
        <v>251</v>
      </c>
      <c r="C3305" s="96" t="s">
        <v>3166</v>
      </c>
      <c r="D3305" s="96" t="s">
        <v>203</v>
      </c>
      <c r="E3305" s="43">
        <v>45766</v>
      </c>
      <c r="F3305" s="43">
        <v>45767</v>
      </c>
      <c r="G3305" s="96" t="s">
        <v>92</v>
      </c>
      <c r="H3305" s="96" t="s">
        <v>7021</v>
      </c>
      <c r="I3305" s="96" t="s">
        <v>225</v>
      </c>
      <c r="J3305" s="96" t="s">
        <v>229</v>
      </c>
      <c r="K3305" s="96" t="s">
        <v>230</v>
      </c>
      <c r="L3305">
        <v>1</v>
      </c>
      <c r="M3305" t="s">
        <v>11</v>
      </c>
      <c r="N3305" t="s">
        <v>185</v>
      </c>
      <c r="O3305" t="s">
        <v>170</v>
      </c>
      <c r="P3305">
        <v>2025</v>
      </c>
    </row>
    <row r="3306" spans="1:16" hidden="1" x14ac:dyDescent="0.25">
      <c r="A3306" s="96" t="s">
        <v>2</v>
      </c>
      <c r="B3306" s="96" t="s">
        <v>221</v>
      </c>
      <c r="C3306" s="96" t="s">
        <v>3167</v>
      </c>
      <c r="D3306" s="96" t="s">
        <v>10</v>
      </c>
      <c r="E3306" s="43">
        <v>45870</v>
      </c>
      <c r="F3306" s="43">
        <v>45934</v>
      </c>
      <c r="G3306" s="96" t="s">
        <v>92</v>
      </c>
      <c r="H3306" s="96" t="s">
        <v>7022</v>
      </c>
      <c r="I3306" s="96" t="s">
        <v>194</v>
      </c>
      <c r="J3306" s="96" t="s">
        <v>165</v>
      </c>
      <c r="K3306" s="96" t="s">
        <v>233</v>
      </c>
      <c r="L3306">
        <v>64</v>
      </c>
      <c r="M3306" t="s">
        <v>28</v>
      </c>
      <c r="N3306" t="s">
        <v>8</v>
      </c>
      <c r="O3306" t="s">
        <v>170</v>
      </c>
      <c r="P3306">
        <v>2025</v>
      </c>
    </row>
    <row r="3307" spans="1:16" hidden="1" x14ac:dyDescent="0.25">
      <c r="A3307" s="96" t="s">
        <v>2</v>
      </c>
      <c r="B3307" s="96" t="s">
        <v>190</v>
      </c>
      <c r="C3307" s="96" t="s">
        <v>3168</v>
      </c>
      <c r="D3307" s="96" t="s">
        <v>215</v>
      </c>
      <c r="E3307" s="43">
        <v>45971</v>
      </c>
      <c r="F3307" s="43">
        <v>46089</v>
      </c>
      <c r="G3307" s="96" t="s">
        <v>95</v>
      </c>
      <c r="H3307" s="96" t="s">
        <v>7023</v>
      </c>
      <c r="I3307" s="96" t="s">
        <v>209</v>
      </c>
      <c r="J3307" s="96" t="s">
        <v>91</v>
      </c>
      <c r="K3307" s="96" t="s">
        <v>200</v>
      </c>
      <c r="L3307">
        <v>118</v>
      </c>
      <c r="M3307" t="s">
        <v>28</v>
      </c>
      <c r="N3307" t="s">
        <v>20</v>
      </c>
      <c r="O3307" t="s">
        <v>150</v>
      </c>
      <c r="P3307">
        <v>2025</v>
      </c>
    </row>
    <row r="3308" spans="1:16" hidden="1" x14ac:dyDescent="0.25">
      <c r="A3308" s="96" t="s">
        <v>2</v>
      </c>
      <c r="B3308" s="96" t="s">
        <v>238</v>
      </c>
      <c r="C3308" s="96" t="s">
        <v>3169</v>
      </c>
      <c r="D3308" s="96" t="s">
        <v>14</v>
      </c>
      <c r="E3308" s="43">
        <v>46012</v>
      </c>
      <c r="F3308" s="43">
        <v>46016</v>
      </c>
      <c r="G3308" s="96" t="s">
        <v>90</v>
      </c>
      <c r="H3308" s="96" t="s">
        <v>7024</v>
      </c>
      <c r="I3308" s="96" t="s">
        <v>157</v>
      </c>
      <c r="J3308" s="96" t="s">
        <v>283</v>
      </c>
      <c r="K3308" s="96" t="s">
        <v>157</v>
      </c>
      <c r="L3308">
        <v>4</v>
      </c>
      <c r="M3308" t="s">
        <v>11</v>
      </c>
      <c r="N3308" t="s">
        <v>25</v>
      </c>
      <c r="O3308" t="s">
        <v>170</v>
      </c>
      <c r="P3308">
        <v>2025</v>
      </c>
    </row>
    <row r="3309" spans="1:16" hidden="1" x14ac:dyDescent="0.25">
      <c r="A3309" s="96" t="s">
        <v>2</v>
      </c>
      <c r="B3309" s="96" t="s">
        <v>280</v>
      </c>
      <c r="C3309" s="96" t="s">
        <v>3172</v>
      </c>
      <c r="D3309" s="96" t="s">
        <v>208</v>
      </c>
      <c r="E3309" s="43">
        <v>45850</v>
      </c>
      <c r="F3309" s="43">
        <v>45867</v>
      </c>
      <c r="G3309" s="96" t="s">
        <v>92</v>
      </c>
      <c r="H3309" s="96" t="s">
        <v>3067</v>
      </c>
      <c r="I3309" s="96" t="s">
        <v>225</v>
      </c>
      <c r="J3309" s="96" t="s">
        <v>173</v>
      </c>
      <c r="K3309" s="96" t="s">
        <v>210</v>
      </c>
      <c r="L3309">
        <v>17</v>
      </c>
      <c r="M3309" t="s">
        <v>19</v>
      </c>
      <c r="N3309" t="s">
        <v>187</v>
      </c>
      <c r="O3309" t="s">
        <v>170</v>
      </c>
      <c r="P3309">
        <v>2025</v>
      </c>
    </row>
    <row r="3310" spans="1:16" hidden="1" x14ac:dyDescent="0.25">
      <c r="A3310" s="96" t="s">
        <v>189</v>
      </c>
      <c r="B3310" s="96" t="s">
        <v>206</v>
      </c>
      <c r="C3310" s="96" t="s">
        <v>3175</v>
      </c>
      <c r="D3310" s="96" t="s">
        <v>208</v>
      </c>
      <c r="E3310" s="43">
        <v>45711</v>
      </c>
      <c r="F3310" s="43">
        <v>45749</v>
      </c>
      <c r="G3310" s="96" t="s">
        <v>90</v>
      </c>
      <c r="H3310" s="96" t="s">
        <v>7025</v>
      </c>
      <c r="I3310" s="96" t="s">
        <v>204</v>
      </c>
      <c r="J3310" s="96" t="s">
        <v>172</v>
      </c>
      <c r="K3310" s="96" t="s">
        <v>230</v>
      </c>
      <c r="L3310">
        <v>38</v>
      </c>
      <c r="M3310" t="s">
        <v>24</v>
      </c>
      <c r="N3310" t="s">
        <v>188</v>
      </c>
      <c r="O3310" t="s">
        <v>152</v>
      </c>
      <c r="P3310">
        <v>2025</v>
      </c>
    </row>
    <row r="3311" spans="1:16" hidden="1" x14ac:dyDescent="0.25">
      <c r="A3311" s="96" t="s">
        <v>2</v>
      </c>
      <c r="B3311" s="96" t="s">
        <v>206</v>
      </c>
      <c r="C3311" s="96" t="s">
        <v>3176</v>
      </c>
      <c r="D3311" s="96" t="s">
        <v>34</v>
      </c>
      <c r="E3311" s="43">
        <v>45675</v>
      </c>
      <c r="F3311" s="43">
        <v>45725</v>
      </c>
      <c r="G3311" s="96" t="s">
        <v>92</v>
      </c>
      <c r="H3311" s="96" t="s">
        <v>7026</v>
      </c>
      <c r="I3311" s="96" t="s">
        <v>204</v>
      </c>
      <c r="J3311" s="96" t="s">
        <v>96</v>
      </c>
      <c r="K3311" s="96" t="s">
        <v>230</v>
      </c>
      <c r="L3311">
        <v>50</v>
      </c>
      <c r="M3311" t="s">
        <v>24</v>
      </c>
      <c r="N3311" t="s">
        <v>181</v>
      </c>
      <c r="O3311" t="s">
        <v>152</v>
      </c>
      <c r="P3311">
        <v>2025</v>
      </c>
    </row>
    <row r="3312" spans="1:16" hidden="1" x14ac:dyDescent="0.25">
      <c r="A3312" s="96" t="s">
        <v>2</v>
      </c>
      <c r="B3312" s="96" t="s">
        <v>206</v>
      </c>
      <c r="C3312" s="96" t="s">
        <v>3177</v>
      </c>
      <c r="D3312" s="96" t="s">
        <v>203</v>
      </c>
      <c r="E3312" s="43">
        <v>45776</v>
      </c>
      <c r="F3312" s="43">
        <v>45812</v>
      </c>
      <c r="G3312" s="96" t="s">
        <v>92</v>
      </c>
      <c r="H3312" s="96" t="s">
        <v>7027</v>
      </c>
      <c r="I3312" s="96" t="s">
        <v>209</v>
      </c>
      <c r="J3312" s="96" t="s">
        <v>93</v>
      </c>
      <c r="K3312" s="96" t="s">
        <v>246</v>
      </c>
      <c r="L3312">
        <v>36</v>
      </c>
      <c r="M3312" t="s">
        <v>24</v>
      </c>
      <c r="N3312" t="s">
        <v>185</v>
      </c>
      <c r="O3312" t="s">
        <v>152</v>
      </c>
      <c r="P3312">
        <v>2025</v>
      </c>
    </row>
    <row r="3313" spans="1:16" hidden="1" x14ac:dyDescent="0.25">
      <c r="A3313" s="96" t="s">
        <v>2</v>
      </c>
      <c r="B3313" s="96" t="s">
        <v>322</v>
      </c>
      <c r="C3313" s="96" t="s">
        <v>3178</v>
      </c>
      <c r="D3313" s="96" t="s">
        <v>237</v>
      </c>
      <c r="E3313" s="43">
        <v>45793</v>
      </c>
      <c r="F3313" s="43">
        <v>45857</v>
      </c>
      <c r="G3313" s="96" t="s">
        <v>90</v>
      </c>
      <c r="H3313" s="96" t="s">
        <v>7028</v>
      </c>
      <c r="I3313" s="96" t="s">
        <v>225</v>
      </c>
      <c r="J3313" s="96" t="s">
        <v>97</v>
      </c>
      <c r="K3313" s="96" t="s">
        <v>195</v>
      </c>
      <c r="L3313">
        <v>64</v>
      </c>
      <c r="M3313" t="s">
        <v>28</v>
      </c>
      <c r="N3313" t="s">
        <v>182</v>
      </c>
      <c r="O3313" t="s">
        <v>150</v>
      </c>
      <c r="P3313">
        <v>2025</v>
      </c>
    </row>
    <row r="3314" spans="1:16" x14ac:dyDescent="0.25">
      <c r="A3314" s="96" t="s">
        <v>2</v>
      </c>
      <c r="B3314" s="96" t="s">
        <v>249</v>
      </c>
      <c r="C3314" s="96" t="s">
        <v>3179</v>
      </c>
      <c r="D3314" s="96" t="s">
        <v>34</v>
      </c>
      <c r="E3314" s="43">
        <v>46065</v>
      </c>
      <c r="F3314" s="43">
        <v>46102</v>
      </c>
      <c r="G3314" s="96" t="s">
        <v>92</v>
      </c>
      <c r="H3314" s="96" t="s">
        <v>7029</v>
      </c>
      <c r="I3314" s="96" t="s">
        <v>228</v>
      </c>
      <c r="J3314" s="96" t="s">
        <v>94</v>
      </c>
      <c r="K3314" s="96" t="s">
        <v>195</v>
      </c>
      <c r="L3314">
        <v>37</v>
      </c>
      <c r="M3314" t="s">
        <v>24</v>
      </c>
      <c r="N3314" t="s">
        <v>32</v>
      </c>
      <c r="O3314" t="s">
        <v>170</v>
      </c>
      <c r="P3314">
        <v>2026</v>
      </c>
    </row>
    <row r="3315" spans="1:16" hidden="1" x14ac:dyDescent="0.25">
      <c r="A3315" s="96" t="s">
        <v>21</v>
      </c>
      <c r="B3315" s="96" t="s">
        <v>322</v>
      </c>
      <c r="C3315" s="96" t="s">
        <v>7030</v>
      </c>
      <c r="D3315" s="96" t="s">
        <v>34</v>
      </c>
      <c r="E3315" s="43">
        <v>45875</v>
      </c>
      <c r="F3315" s="43">
        <v>45946</v>
      </c>
      <c r="G3315" s="96" t="s">
        <v>92</v>
      </c>
      <c r="H3315" s="96" t="s">
        <v>7031</v>
      </c>
      <c r="I3315" s="96" t="s">
        <v>9</v>
      </c>
      <c r="J3315" s="96" t="s">
        <v>216</v>
      </c>
      <c r="K3315" s="96" t="s">
        <v>157</v>
      </c>
      <c r="L3315">
        <v>71</v>
      </c>
      <c r="M3315" t="s">
        <v>28</v>
      </c>
      <c r="N3315" t="s">
        <v>8</v>
      </c>
      <c r="O3315" t="s">
        <v>150</v>
      </c>
      <c r="P3315">
        <v>2025</v>
      </c>
    </row>
    <row r="3316" spans="1:16" x14ac:dyDescent="0.25">
      <c r="A3316" s="96" t="s">
        <v>2</v>
      </c>
      <c r="B3316" s="96" t="s">
        <v>374</v>
      </c>
      <c r="C3316" s="96" t="s">
        <v>3180</v>
      </c>
      <c r="D3316" s="96" t="s">
        <v>10</v>
      </c>
      <c r="E3316" s="43">
        <v>46151</v>
      </c>
      <c r="F3316" s="43">
        <v>46150</v>
      </c>
      <c r="G3316" s="96" t="s">
        <v>92</v>
      </c>
      <c r="H3316" s="96" t="s">
        <v>7032</v>
      </c>
      <c r="I3316" s="96" t="s">
        <v>209</v>
      </c>
      <c r="J3316" s="96" t="s">
        <v>168</v>
      </c>
      <c r="K3316" s="96" t="s">
        <v>210</v>
      </c>
      <c r="L3316">
        <v>-1</v>
      </c>
      <c r="M3316" t="s">
        <v>11</v>
      </c>
      <c r="N3316" t="s">
        <v>183</v>
      </c>
      <c r="O3316" t="s">
        <v>150</v>
      </c>
      <c r="P3316">
        <v>2026</v>
      </c>
    </row>
    <row r="3317" spans="1:16" x14ac:dyDescent="0.25">
      <c r="A3317" s="96" t="s">
        <v>2</v>
      </c>
      <c r="B3317" s="96" t="s">
        <v>196</v>
      </c>
      <c r="C3317" s="96" t="s">
        <v>3181</v>
      </c>
      <c r="D3317" s="96" t="s">
        <v>192</v>
      </c>
      <c r="E3317" s="43">
        <v>46106</v>
      </c>
      <c r="F3317" s="43">
        <v>46125</v>
      </c>
      <c r="G3317" s="96" t="s">
        <v>92</v>
      </c>
      <c r="H3317" s="96" t="s">
        <v>7033</v>
      </c>
      <c r="I3317" s="96" t="s">
        <v>225</v>
      </c>
      <c r="J3317" s="96" t="s">
        <v>177</v>
      </c>
      <c r="K3317" s="96" t="s">
        <v>157</v>
      </c>
      <c r="L3317">
        <v>19</v>
      </c>
      <c r="M3317" t="s">
        <v>19</v>
      </c>
      <c r="N3317" t="s">
        <v>35</v>
      </c>
      <c r="O3317" t="s">
        <v>152</v>
      </c>
      <c r="P3317">
        <v>2026</v>
      </c>
    </row>
    <row r="3318" spans="1:16" hidden="1" x14ac:dyDescent="0.25">
      <c r="A3318" s="96" t="s">
        <v>2</v>
      </c>
      <c r="B3318" s="96" t="s">
        <v>190</v>
      </c>
      <c r="C3318" s="96" t="s">
        <v>3182</v>
      </c>
      <c r="D3318" s="96" t="s">
        <v>10</v>
      </c>
      <c r="E3318" s="43">
        <v>45841</v>
      </c>
      <c r="F3318" s="43">
        <v>45852</v>
      </c>
      <c r="G3318" s="96" t="s">
        <v>92</v>
      </c>
      <c r="H3318" s="96" t="s">
        <v>7034</v>
      </c>
      <c r="I3318" s="96" t="s">
        <v>228</v>
      </c>
      <c r="J3318" s="96" t="s">
        <v>93</v>
      </c>
      <c r="K3318" s="96" t="s">
        <v>230</v>
      </c>
      <c r="L3318">
        <v>11</v>
      </c>
      <c r="M3318" t="s">
        <v>15</v>
      </c>
      <c r="N3318" t="s">
        <v>187</v>
      </c>
      <c r="O3318" t="s">
        <v>150</v>
      </c>
      <c r="P3318">
        <v>2025</v>
      </c>
    </row>
    <row r="3319" spans="1:16" hidden="1" x14ac:dyDescent="0.25">
      <c r="A3319" s="96" t="s">
        <v>2</v>
      </c>
      <c r="B3319" s="96" t="s">
        <v>257</v>
      </c>
      <c r="C3319" s="96" t="s">
        <v>3183</v>
      </c>
      <c r="D3319" s="96" t="s">
        <v>237</v>
      </c>
      <c r="E3319" s="43">
        <v>45714</v>
      </c>
      <c r="F3319" s="43">
        <v>45728</v>
      </c>
      <c r="G3319" s="96" t="s">
        <v>92</v>
      </c>
      <c r="H3319" s="96" t="s">
        <v>7035</v>
      </c>
      <c r="I3319" s="96" t="s">
        <v>204</v>
      </c>
      <c r="J3319" s="96" t="s">
        <v>169</v>
      </c>
      <c r="K3319" s="96" t="s">
        <v>246</v>
      </c>
      <c r="L3319">
        <v>14</v>
      </c>
      <c r="M3319" t="s">
        <v>15</v>
      </c>
      <c r="N3319" t="s">
        <v>188</v>
      </c>
      <c r="O3319" t="s">
        <v>151</v>
      </c>
      <c r="P3319">
        <v>2025</v>
      </c>
    </row>
    <row r="3320" spans="1:16" hidden="1" x14ac:dyDescent="0.25">
      <c r="A3320" s="96" t="s">
        <v>2</v>
      </c>
      <c r="B3320" s="96" t="s">
        <v>240</v>
      </c>
      <c r="C3320" s="96" t="s">
        <v>3184</v>
      </c>
      <c r="D3320" s="96" t="s">
        <v>215</v>
      </c>
      <c r="E3320" s="43">
        <v>45993</v>
      </c>
      <c r="F3320" s="43">
        <v>46057</v>
      </c>
      <c r="G3320" s="96" t="s">
        <v>92</v>
      </c>
      <c r="H3320" s="96" t="s">
        <v>7036</v>
      </c>
      <c r="I3320" s="96" t="s">
        <v>204</v>
      </c>
      <c r="J3320" s="96" t="s">
        <v>91</v>
      </c>
      <c r="K3320" s="96" t="s">
        <v>205</v>
      </c>
      <c r="L3320">
        <v>64</v>
      </c>
      <c r="M3320" t="s">
        <v>28</v>
      </c>
      <c r="N3320" t="s">
        <v>25</v>
      </c>
      <c r="O3320" t="s">
        <v>149</v>
      </c>
      <c r="P3320">
        <v>2025</v>
      </c>
    </row>
    <row r="3321" spans="1:16" hidden="1" x14ac:dyDescent="0.25">
      <c r="A3321" s="96" t="s">
        <v>2</v>
      </c>
      <c r="B3321" s="96" t="s">
        <v>253</v>
      </c>
      <c r="C3321" s="96" t="s">
        <v>3185</v>
      </c>
      <c r="D3321" s="96" t="s">
        <v>215</v>
      </c>
      <c r="E3321" s="43">
        <v>45772</v>
      </c>
      <c r="F3321" s="43">
        <v>45888</v>
      </c>
      <c r="G3321" s="96" t="s">
        <v>90</v>
      </c>
      <c r="H3321" s="96" t="s">
        <v>7037</v>
      </c>
      <c r="I3321" s="96" t="s">
        <v>204</v>
      </c>
      <c r="J3321" s="96" t="s">
        <v>172</v>
      </c>
      <c r="K3321" s="96" t="s">
        <v>200</v>
      </c>
      <c r="L3321">
        <v>116</v>
      </c>
      <c r="M3321" t="s">
        <v>28</v>
      </c>
      <c r="N3321" t="s">
        <v>185</v>
      </c>
      <c r="O3321" t="s">
        <v>152</v>
      </c>
      <c r="P3321">
        <v>2025</v>
      </c>
    </row>
    <row r="3322" spans="1:16" x14ac:dyDescent="0.25">
      <c r="A3322" s="96" t="s">
        <v>171</v>
      </c>
      <c r="B3322" s="96" t="s">
        <v>269</v>
      </c>
      <c r="C3322" s="96" t="s">
        <v>7038</v>
      </c>
      <c r="D3322" s="96" t="s">
        <v>237</v>
      </c>
      <c r="E3322" s="43">
        <v>46045</v>
      </c>
      <c r="F3322" s="43">
        <v>46093</v>
      </c>
      <c r="G3322" s="96" t="s">
        <v>95</v>
      </c>
      <c r="H3322" s="96" t="s">
        <v>7039</v>
      </c>
      <c r="I3322" s="96" t="s">
        <v>225</v>
      </c>
      <c r="J3322" s="96" t="s">
        <v>199</v>
      </c>
      <c r="K3322" s="96" t="s">
        <v>230</v>
      </c>
      <c r="L3322">
        <v>48</v>
      </c>
      <c r="M3322" t="s">
        <v>24</v>
      </c>
      <c r="N3322" t="s">
        <v>29</v>
      </c>
      <c r="O3322" t="s">
        <v>152</v>
      </c>
      <c r="P3322">
        <v>2026</v>
      </c>
    </row>
    <row r="3323" spans="1:16" hidden="1" x14ac:dyDescent="0.25">
      <c r="A3323" s="96" t="s">
        <v>2</v>
      </c>
      <c r="B3323" s="96" t="s">
        <v>251</v>
      </c>
      <c r="C3323" s="96" t="s">
        <v>3186</v>
      </c>
      <c r="D3323" s="96" t="s">
        <v>14</v>
      </c>
      <c r="E3323" s="43">
        <v>45935</v>
      </c>
      <c r="F3323" s="43">
        <v>45995</v>
      </c>
      <c r="G3323" s="96" t="s">
        <v>92</v>
      </c>
      <c r="H3323" s="96" t="s">
        <v>7040</v>
      </c>
      <c r="I3323" s="96" t="s">
        <v>157</v>
      </c>
      <c r="J3323" s="96" t="s">
        <v>169</v>
      </c>
      <c r="K3323" s="96" t="s">
        <v>157</v>
      </c>
      <c r="L3323">
        <v>60</v>
      </c>
      <c r="M3323" t="s">
        <v>24</v>
      </c>
      <c r="N3323" t="s">
        <v>16</v>
      </c>
      <c r="O3323" t="s">
        <v>170</v>
      </c>
      <c r="P3323">
        <v>2025</v>
      </c>
    </row>
    <row r="3324" spans="1:16" hidden="1" x14ac:dyDescent="0.25">
      <c r="A3324" s="96" t="s">
        <v>2</v>
      </c>
      <c r="B3324" s="96" t="s">
        <v>253</v>
      </c>
      <c r="C3324" s="96" t="s">
        <v>7041</v>
      </c>
      <c r="D3324" s="96" t="s">
        <v>223</v>
      </c>
      <c r="E3324" s="43">
        <v>45831</v>
      </c>
      <c r="F3324" s="43">
        <v>45910</v>
      </c>
      <c r="G3324" s="96" t="s">
        <v>92</v>
      </c>
      <c r="H3324" s="96" t="s">
        <v>7042</v>
      </c>
      <c r="I3324" s="96" t="s">
        <v>209</v>
      </c>
      <c r="J3324" s="96" t="s">
        <v>174</v>
      </c>
      <c r="K3324" s="96" t="s">
        <v>233</v>
      </c>
      <c r="L3324">
        <v>79</v>
      </c>
      <c r="M3324" t="s">
        <v>28</v>
      </c>
      <c r="N3324" t="s">
        <v>184</v>
      </c>
      <c r="O3324" t="s">
        <v>152</v>
      </c>
      <c r="P3324">
        <v>2025</v>
      </c>
    </row>
    <row r="3325" spans="1:16" hidden="1" x14ac:dyDescent="0.25">
      <c r="A3325" s="96" t="s">
        <v>2</v>
      </c>
      <c r="B3325" s="96" t="s">
        <v>272</v>
      </c>
      <c r="C3325" s="96" t="s">
        <v>7043</v>
      </c>
      <c r="D3325" s="96" t="s">
        <v>215</v>
      </c>
      <c r="E3325" s="43">
        <v>45777</v>
      </c>
      <c r="F3325" s="43">
        <v>45828</v>
      </c>
      <c r="G3325" s="96" t="s">
        <v>92</v>
      </c>
      <c r="H3325" s="96" t="s">
        <v>7044</v>
      </c>
      <c r="I3325" s="96" t="s">
        <v>157</v>
      </c>
      <c r="J3325" s="96" t="s">
        <v>93</v>
      </c>
      <c r="K3325" s="96" t="s">
        <v>230</v>
      </c>
      <c r="L3325">
        <v>51</v>
      </c>
      <c r="M3325" t="s">
        <v>24</v>
      </c>
      <c r="N3325" t="s">
        <v>185</v>
      </c>
      <c r="O3325" t="s">
        <v>151</v>
      </c>
      <c r="P3325">
        <v>2025</v>
      </c>
    </row>
    <row r="3326" spans="1:16" hidden="1" x14ac:dyDescent="0.25">
      <c r="A3326" s="96" t="s">
        <v>2</v>
      </c>
      <c r="B3326" s="96" t="s">
        <v>255</v>
      </c>
      <c r="C3326" s="96" t="s">
        <v>3188</v>
      </c>
      <c r="D3326" s="96" t="s">
        <v>10</v>
      </c>
      <c r="E3326" s="43">
        <v>45678</v>
      </c>
      <c r="F3326" s="43">
        <v>45793</v>
      </c>
      <c r="G3326" s="96" t="s">
        <v>90</v>
      </c>
      <c r="H3326" s="96" t="s">
        <v>7045</v>
      </c>
      <c r="I3326" s="96" t="s">
        <v>204</v>
      </c>
      <c r="J3326" s="96" t="s">
        <v>168</v>
      </c>
      <c r="K3326" s="96" t="s">
        <v>195</v>
      </c>
      <c r="L3326">
        <v>115</v>
      </c>
      <c r="M3326" t="s">
        <v>28</v>
      </c>
      <c r="N3326" t="s">
        <v>181</v>
      </c>
      <c r="O3326" t="s">
        <v>150</v>
      </c>
      <c r="P3326">
        <v>2025</v>
      </c>
    </row>
    <row r="3327" spans="1:16" hidden="1" x14ac:dyDescent="0.25">
      <c r="A3327" s="96" t="s">
        <v>171</v>
      </c>
      <c r="B3327" s="96" t="s">
        <v>240</v>
      </c>
      <c r="C3327" s="96" t="s">
        <v>7046</v>
      </c>
      <c r="D3327" s="96" t="s">
        <v>192</v>
      </c>
      <c r="E3327" s="43">
        <v>45969</v>
      </c>
      <c r="F3327" s="43">
        <v>46082</v>
      </c>
      <c r="G3327" s="96" t="s">
        <v>92</v>
      </c>
      <c r="H3327" s="96" t="s">
        <v>7047</v>
      </c>
      <c r="I3327" s="96" t="s">
        <v>228</v>
      </c>
      <c r="J3327" s="96" t="s">
        <v>165</v>
      </c>
      <c r="K3327" s="96" t="s">
        <v>157</v>
      </c>
      <c r="L3327">
        <v>113</v>
      </c>
      <c r="M3327" t="s">
        <v>28</v>
      </c>
      <c r="N3327" t="s">
        <v>20</v>
      </c>
      <c r="O3327" t="s">
        <v>149</v>
      </c>
      <c r="P3327">
        <v>2025</v>
      </c>
    </row>
    <row r="3328" spans="1:16" hidden="1" x14ac:dyDescent="0.25">
      <c r="A3328" s="96" t="s">
        <v>2</v>
      </c>
      <c r="B3328" s="96" t="s">
        <v>322</v>
      </c>
      <c r="C3328" s="96" t="s">
        <v>7048</v>
      </c>
      <c r="D3328" s="96" t="s">
        <v>237</v>
      </c>
      <c r="E3328" s="43">
        <v>45754</v>
      </c>
      <c r="F3328" s="43">
        <v>45874</v>
      </c>
      <c r="G3328" s="96" t="s">
        <v>92</v>
      </c>
      <c r="H3328" s="96" t="s">
        <v>7049</v>
      </c>
      <c r="I3328" s="96" t="s">
        <v>204</v>
      </c>
      <c r="J3328" s="96" t="s">
        <v>172</v>
      </c>
      <c r="K3328" s="96" t="s">
        <v>205</v>
      </c>
      <c r="L3328">
        <v>120</v>
      </c>
      <c r="M3328" t="s">
        <v>28</v>
      </c>
      <c r="N3328" t="s">
        <v>185</v>
      </c>
      <c r="O3328" t="s">
        <v>150</v>
      </c>
      <c r="P3328">
        <v>2025</v>
      </c>
    </row>
    <row r="3329" spans="1:16" hidden="1" x14ac:dyDescent="0.25">
      <c r="A3329" s="96" t="s">
        <v>2</v>
      </c>
      <c r="B3329" s="96" t="s">
        <v>213</v>
      </c>
      <c r="C3329" s="96" t="s">
        <v>7050</v>
      </c>
      <c r="D3329" s="96" t="s">
        <v>40</v>
      </c>
      <c r="E3329" s="43">
        <v>45886</v>
      </c>
      <c r="F3329" s="43">
        <v>45931</v>
      </c>
      <c r="G3329" s="96" t="s">
        <v>92</v>
      </c>
      <c r="H3329" s="96" t="s">
        <v>7051</v>
      </c>
      <c r="I3329" s="96" t="s">
        <v>9</v>
      </c>
      <c r="J3329" s="96" t="s">
        <v>169</v>
      </c>
      <c r="K3329" s="96" t="s">
        <v>233</v>
      </c>
      <c r="L3329">
        <v>45</v>
      </c>
      <c r="M3329" t="s">
        <v>24</v>
      </c>
      <c r="N3329" t="s">
        <v>8</v>
      </c>
      <c r="O3329" t="s">
        <v>149</v>
      </c>
      <c r="P3329">
        <v>2025</v>
      </c>
    </row>
    <row r="3330" spans="1:16" hidden="1" x14ac:dyDescent="0.25">
      <c r="A3330" s="96" t="s">
        <v>2</v>
      </c>
      <c r="B3330" s="96" t="s">
        <v>272</v>
      </c>
      <c r="C3330" s="96" t="s">
        <v>3189</v>
      </c>
      <c r="D3330" s="96" t="s">
        <v>215</v>
      </c>
      <c r="E3330" s="43">
        <v>45826</v>
      </c>
      <c r="F3330" s="43">
        <v>45854</v>
      </c>
      <c r="G3330" s="96" t="s">
        <v>92</v>
      </c>
      <c r="H3330" s="96" t="s">
        <v>7052</v>
      </c>
      <c r="I3330" s="96" t="s">
        <v>228</v>
      </c>
      <c r="J3330" s="96" t="s">
        <v>91</v>
      </c>
      <c r="K3330" s="96" t="s">
        <v>233</v>
      </c>
      <c r="L3330">
        <v>28</v>
      </c>
      <c r="M3330" t="s">
        <v>19</v>
      </c>
      <c r="N3330" t="s">
        <v>184</v>
      </c>
      <c r="O3330" t="s">
        <v>151</v>
      </c>
      <c r="P3330">
        <v>2025</v>
      </c>
    </row>
    <row r="3331" spans="1:16" hidden="1" x14ac:dyDescent="0.25">
      <c r="A3331" s="96" t="s">
        <v>21</v>
      </c>
      <c r="B3331" s="96" t="s">
        <v>264</v>
      </c>
      <c r="C3331" s="96" t="s">
        <v>3190</v>
      </c>
      <c r="D3331" s="96" t="s">
        <v>203</v>
      </c>
      <c r="E3331" s="43">
        <v>45880</v>
      </c>
      <c r="F3331" s="43">
        <v>45930</v>
      </c>
      <c r="G3331" s="96" t="s">
        <v>95</v>
      </c>
      <c r="H3331" s="96" t="s">
        <v>7053</v>
      </c>
      <c r="I3331" s="96" t="s">
        <v>9</v>
      </c>
      <c r="J3331" s="96" t="s">
        <v>173</v>
      </c>
      <c r="K3331" s="96" t="s">
        <v>217</v>
      </c>
      <c r="L3331">
        <v>50</v>
      </c>
      <c r="M3331" t="s">
        <v>24</v>
      </c>
      <c r="N3331" t="s">
        <v>8</v>
      </c>
      <c r="O3331" t="s">
        <v>152</v>
      </c>
      <c r="P3331">
        <v>2025</v>
      </c>
    </row>
    <row r="3332" spans="1:16" hidden="1" x14ac:dyDescent="0.25">
      <c r="A3332" s="96" t="s">
        <v>2</v>
      </c>
      <c r="B3332" s="96" t="s">
        <v>240</v>
      </c>
      <c r="C3332" s="96" t="s">
        <v>7054</v>
      </c>
      <c r="D3332" s="96" t="s">
        <v>215</v>
      </c>
      <c r="E3332" s="43">
        <v>45921</v>
      </c>
      <c r="F3332" s="43">
        <v>46015</v>
      </c>
      <c r="G3332" s="96" t="s">
        <v>95</v>
      </c>
      <c r="H3332" s="96" t="s">
        <v>7055</v>
      </c>
      <c r="I3332" s="96" t="s">
        <v>225</v>
      </c>
      <c r="J3332" s="96" t="s">
        <v>177</v>
      </c>
      <c r="K3332" s="96" t="s">
        <v>233</v>
      </c>
      <c r="L3332">
        <v>94</v>
      </c>
      <c r="M3332" t="s">
        <v>28</v>
      </c>
      <c r="N3332" t="s">
        <v>12</v>
      </c>
      <c r="O3332" t="s">
        <v>149</v>
      </c>
      <c r="P3332">
        <v>2025</v>
      </c>
    </row>
    <row r="3333" spans="1:16" hidden="1" x14ac:dyDescent="0.25">
      <c r="A3333" s="96" t="s">
        <v>2</v>
      </c>
      <c r="B3333" s="96" t="s">
        <v>322</v>
      </c>
      <c r="C3333" s="96" t="s">
        <v>3191</v>
      </c>
      <c r="D3333" s="96" t="s">
        <v>237</v>
      </c>
      <c r="E3333" s="43">
        <v>45678</v>
      </c>
      <c r="F3333" s="43">
        <v>45759</v>
      </c>
      <c r="G3333" s="96" t="s">
        <v>90</v>
      </c>
      <c r="H3333" s="96" t="s">
        <v>7056</v>
      </c>
      <c r="I3333" s="96" t="s">
        <v>225</v>
      </c>
      <c r="J3333" s="96" t="s">
        <v>94</v>
      </c>
      <c r="K3333" s="96" t="s">
        <v>210</v>
      </c>
      <c r="L3333">
        <v>81</v>
      </c>
      <c r="M3333" t="s">
        <v>28</v>
      </c>
      <c r="N3333" t="s">
        <v>181</v>
      </c>
      <c r="O3333" t="s">
        <v>150</v>
      </c>
      <c r="P3333">
        <v>2025</v>
      </c>
    </row>
    <row r="3334" spans="1:16" hidden="1" x14ac:dyDescent="0.25">
      <c r="A3334" s="96" t="s">
        <v>2</v>
      </c>
      <c r="B3334" s="96" t="s">
        <v>240</v>
      </c>
      <c r="C3334" s="96" t="s">
        <v>7057</v>
      </c>
      <c r="D3334" s="96" t="s">
        <v>34</v>
      </c>
      <c r="E3334" s="43">
        <v>45929</v>
      </c>
      <c r="F3334" s="43">
        <v>45999</v>
      </c>
      <c r="G3334" s="96" t="s">
        <v>90</v>
      </c>
      <c r="H3334" s="96" t="s">
        <v>7058</v>
      </c>
      <c r="I3334" s="96" t="s">
        <v>209</v>
      </c>
      <c r="J3334" s="96" t="s">
        <v>93</v>
      </c>
      <c r="K3334" s="96" t="s">
        <v>246</v>
      </c>
      <c r="L3334">
        <v>70</v>
      </c>
      <c r="M3334" t="s">
        <v>28</v>
      </c>
      <c r="N3334" t="s">
        <v>12</v>
      </c>
      <c r="O3334" t="s">
        <v>149</v>
      </c>
      <c r="P3334">
        <v>2025</v>
      </c>
    </row>
    <row r="3335" spans="1:16" hidden="1" x14ac:dyDescent="0.25">
      <c r="A3335" s="96" t="s">
        <v>2</v>
      </c>
      <c r="B3335" s="96" t="s">
        <v>240</v>
      </c>
      <c r="C3335" s="96" t="s">
        <v>7059</v>
      </c>
      <c r="D3335" s="96" t="s">
        <v>34</v>
      </c>
      <c r="E3335" s="43">
        <v>45843</v>
      </c>
      <c r="F3335" s="43">
        <v>45952</v>
      </c>
      <c r="G3335" s="96" t="s">
        <v>92</v>
      </c>
      <c r="H3335" s="96" t="s">
        <v>7060</v>
      </c>
      <c r="I3335" s="96" t="s">
        <v>204</v>
      </c>
      <c r="J3335" s="96" t="s">
        <v>176</v>
      </c>
      <c r="K3335" s="96" t="s">
        <v>246</v>
      </c>
      <c r="L3335">
        <v>109</v>
      </c>
      <c r="M3335" t="s">
        <v>28</v>
      </c>
      <c r="N3335" t="s">
        <v>187</v>
      </c>
      <c r="O3335" t="s">
        <v>149</v>
      </c>
      <c r="P3335">
        <v>2025</v>
      </c>
    </row>
    <row r="3336" spans="1:16" hidden="1" x14ac:dyDescent="0.25">
      <c r="A3336" s="96" t="s">
        <v>2</v>
      </c>
      <c r="B3336" s="96" t="s">
        <v>240</v>
      </c>
      <c r="C3336" s="96" t="s">
        <v>7061</v>
      </c>
      <c r="D3336" s="96" t="s">
        <v>192</v>
      </c>
      <c r="E3336" s="43">
        <v>46016</v>
      </c>
      <c r="F3336" s="43">
        <v>46118</v>
      </c>
      <c r="G3336" s="96" t="s">
        <v>90</v>
      </c>
      <c r="H3336" s="96" t="s">
        <v>7062</v>
      </c>
      <c r="I3336" s="96" t="s">
        <v>194</v>
      </c>
      <c r="J3336" s="96" t="s">
        <v>283</v>
      </c>
      <c r="K3336" s="96" t="s">
        <v>200</v>
      </c>
      <c r="L3336">
        <v>102</v>
      </c>
      <c r="M3336" t="s">
        <v>28</v>
      </c>
      <c r="N3336" t="s">
        <v>25</v>
      </c>
      <c r="O3336" t="s">
        <v>149</v>
      </c>
      <c r="P3336">
        <v>2025</v>
      </c>
    </row>
    <row r="3337" spans="1:16" hidden="1" x14ac:dyDescent="0.25">
      <c r="A3337" s="96" t="s">
        <v>21</v>
      </c>
      <c r="B3337" s="96" t="s">
        <v>264</v>
      </c>
      <c r="C3337" s="96" t="s">
        <v>3192</v>
      </c>
      <c r="D3337" s="96" t="s">
        <v>14</v>
      </c>
      <c r="E3337" s="43">
        <v>45752</v>
      </c>
      <c r="F3337" s="43">
        <v>45796</v>
      </c>
      <c r="G3337" s="96" t="s">
        <v>92</v>
      </c>
      <c r="H3337" s="96" t="s">
        <v>7063</v>
      </c>
      <c r="I3337" s="96" t="s">
        <v>228</v>
      </c>
      <c r="J3337" s="96" t="s">
        <v>176</v>
      </c>
      <c r="K3337" s="96" t="s">
        <v>233</v>
      </c>
      <c r="L3337">
        <v>44</v>
      </c>
      <c r="M3337" t="s">
        <v>24</v>
      </c>
      <c r="N3337" t="s">
        <v>185</v>
      </c>
      <c r="O3337" t="s">
        <v>152</v>
      </c>
      <c r="P3337">
        <v>2025</v>
      </c>
    </row>
    <row r="3338" spans="1:16" x14ac:dyDescent="0.25">
      <c r="A3338" s="96" t="s">
        <v>175</v>
      </c>
      <c r="B3338" s="96" t="s">
        <v>218</v>
      </c>
      <c r="C3338" s="96" t="s">
        <v>3193</v>
      </c>
      <c r="D3338" s="96" t="s">
        <v>215</v>
      </c>
      <c r="E3338" s="43">
        <v>46131</v>
      </c>
      <c r="F3338" s="43">
        <v>46146</v>
      </c>
      <c r="G3338" s="96" t="s">
        <v>92</v>
      </c>
      <c r="H3338" s="96" t="s">
        <v>3089</v>
      </c>
      <c r="I3338" s="96" t="s">
        <v>157</v>
      </c>
      <c r="J3338" s="96" t="s">
        <v>177</v>
      </c>
      <c r="K3338" s="96" t="s">
        <v>246</v>
      </c>
      <c r="L3338">
        <v>15</v>
      </c>
      <c r="M3338" t="s">
        <v>19</v>
      </c>
      <c r="N3338" t="s">
        <v>37</v>
      </c>
      <c r="O3338" t="s">
        <v>152</v>
      </c>
      <c r="P3338">
        <v>2026</v>
      </c>
    </row>
    <row r="3339" spans="1:16" x14ac:dyDescent="0.25">
      <c r="A3339" s="96" t="s">
        <v>2</v>
      </c>
      <c r="B3339" s="96" t="s">
        <v>261</v>
      </c>
      <c r="C3339" s="96" t="s">
        <v>3194</v>
      </c>
      <c r="D3339" s="96" t="s">
        <v>34</v>
      </c>
      <c r="E3339" s="43">
        <v>46122</v>
      </c>
      <c r="F3339" s="43">
        <v>46148</v>
      </c>
      <c r="G3339" s="96" t="s">
        <v>90</v>
      </c>
      <c r="H3339" s="96" t="s">
        <v>3091</v>
      </c>
      <c r="I3339" s="96" t="s">
        <v>9</v>
      </c>
      <c r="J3339" s="96" t="s">
        <v>94</v>
      </c>
      <c r="K3339" s="96" t="s">
        <v>233</v>
      </c>
      <c r="L3339">
        <v>26</v>
      </c>
      <c r="M3339" t="s">
        <v>19</v>
      </c>
      <c r="N3339" t="s">
        <v>37</v>
      </c>
      <c r="O3339" t="s">
        <v>151</v>
      </c>
      <c r="P3339">
        <v>2026</v>
      </c>
    </row>
    <row r="3340" spans="1:16" x14ac:dyDescent="0.25">
      <c r="A3340" s="96" t="s">
        <v>2</v>
      </c>
      <c r="B3340" s="96" t="s">
        <v>274</v>
      </c>
      <c r="C3340" s="96" t="s">
        <v>3195</v>
      </c>
      <c r="D3340" s="96" t="s">
        <v>14</v>
      </c>
      <c r="E3340" s="43">
        <v>46105</v>
      </c>
      <c r="F3340" s="43">
        <v>46147</v>
      </c>
      <c r="G3340" s="96" t="s">
        <v>95</v>
      </c>
      <c r="H3340" s="96" t="s">
        <v>3093</v>
      </c>
      <c r="I3340" s="96" t="s">
        <v>225</v>
      </c>
      <c r="J3340" s="96" t="s">
        <v>168</v>
      </c>
      <c r="K3340" s="96" t="s">
        <v>200</v>
      </c>
      <c r="L3340">
        <v>42</v>
      </c>
      <c r="M3340" t="s">
        <v>24</v>
      </c>
      <c r="N3340" t="s">
        <v>35</v>
      </c>
      <c r="O3340" t="s">
        <v>170</v>
      </c>
      <c r="P3340">
        <v>2026</v>
      </c>
    </row>
    <row r="3341" spans="1:16" x14ac:dyDescent="0.25">
      <c r="A3341" s="96" t="s">
        <v>2</v>
      </c>
      <c r="B3341" s="96" t="s">
        <v>302</v>
      </c>
      <c r="C3341" s="96" t="s">
        <v>7064</v>
      </c>
      <c r="D3341" s="96" t="s">
        <v>203</v>
      </c>
      <c r="E3341" s="43">
        <v>46144</v>
      </c>
      <c r="F3341" s="43">
        <v>46147</v>
      </c>
      <c r="G3341" s="96" t="s">
        <v>92</v>
      </c>
      <c r="H3341" s="96" t="s">
        <v>3095</v>
      </c>
      <c r="I3341" s="96" t="s">
        <v>9</v>
      </c>
      <c r="J3341" s="96" t="s">
        <v>199</v>
      </c>
      <c r="K3341" s="96" t="s">
        <v>210</v>
      </c>
      <c r="L3341">
        <v>3</v>
      </c>
      <c r="M3341" t="s">
        <v>11</v>
      </c>
      <c r="N3341" t="s">
        <v>183</v>
      </c>
      <c r="O3341" t="s">
        <v>150</v>
      </c>
      <c r="P3341">
        <v>2026</v>
      </c>
    </row>
    <row r="3342" spans="1:16" x14ac:dyDescent="0.25">
      <c r="A3342" s="96" t="s">
        <v>2</v>
      </c>
      <c r="B3342" s="96" t="s">
        <v>226</v>
      </c>
      <c r="C3342" s="96" t="s">
        <v>3196</v>
      </c>
      <c r="D3342" s="96" t="s">
        <v>223</v>
      </c>
      <c r="E3342" s="43">
        <v>46140</v>
      </c>
      <c r="F3342" s="43">
        <v>46148</v>
      </c>
      <c r="G3342" s="96" t="s">
        <v>90</v>
      </c>
      <c r="H3342" s="96" t="s">
        <v>3097</v>
      </c>
      <c r="I3342" s="96" t="s">
        <v>225</v>
      </c>
      <c r="J3342" s="96" t="s">
        <v>283</v>
      </c>
      <c r="K3342" s="96" t="s">
        <v>195</v>
      </c>
      <c r="L3342">
        <v>8</v>
      </c>
      <c r="M3342" t="s">
        <v>15</v>
      </c>
      <c r="N3342" t="s">
        <v>37</v>
      </c>
      <c r="O3342" t="s">
        <v>151</v>
      </c>
      <c r="P3342">
        <v>2026</v>
      </c>
    </row>
    <row r="3343" spans="1:16" hidden="1" x14ac:dyDescent="0.25">
      <c r="A3343" s="96" t="s">
        <v>2</v>
      </c>
      <c r="B3343" s="96" t="s">
        <v>257</v>
      </c>
      <c r="C3343" s="96" t="s">
        <v>7065</v>
      </c>
      <c r="D3343" s="96" t="s">
        <v>215</v>
      </c>
      <c r="E3343" s="43">
        <v>45791</v>
      </c>
      <c r="F3343" s="43">
        <v>45809</v>
      </c>
      <c r="G3343" s="96" t="s">
        <v>95</v>
      </c>
      <c r="H3343" s="96" t="s">
        <v>3099</v>
      </c>
      <c r="I3343" s="96" t="s">
        <v>225</v>
      </c>
      <c r="J3343" s="96" t="s">
        <v>173</v>
      </c>
      <c r="K3343" s="96" t="s">
        <v>195</v>
      </c>
      <c r="L3343">
        <v>18</v>
      </c>
      <c r="M3343" t="s">
        <v>19</v>
      </c>
      <c r="N3343" t="s">
        <v>182</v>
      </c>
      <c r="O3343" t="s">
        <v>151</v>
      </c>
      <c r="P3343">
        <v>2025</v>
      </c>
    </row>
    <row r="3344" spans="1:16" x14ac:dyDescent="0.25">
      <c r="A3344" s="96" t="s">
        <v>2</v>
      </c>
      <c r="B3344" s="96" t="s">
        <v>218</v>
      </c>
      <c r="C3344" s="96" t="s">
        <v>3197</v>
      </c>
      <c r="D3344" s="96" t="s">
        <v>40</v>
      </c>
      <c r="E3344" s="43">
        <v>46047</v>
      </c>
      <c r="F3344" s="43">
        <v>46117</v>
      </c>
      <c r="G3344" s="96" t="s">
        <v>90</v>
      </c>
      <c r="H3344" s="96" t="s">
        <v>3101</v>
      </c>
      <c r="I3344" s="96" t="s">
        <v>209</v>
      </c>
      <c r="J3344" s="96" t="s">
        <v>169</v>
      </c>
      <c r="K3344" s="96" t="s">
        <v>205</v>
      </c>
      <c r="L3344">
        <v>70</v>
      </c>
      <c r="M3344" t="s">
        <v>28</v>
      </c>
      <c r="N3344" t="s">
        <v>29</v>
      </c>
      <c r="O3344" t="s">
        <v>152</v>
      </c>
      <c r="P3344">
        <v>2026</v>
      </c>
    </row>
    <row r="3345" spans="1:16" hidden="1" x14ac:dyDescent="0.25">
      <c r="A3345" s="96" t="s">
        <v>2</v>
      </c>
      <c r="B3345" s="96" t="s">
        <v>280</v>
      </c>
      <c r="C3345" s="96" t="s">
        <v>3198</v>
      </c>
      <c r="D3345" s="96" t="s">
        <v>203</v>
      </c>
      <c r="E3345" s="43">
        <v>45870</v>
      </c>
      <c r="F3345" s="43">
        <v>45893</v>
      </c>
      <c r="G3345" s="96" t="s">
        <v>90</v>
      </c>
      <c r="H3345" s="96" t="s">
        <v>3103</v>
      </c>
      <c r="I3345" s="96" t="s">
        <v>157</v>
      </c>
      <c r="J3345" s="96" t="s">
        <v>94</v>
      </c>
      <c r="K3345" s="96" t="s">
        <v>205</v>
      </c>
      <c r="L3345">
        <v>23</v>
      </c>
      <c r="M3345" t="s">
        <v>19</v>
      </c>
      <c r="N3345" t="s">
        <v>8</v>
      </c>
      <c r="O3345" t="s">
        <v>170</v>
      </c>
      <c r="P3345">
        <v>2025</v>
      </c>
    </row>
    <row r="3346" spans="1:16" hidden="1" x14ac:dyDescent="0.25">
      <c r="A3346" s="96" t="s">
        <v>2</v>
      </c>
      <c r="B3346" s="96" t="s">
        <v>213</v>
      </c>
      <c r="C3346" s="96" t="s">
        <v>3199</v>
      </c>
      <c r="D3346" s="96" t="s">
        <v>40</v>
      </c>
      <c r="E3346" s="43">
        <v>45946</v>
      </c>
      <c r="F3346" s="43">
        <v>45966</v>
      </c>
      <c r="G3346" s="96" t="s">
        <v>90</v>
      </c>
      <c r="H3346" s="96" t="s">
        <v>3105</v>
      </c>
      <c r="I3346" s="96" t="s">
        <v>204</v>
      </c>
      <c r="J3346" s="96" t="s">
        <v>169</v>
      </c>
      <c r="K3346" s="96" t="s">
        <v>246</v>
      </c>
      <c r="L3346">
        <v>20</v>
      </c>
      <c r="M3346" t="s">
        <v>19</v>
      </c>
      <c r="N3346" t="s">
        <v>16</v>
      </c>
      <c r="O3346" t="s">
        <v>149</v>
      </c>
      <c r="P3346">
        <v>2025</v>
      </c>
    </row>
    <row r="3347" spans="1:16" x14ac:dyDescent="0.25">
      <c r="A3347" s="96" t="s">
        <v>2</v>
      </c>
      <c r="B3347" s="96" t="s">
        <v>288</v>
      </c>
      <c r="C3347" s="96" t="s">
        <v>7066</v>
      </c>
      <c r="D3347" s="96" t="s">
        <v>14</v>
      </c>
      <c r="E3347" s="43">
        <v>46119</v>
      </c>
      <c r="F3347" s="43">
        <v>46150</v>
      </c>
      <c r="G3347" s="96" t="s">
        <v>92</v>
      </c>
      <c r="H3347" s="96" t="s">
        <v>3106</v>
      </c>
      <c r="I3347" s="96" t="s">
        <v>194</v>
      </c>
      <c r="J3347" s="96" t="s">
        <v>98</v>
      </c>
      <c r="K3347" s="96" t="s">
        <v>157</v>
      </c>
      <c r="L3347">
        <v>31</v>
      </c>
      <c r="M3347" t="s">
        <v>24</v>
      </c>
      <c r="N3347" t="s">
        <v>37</v>
      </c>
      <c r="O3347" t="s">
        <v>170</v>
      </c>
      <c r="P3347">
        <v>2026</v>
      </c>
    </row>
    <row r="3348" spans="1:16" x14ac:dyDescent="0.25">
      <c r="A3348" s="96" t="s">
        <v>2</v>
      </c>
      <c r="B3348" s="96" t="s">
        <v>374</v>
      </c>
      <c r="C3348" s="96" t="s">
        <v>3200</v>
      </c>
      <c r="D3348" s="96" t="s">
        <v>40</v>
      </c>
      <c r="E3348" s="43">
        <v>46117</v>
      </c>
      <c r="F3348" s="43">
        <v>46130</v>
      </c>
      <c r="G3348" s="96" t="s">
        <v>92</v>
      </c>
      <c r="H3348" s="96" t="s">
        <v>7067</v>
      </c>
      <c r="I3348" s="96" t="s">
        <v>9</v>
      </c>
      <c r="J3348" s="96" t="s">
        <v>165</v>
      </c>
      <c r="K3348" s="96" t="s">
        <v>246</v>
      </c>
      <c r="L3348">
        <v>13</v>
      </c>
      <c r="M3348" t="s">
        <v>15</v>
      </c>
      <c r="N3348" t="s">
        <v>37</v>
      </c>
      <c r="O3348" t="s">
        <v>150</v>
      </c>
      <c r="P3348">
        <v>2026</v>
      </c>
    </row>
    <row r="3349" spans="1:16" hidden="1" x14ac:dyDescent="0.25">
      <c r="A3349" s="96" t="s">
        <v>171</v>
      </c>
      <c r="B3349" s="96" t="s">
        <v>264</v>
      </c>
      <c r="C3349" s="96" t="s">
        <v>3201</v>
      </c>
      <c r="D3349" s="96" t="s">
        <v>208</v>
      </c>
      <c r="E3349" s="43">
        <v>45695</v>
      </c>
      <c r="F3349" s="43">
        <v>45771</v>
      </c>
      <c r="G3349" s="96" t="s">
        <v>90</v>
      </c>
      <c r="H3349" s="96" t="s">
        <v>7068</v>
      </c>
      <c r="I3349" s="96" t="s">
        <v>194</v>
      </c>
      <c r="J3349" s="96" t="s">
        <v>176</v>
      </c>
      <c r="K3349" s="96" t="s">
        <v>217</v>
      </c>
      <c r="L3349">
        <v>76</v>
      </c>
      <c r="M3349" t="s">
        <v>28</v>
      </c>
      <c r="N3349" t="s">
        <v>188</v>
      </c>
      <c r="O3349" t="s">
        <v>152</v>
      </c>
      <c r="P3349">
        <v>2025</v>
      </c>
    </row>
    <row r="3350" spans="1:16" hidden="1" x14ac:dyDescent="0.25">
      <c r="A3350" s="96" t="s">
        <v>2</v>
      </c>
      <c r="B3350" s="96" t="s">
        <v>272</v>
      </c>
      <c r="C3350" s="96" t="s">
        <v>7069</v>
      </c>
      <c r="D3350" s="96" t="s">
        <v>215</v>
      </c>
      <c r="E3350" s="43">
        <v>45720</v>
      </c>
      <c r="F3350" s="43">
        <v>45801</v>
      </c>
      <c r="G3350" s="96" t="s">
        <v>95</v>
      </c>
      <c r="H3350" s="96" t="s">
        <v>7070</v>
      </c>
      <c r="I3350" s="96" t="s">
        <v>9</v>
      </c>
      <c r="J3350" s="96" t="s">
        <v>177</v>
      </c>
      <c r="K3350" s="96" t="s">
        <v>210</v>
      </c>
      <c r="L3350">
        <v>81</v>
      </c>
      <c r="M3350" t="s">
        <v>28</v>
      </c>
      <c r="N3350" t="s">
        <v>186</v>
      </c>
      <c r="O3350" t="s">
        <v>151</v>
      </c>
      <c r="P3350">
        <v>2025</v>
      </c>
    </row>
    <row r="3351" spans="1:16" x14ac:dyDescent="0.25">
      <c r="A3351" s="96" t="s">
        <v>2</v>
      </c>
      <c r="B3351" s="96" t="s">
        <v>374</v>
      </c>
      <c r="C3351" s="96" t="s">
        <v>3202</v>
      </c>
      <c r="D3351" s="96" t="s">
        <v>208</v>
      </c>
      <c r="E3351" s="43">
        <v>46138</v>
      </c>
      <c r="F3351" s="43">
        <v>46146</v>
      </c>
      <c r="G3351" s="96" t="s">
        <v>92</v>
      </c>
      <c r="H3351" s="96" t="s">
        <v>7071</v>
      </c>
      <c r="I3351" s="96" t="s">
        <v>157</v>
      </c>
      <c r="J3351" s="96" t="s">
        <v>172</v>
      </c>
      <c r="K3351" s="96" t="s">
        <v>205</v>
      </c>
      <c r="L3351">
        <v>8</v>
      </c>
      <c r="M3351" t="s">
        <v>15</v>
      </c>
      <c r="N3351" t="s">
        <v>37</v>
      </c>
      <c r="O3351" t="s">
        <v>150</v>
      </c>
      <c r="P3351">
        <v>2026</v>
      </c>
    </row>
    <row r="3352" spans="1:16" hidden="1" x14ac:dyDescent="0.25">
      <c r="A3352" s="96" t="s">
        <v>2</v>
      </c>
      <c r="B3352" s="96" t="s">
        <v>272</v>
      </c>
      <c r="C3352" s="96" t="s">
        <v>3203</v>
      </c>
      <c r="D3352" s="96" t="s">
        <v>14</v>
      </c>
      <c r="E3352" s="43">
        <v>45873</v>
      </c>
      <c r="F3352" s="43">
        <v>45977</v>
      </c>
      <c r="G3352" s="96" t="s">
        <v>92</v>
      </c>
      <c r="H3352" s="96" t="s">
        <v>7072</v>
      </c>
      <c r="I3352" s="96" t="s">
        <v>194</v>
      </c>
      <c r="J3352" s="96" t="s">
        <v>94</v>
      </c>
      <c r="K3352" s="96" t="s">
        <v>233</v>
      </c>
      <c r="L3352">
        <v>104</v>
      </c>
      <c r="M3352" t="s">
        <v>28</v>
      </c>
      <c r="N3352" t="s">
        <v>8</v>
      </c>
      <c r="O3352" t="s">
        <v>151</v>
      </c>
      <c r="P3352">
        <v>2025</v>
      </c>
    </row>
    <row r="3353" spans="1:16" hidden="1" x14ac:dyDescent="0.25">
      <c r="A3353" s="96" t="s">
        <v>175</v>
      </c>
      <c r="B3353" s="96" t="s">
        <v>238</v>
      </c>
      <c r="C3353" s="96" t="s">
        <v>7073</v>
      </c>
      <c r="D3353" s="96" t="s">
        <v>223</v>
      </c>
      <c r="E3353" s="43">
        <v>45681</v>
      </c>
      <c r="F3353" s="43">
        <v>45721</v>
      </c>
      <c r="G3353" s="96" t="s">
        <v>90</v>
      </c>
      <c r="H3353" s="96" t="s">
        <v>7074</v>
      </c>
      <c r="I3353" s="96" t="s">
        <v>9</v>
      </c>
      <c r="J3353" s="96" t="s">
        <v>172</v>
      </c>
      <c r="K3353" s="96" t="s">
        <v>205</v>
      </c>
      <c r="L3353">
        <v>40</v>
      </c>
      <c r="M3353" t="s">
        <v>24</v>
      </c>
      <c r="N3353" t="s">
        <v>181</v>
      </c>
      <c r="O3353" t="s">
        <v>170</v>
      </c>
      <c r="P3353">
        <v>2025</v>
      </c>
    </row>
    <row r="3354" spans="1:16" hidden="1" x14ac:dyDescent="0.25">
      <c r="A3354" s="96" t="s">
        <v>2</v>
      </c>
      <c r="B3354" s="96" t="s">
        <v>247</v>
      </c>
      <c r="C3354" s="96" t="s">
        <v>3204</v>
      </c>
      <c r="D3354" s="96" t="s">
        <v>215</v>
      </c>
      <c r="E3354" s="43">
        <v>45963</v>
      </c>
      <c r="F3354" s="43">
        <v>46009</v>
      </c>
      <c r="G3354" s="96" t="s">
        <v>92</v>
      </c>
      <c r="H3354" s="96" t="s">
        <v>7075</v>
      </c>
      <c r="I3354" s="96" t="s">
        <v>157</v>
      </c>
      <c r="J3354" s="96" t="s">
        <v>229</v>
      </c>
      <c r="K3354" s="96" t="s">
        <v>195</v>
      </c>
      <c r="L3354">
        <v>46</v>
      </c>
      <c r="M3354" t="s">
        <v>24</v>
      </c>
      <c r="N3354" t="s">
        <v>20</v>
      </c>
      <c r="O3354" t="s">
        <v>150</v>
      </c>
      <c r="P3354">
        <v>2025</v>
      </c>
    </row>
    <row r="3355" spans="1:16" hidden="1" x14ac:dyDescent="0.25">
      <c r="A3355" s="96" t="s">
        <v>2</v>
      </c>
      <c r="B3355" s="96" t="s">
        <v>206</v>
      </c>
      <c r="C3355" s="96" t="s">
        <v>3206</v>
      </c>
      <c r="D3355" s="96" t="s">
        <v>40</v>
      </c>
      <c r="E3355" s="43">
        <v>45862</v>
      </c>
      <c r="F3355" s="43">
        <v>45903</v>
      </c>
      <c r="G3355" s="96" t="s">
        <v>95</v>
      </c>
      <c r="H3355" s="96" t="s">
        <v>7076</v>
      </c>
      <c r="I3355" s="96" t="s">
        <v>194</v>
      </c>
      <c r="J3355" s="96" t="s">
        <v>94</v>
      </c>
      <c r="K3355" s="96" t="s">
        <v>233</v>
      </c>
      <c r="L3355">
        <v>41</v>
      </c>
      <c r="M3355" t="s">
        <v>24</v>
      </c>
      <c r="N3355" t="s">
        <v>187</v>
      </c>
      <c r="O3355" t="s">
        <v>152</v>
      </c>
      <c r="P3355">
        <v>2025</v>
      </c>
    </row>
    <row r="3356" spans="1:16" hidden="1" x14ac:dyDescent="0.25">
      <c r="A3356" s="96" t="s">
        <v>2</v>
      </c>
      <c r="B3356" s="96" t="s">
        <v>253</v>
      </c>
      <c r="C3356" s="96" t="s">
        <v>7077</v>
      </c>
      <c r="D3356" s="96" t="s">
        <v>192</v>
      </c>
      <c r="E3356" s="43">
        <v>45999</v>
      </c>
      <c r="F3356" s="43">
        <v>46101</v>
      </c>
      <c r="G3356" s="96" t="s">
        <v>92</v>
      </c>
      <c r="H3356" s="96" t="s">
        <v>7078</v>
      </c>
      <c r="I3356" s="96" t="s">
        <v>157</v>
      </c>
      <c r="J3356" s="96" t="s">
        <v>96</v>
      </c>
      <c r="K3356" s="96" t="s">
        <v>230</v>
      </c>
      <c r="L3356">
        <v>102</v>
      </c>
      <c r="M3356" t="s">
        <v>28</v>
      </c>
      <c r="N3356" t="s">
        <v>25</v>
      </c>
      <c r="O3356" t="s">
        <v>152</v>
      </c>
      <c r="P3356">
        <v>2025</v>
      </c>
    </row>
    <row r="3357" spans="1:16" x14ac:dyDescent="0.25">
      <c r="A3357" s="96" t="s">
        <v>2</v>
      </c>
      <c r="B3357" s="96" t="s">
        <v>218</v>
      </c>
      <c r="C3357" s="96" t="s">
        <v>3208</v>
      </c>
      <c r="D3357" s="96" t="s">
        <v>40</v>
      </c>
      <c r="E3357" s="43">
        <v>46043</v>
      </c>
      <c r="F3357" s="43">
        <v>46133</v>
      </c>
      <c r="G3357" s="96" t="s">
        <v>92</v>
      </c>
      <c r="H3357" s="96" t="s">
        <v>7079</v>
      </c>
      <c r="I3357" s="96" t="s">
        <v>225</v>
      </c>
      <c r="J3357" s="96" t="s">
        <v>176</v>
      </c>
      <c r="K3357" s="96" t="s">
        <v>195</v>
      </c>
      <c r="L3357">
        <v>90</v>
      </c>
      <c r="M3357" t="s">
        <v>28</v>
      </c>
      <c r="N3357" t="s">
        <v>29</v>
      </c>
      <c r="O3357" t="s">
        <v>152</v>
      </c>
      <c r="P3357">
        <v>2026</v>
      </c>
    </row>
    <row r="3358" spans="1:16" hidden="1" x14ac:dyDescent="0.25">
      <c r="A3358" s="96" t="s">
        <v>2</v>
      </c>
      <c r="B3358" s="96" t="s">
        <v>221</v>
      </c>
      <c r="C3358" s="96" t="s">
        <v>7080</v>
      </c>
      <c r="D3358" s="96" t="s">
        <v>237</v>
      </c>
      <c r="E3358" s="43">
        <v>45770</v>
      </c>
      <c r="F3358" s="43">
        <v>45796</v>
      </c>
      <c r="G3358" s="96" t="s">
        <v>90</v>
      </c>
      <c r="H3358" s="96" t="s">
        <v>7081</v>
      </c>
      <c r="I3358" s="96" t="s">
        <v>157</v>
      </c>
      <c r="J3358" s="96" t="s">
        <v>96</v>
      </c>
      <c r="K3358" s="96" t="s">
        <v>217</v>
      </c>
      <c r="L3358">
        <v>26</v>
      </c>
      <c r="M3358" t="s">
        <v>19</v>
      </c>
      <c r="N3358" t="s">
        <v>185</v>
      </c>
      <c r="O3358" t="s">
        <v>170</v>
      </c>
      <c r="P3358">
        <v>2025</v>
      </c>
    </row>
    <row r="3359" spans="1:16" hidden="1" x14ac:dyDescent="0.25">
      <c r="A3359" s="96" t="s">
        <v>2</v>
      </c>
      <c r="B3359" s="96" t="s">
        <v>272</v>
      </c>
      <c r="C3359" s="96" t="s">
        <v>3209</v>
      </c>
      <c r="D3359" s="96" t="s">
        <v>192</v>
      </c>
      <c r="E3359" s="43">
        <v>45663</v>
      </c>
      <c r="F3359" s="43">
        <v>45769</v>
      </c>
      <c r="G3359" s="96" t="s">
        <v>90</v>
      </c>
      <c r="H3359" s="96" t="s">
        <v>7082</v>
      </c>
      <c r="I3359" s="96" t="s">
        <v>209</v>
      </c>
      <c r="J3359" s="96" t="s">
        <v>93</v>
      </c>
      <c r="K3359" s="96" t="s">
        <v>157</v>
      </c>
      <c r="L3359">
        <v>106</v>
      </c>
      <c r="M3359" t="s">
        <v>28</v>
      </c>
      <c r="N3359" t="s">
        <v>181</v>
      </c>
      <c r="O3359" t="s">
        <v>151</v>
      </c>
      <c r="P3359">
        <v>2025</v>
      </c>
    </row>
    <row r="3360" spans="1:16" x14ac:dyDescent="0.25">
      <c r="A3360" s="96" t="s">
        <v>2</v>
      </c>
      <c r="B3360" s="96" t="s">
        <v>374</v>
      </c>
      <c r="C3360" s="96" t="s">
        <v>3210</v>
      </c>
      <c r="D3360" s="96" t="s">
        <v>10</v>
      </c>
      <c r="E3360" s="43">
        <v>46071</v>
      </c>
      <c r="F3360" s="43">
        <v>46142</v>
      </c>
      <c r="G3360" s="96" t="s">
        <v>90</v>
      </c>
      <c r="H3360" s="96" t="s">
        <v>7083</v>
      </c>
      <c r="I3360" s="96" t="s">
        <v>194</v>
      </c>
      <c r="J3360" s="96" t="s">
        <v>94</v>
      </c>
      <c r="K3360" s="96" t="s">
        <v>157</v>
      </c>
      <c r="L3360">
        <v>71</v>
      </c>
      <c r="M3360" t="s">
        <v>28</v>
      </c>
      <c r="N3360" t="s">
        <v>32</v>
      </c>
      <c r="O3360" t="s">
        <v>150</v>
      </c>
      <c r="P3360">
        <v>2026</v>
      </c>
    </row>
    <row r="3361" spans="1:16" hidden="1" x14ac:dyDescent="0.25">
      <c r="A3361" s="96" t="s">
        <v>2</v>
      </c>
      <c r="B3361" s="96" t="s">
        <v>206</v>
      </c>
      <c r="C3361" s="96" t="s">
        <v>3211</v>
      </c>
      <c r="D3361" s="96" t="s">
        <v>14</v>
      </c>
      <c r="E3361" s="43">
        <v>45984</v>
      </c>
      <c r="F3361" s="43">
        <v>46026</v>
      </c>
      <c r="G3361" s="96" t="s">
        <v>92</v>
      </c>
      <c r="H3361" s="96" t="s">
        <v>7084</v>
      </c>
      <c r="I3361" s="96" t="s">
        <v>209</v>
      </c>
      <c r="J3361" s="96" t="s">
        <v>165</v>
      </c>
      <c r="K3361" s="96" t="s">
        <v>230</v>
      </c>
      <c r="L3361">
        <v>42</v>
      </c>
      <c r="M3361" t="s">
        <v>24</v>
      </c>
      <c r="N3361" t="s">
        <v>20</v>
      </c>
      <c r="O3361" t="s">
        <v>152</v>
      </c>
      <c r="P3361">
        <v>2025</v>
      </c>
    </row>
    <row r="3362" spans="1:16" hidden="1" x14ac:dyDescent="0.25">
      <c r="A3362" s="96" t="s">
        <v>2</v>
      </c>
      <c r="B3362" s="96" t="s">
        <v>264</v>
      </c>
      <c r="C3362" s="96" t="s">
        <v>3212</v>
      </c>
      <c r="D3362" s="96" t="s">
        <v>208</v>
      </c>
      <c r="E3362" s="43">
        <v>45893</v>
      </c>
      <c r="F3362" s="43">
        <v>45958</v>
      </c>
      <c r="G3362" s="96" t="s">
        <v>90</v>
      </c>
      <c r="H3362" s="96" t="s">
        <v>7085</v>
      </c>
      <c r="I3362" s="96" t="s">
        <v>209</v>
      </c>
      <c r="J3362" s="96" t="s">
        <v>176</v>
      </c>
      <c r="K3362" s="96" t="s">
        <v>210</v>
      </c>
      <c r="L3362">
        <v>65</v>
      </c>
      <c r="M3362" t="s">
        <v>28</v>
      </c>
      <c r="N3362" t="s">
        <v>8</v>
      </c>
      <c r="O3362" t="s">
        <v>152</v>
      </c>
      <c r="P3362">
        <v>2025</v>
      </c>
    </row>
    <row r="3363" spans="1:16" hidden="1" x14ac:dyDescent="0.25">
      <c r="A3363" s="96" t="s">
        <v>171</v>
      </c>
      <c r="B3363" s="96" t="s">
        <v>322</v>
      </c>
      <c r="C3363" s="96" t="s">
        <v>7086</v>
      </c>
      <c r="D3363" s="96" t="s">
        <v>223</v>
      </c>
      <c r="E3363" s="43">
        <v>45748</v>
      </c>
      <c r="F3363" s="43">
        <v>45788</v>
      </c>
      <c r="G3363" s="96" t="s">
        <v>92</v>
      </c>
      <c r="H3363" s="96" t="s">
        <v>7087</v>
      </c>
      <c r="I3363" s="96" t="s">
        <v>9</v>
      </c>
      <c r="J3363" s="96" t="s">
        <v>168</v>
      </c>
      <c r="K3363" s="96" t="s">
        <v>246</v>
      </c>
      <c r="L3363">
        <v>40</v>
      </c>
      <c r="M3363" t="s">
        <v>24</v>
      </c>
      <c r="N3363" t="s">
        <v>185</v>
      </c>
      <c r="O3363" t="s">
        <v>150</v>
      </c>
      <c r="P3363">
        <v>2025</v>
      </c>
    </row>
    <row r="3364" spans="1:16" hidden="1" x14ac:dyDescent="0.25">
      <c r="A3364" s="96" t="s">
        <v>2</v>
      </c>
      <c r="B3364" s="96" t="s">
        <v>213</v>
      </c>
      <c r="C3364" s="96" t="s">
        <v>7088</v>
      </c>
      <c r="D3364" s="96" t="s">
        <v>223</v>
      </c>
      <c r="E3364" s="43">
        <v>45990</v>
      </c>
      <c r="F3364" s="43">
        <v>45995</v>
      </c>
      <c r="G3364" s="96" t="s">
        <v>90</v>
      </c>
      <c r="H3364" s="96" t="s">
        <v>7089</v>
      </c>
      <c r="I3364" s="96" t="s">
        <v>204</v>
      </c>
      <c r="J3364" s="96" t="s">
        <v>96</v>
      </c>
      <c r="K3364" s="96" t="s">
        <v>200</v>
      </c>
      <c r="L3364">
        <v>5</v>
      </c>
      <c r="M3364" t="s">
        <v>11</v>
      </c>
      <c r="N3364" t="s">
        <v>20</v>
      </c>
      <c r="O3364" t="s">
        <v>149</v>
      </c>
      <c r="P3364">
        <v>2025</v>
      </c>
    </row>
    <row r="3365" spans="1:16" x14ac:dyDescent="0.25">
      <c r="A3365" s="96" t="s">
        <v>2</v>
      </c>
      <c r="B3365" s="96" t="s">
        <v>234</v>
      </c>
      <c r="C3365" s="96" t="s">
        <v>7090</v>
      </c>
      <c r="D3365" s="96" t="s">
        <v>203</v>
      </c>
      <c r="E3365" s="43">
        <v>46045</v>
      </c>
      <c r="F3365" s="43">
        <v>46062</v>
      </c>
      <c r="G3365" s="96" t="s">
        <v>92</v>
      </c>
      <c r="H3365" s="96" t="s">
        <v>7091</v>
      </c>
      <c r="I3365" s="96" t="s">
        <v>204</v>
      </c>
      <c r="J3365" s="96" t="s">
        <v>98</v>
      </c>
      <c r="K3365" s="96" t="s">
        <v>233</v>
      </c>
      <c r="L3365">
        <v>17</v>
      </c>
      <c r="M3365" t="s">
        <v>19</v>
      </c>
      <c r="N3365" t="s">
        <v>29</v>
      </c>
      <c r="O3365" t="s">
        <v>150</v>
      </c>
      <c r="P3365">
        <v>2026</v>
      </c>
    </row>
    <row r="3366" spans="1:16" hidden="1" x14ac:dyDescent="0.25">
      <c r="A3366" s="96" t="s">
        <v>2</v>
      </c>
      <c r="B3366" s="96" t="s">
        <v>253</v>
      </c>
      <c r="C3366" s="96" t="s">
        <v>7092</v>
      </c>
      <c r="D3366" s="96" t="s">
        <v>192</v>
      </c>
      <c r="E3366" s="43">
        <v>45825</v>
      </c>
      <c r="F3366" s="43">
        <v>45914</v>
      </c>
      <c r="G3366" s="96" t="s">
        <v>92</v>
      </c>
      <c r="H3366" s="96" t="s">
        <v>7093</v>
      </c>
      <c r="I3366" s="96" t="s">
        <v>9</v>
      </c>
      <c r="J3366" s="96" t="s">
        <v>199</v>
      </c>
      <c r="K3366" s="96" t="s">
        <v>210</v>
      </c>
      <c r="L3366">
        <v>89</v>
      </c>
      <c r="M3366" t="s">
        <v>28</v>
      </c>
      <c r="N3366" t="s">
        <v>184</v>
      </c>
      <c r="O3366" t="s">
        <v>152</v>
      </c>
      <c r="P3366">
        <v>2025</v>
      </c>
    </row>
    <row r="3367" spans="1:16" hidden="1" x14ac:dyDescent="0.25">
      <c r="A3367" s="96" t="s">
        <v>2</v>
      </c>
      <c r="B3367" s="96" t="s">
        <v>251</v>
      </c>
      <c r="C3367" s="96" t="s">
        <v>3214</v>
      </c>
      <c r="D3367" s="96" t="s">
        <v>40</v>
      </c>
      <c r="E3367" s="43">
        <v>45771</v>
      </c>
      <c r="F3367" s="43">
        <v>45831</v>
      </c>
      <c r="G3367" s="96" t="s">
        <v>92</v>
      </c>
      <c r="H3367" s="96" t="s">
        <v>7094</v>
      </c>
      <c r="I3367" s="96" t="s">
        <v>9</v>
      </c>
      <c r="J3367" s="96" t="s">
        <v>91</v>
      </c>
      <c r="K3367" s="96" t="s">
        <v>233</v>
      </c>
      <c r="L3367">
        <v>60</v>
      </c>
      <c r="M3367" t="s">
        <v>24</v>
      </c>
      <c r="N3367" t="s">
        <v>185</v>
      </c>
      <c r="O3367" t="s">
        <v>170</v>
      </c>
      <c r="P3367">
        <v>2025</v>
      </c>
    </row>
    <row r="3368" spans="1:16" hidden="1" x14ac:dyDescent="0.25">
      <c r="A3368" s="96" t="s">
        <v>175</v>
      </c>
      <c r="B3368" s="96" t="s">
        <v>251</v>
      </c>
      <c r="C3368" s="96" t="s">
        <v>3215</v>
      </c>
      <c r="D3368" s="96" t="s">
        <v>223</v>
      </c>
      <c r="E3368" s="43">
        <v>45774</v>
      </c>
      <c r="F3368" s="43">
        <v>45795</v>
      </c>
      <c r="G3368" s="96" t="s">
        <v>95</v>
      </c>
      <c r="H3368" s="96" t="s">
        <v>7095</v>
      </c>
      <c r="I3368" s="96" t="s">
        <v>204</v>
      </c>
      <c r="J3368" s="96" t="s">
        <v>172</v>
      </c>
      <c r="K3368" s="96" t="s">
        <v>210</v>
      </c>
      <c r="L3368">
        <v>21</v>
      </c>
      <c r="M3368" t="s">
        <v>19</v>
      </c>
      <c r="N3368" t="s">
        <v>185</v>
      </c>
      <c r="O3368" t="s">
        <v>170</v>
      </c>
      <c r="P3368">
        <v>2025</v>
      </c>
    </row>
    <row r="3369" spans="1:16" hidden="1" x14ac:dyDescent="0.25">
      <c r="A3369" s="96" t="s">
        <v>2</v>
      </c>
      <c r="B3369" s="96" t="s">
        <v>206</v>
      </c>
      <c r="C3369" s="96" t="s">
        <v>3216</v>
      </c>
      <c r="D3369" s="96" t="s">
        <v>10</v>
      </c>
      <c r="E3369" s="43">
        <v>45963</v>
      </c>
      <c r="F3369" s="43">
        <v>46000</v>
      </c>
      <c r="G3369" s="96" t="s">
        <v>92</v>
      </c>
      <c r="H3369" s="96" t="s">
        <v>7096</v>
      </c>
      <c r="I3369" s="96" t="s">
        <v>194</v>
      </c>
      <c r="J3369" s="96" t="s">
        <v>229</v>
      </c>
      <c r="K3369" s="96" t="s">
        <v>210</v>
      </c>
      <c r="L3369">
        <v>37</v>
      </c>
      <c r="M3369" t="s">
        <v>24</v>
      </c>
      <c r="N3369" t="s">
        <v>20</v>
      </c>
      <c r="O3369" t="s">
        <v>152</v>
      </c>
      <c r="P3369">
        <v>2025</v>
      </c>
    </row>
    <row r="3370" spans="1:16" x14ac:dyDescent="0.25">
      <c r="A3370" s="96" t="s">
        <v>171</v>
      </c>
      <c r="B3370" s="96" t="s">
        <v>288</v>
      </c>
      <c r="C3370" s="96" t="s">
        <v>3217</v>
      </c>
      <c r="D3370" s="96" t="s">
        <v>203</v>
      </c>
      <c r="E3370" s="43">
        <v>46151</v>
      </c>
      <c r="F3370" s="43">
        <v>46147</v>
      </c>
      <c r="G3370" s="96" t="s">
        <v>92</v>
      </c>
      <c r="H3370" s="96" t="s">
        <v>7097</v>
      </c>
      <c r="I3370" s="96" t="s">
        <v>209</v>
      </c>
      <c r="J3370" s="96" t="s">
        <v>283</v>
      </c>
      <c r="K3370" s="96" t="s">
        <v>217</v>
      </c>
      <c r="L3370">
        <v>-4</v>
      </c>
      <c r="M3370" t="s">
        <v>11</v>
      </c>
      <c r="N3370" t="s">
        <v>183</v>
      </c>
      <c r="O3370" t="s">
        <v>170</v>
      </c>
      <c r="P3370">
        <v>2026</v>
      </c>
    </row>
    <row r="3371" spans="1:16" hidden="1" x14ac:dyDescent="0.25">
      <c r="A3371" s="96" t="s">
        <v>2</v>
      </c>
      <c r="B3371" s="96" t="s">
        <v>240</v>
      </c>
      <c r="C3371" s="96" t="s">
        <v>7098</v>
      </c>
      <c r="D3371" s="96" t="s">
        <v>203</v>
      </c>
      <c r="E3371" s="43">
        <v>45928</v>
      </c>
      <c r="F3371" s="43">
        <v>45930</v>
      </c>
      <c r="G3371" s="96" t="s">
        <v>90</v>
      </c>
      <c r="H3371" s="96" t="s">
        <v>7099</v>
      </c>
      <c r="I3371" s="96" t="s">
        <v>204</v>
      </c>
      <c r="J3371" s="96" t="s">
        <v>96</v>
      </c>
      <c r="K3371" s="96" t="s">
        <v>230</v>
      </c>
      <c r="L3371">
        <v>2</v>
      </c>
      <c r="M3371" t="s">
        <v>11</v>
      </c>
      <c r="N3371" t="s">
        <v>12</v>
      </c>
      <c r="O3371" t="s">
        <v>149</v>
      </c>
      <c r="P3371">
        <v>2025</v>
      </c>
    </row>
    <row r="3372" spans="1:16" hidden="1" x14ac:dyDescent="0.25">
      <c r="A3372" s="96" t="s">
        <v>2</v>
      </c>
      <c r="B3372" s="96" t="s">
        <v>190</v>
      </c>
      <c r="C3372" s="96" t="s">
        <v>3218</v>
      </c>
      <c r="D3372" s="96" t="s">
        <v>237</v>
      </c>
      <c r="E3372" s="43">
        <v>45674</v>
      </c>
      <c r="F3372" s="43">
        <v>45715</v>
      </c>
      <c r="G3372" s="96" t="s">
        <v>92</v>
      </c>
      <c r="H3372" s="96" t="s">
        <v>7100</v>
      </c>
      <c r="I3372" s="96" t="s">
        <v>157</v>
      </c>
      <c r="J3372" s="96" t="s">
        <v>94</v>
      </c>
      <c r="K3372" s="96" t="s">
        <v>246</v>
      </c>
      <c r="L3372">
        <v>41</v>
      </c>
      <c r="M3372" t="s">
        <v>24</v>
      </c>
      <c r="N3372" t="s">
        <v>181</v>
      </c>
      <c r="O3372" t="s">
        <v>150</v>
      </c>
      <c r="P3372">
        <v>2025</v>
      </c>
    </row>
    <row r="3373" spans="1:16" x14ac:dyDescent="0.25">
      <c r="A3373" s="96" t="s">
        <v>2</v>
      </c>
      <c r="B3373" s="96" t="s">
        <v>302</v>
      </c>
      <c r="C3373" s="96" t="s">
        <v>7101</v>
      </c>
      <c r="D3373" s="96" t="s">
        <v>40</v>
      </c>
      <c r="E3373" s="43">
        <v>46136</v>
      </c>
      <c r="F3373" s="43">
        <v>46147</v>
      </c>
      <c r="G3373" s="96" t="s">
        <v>92</v>
      </c>
      <c r="H3373" s="96" t="s">
        <v>7102</v>
      </c>
      <c r="I3373" s="96" t="s">
        <v>228</v>
      </c>
      <c r="J3373" s="96" t="s">
        <v>97</v>
      </c>
      <c r="K3373" s="96" t="s">
        <v>233</v>
      </c>
      <c r="L3373">
        <v>11</v>
      </c>
      <c r="M3373" t="s">
        <v>15</v>
      </c>
      <c r="N3373" t="s">
        <v>37</v>
      </c>
      <c r="O3373" t="s">
        <v>150</v>
      </c>
      <c r="P3373">
        <v>2026</v>
      </c>
    </row>
    <row r="3374" spans="1:16" x14ac:dyDescent="0.25">
      <c r="A3374" s="96" t="s">
        <v>2</v>
      </c>
      <c r="B3374" s="96" t="s">
        <v>196</v>
      </c>
      <c r="C3374" s="96" t="s">
        <v>7103</v>
      </c>
      <c r="D3374" s="96" t="s">
        <v>203</v>
      </c>
      <c r="E3374" s="43">
        <v>46029</v>
      </c>
      <c r="F3374" s="43">
        <v>46124</v>
      </c>
      <c r="G3374" s="96" t="s">
        <v>90</v>
      </c>
      <c r="H3374" s="96" t="s">
        <v>7104</v>
      </c>
      <c r="I3374" s="96" t="s">
        <v>204</v>
      </c>
      <c r="J3374" s="96" t="s">
        <v>177</v>
      </c>
      <c r="K3374" s="96" t="s">
        <v>230</v>
      </c>
      <c r="L3374">
        <v>95</v>
      </c>
      <c r="M3374" t="s">
        <v>28</v>
      </c>
      <c r="N3374" t="s">
        <v>29</v>
      </c>
      <c r="O3374" t="s">
        <v>152</v>
      </c>
      <c r="P3374">
        <v>2026</v>
      </c>
    </row>
    <row r="3375" spans="1:16" hidden="1" x14ac:dyDescent="0.25">
      <c r="A3375" s="96" t="s">
        <v>2</v>
      </c>
      <c r="B3375" s="96" t="s">
        <v>231</v>
      </c>
      <c r="C3375" s="96" t="s">
        <v>7105</v>
      </c>
      <c r="D3375" s="96" t="s">
        <v>208</v>
      </c>
      <c r="E3375" s="43">
        <v>45863</v>
      </c>
      <c r="F3375" s="43">
        <v>45942</v>
      </c>
      <c r="G3375" s="96" t="s">
        <v>92</v>
      </c>
      <c r="H3375" s="96" t="s">
        <v>7106</v>
      </c>
      <c r="I3375" s="96" t="s">
        <v>209</v>
      </c>
      <c r="J3375" s="96" t="s">
        <v>177</v>
      </c>
      <c r="K3375" s="96" t="s">
        <v>233</v>
      </c>
      <c r="L3375">
        <v>79</v>
      </c>
      <c r="M3375" t="s">
        <v>28</v>
      </c>
      <c r="N3375" t="s">
        <v>187</v>
      </c>
      <c r="O3375" t="s">
        <v>170</v>
      </c>
      <c r="P3375">
        <v>2025</v>
      </c>
    </row>
    <row r="3376" spans="1:16" hidden="1" x14ac:dyDescent="0.25">
      <c r="A3376" s="96" t="s">
        <v>2</v>
      </c>
      <c r="B3376" s="96" t="s">
        <v>213</v>
      </c>
      <c r="C3376" s="96" t="s">
        <v>3219</v>
      </c>
      <c r="D3376" s="96" t="s">
        <v>215</v>
      </c>
      <c r="E3376" s="43">
        <v>45926</v>
      </c>
      <c r="F3376" s="43">
        <v>45963</v>
      </c>
      <c r="G3376" s="96" t="s">
        <v>90</v>
      </c>
      <c r="H3376" s="96" t="s">
        <v>7107</v>
      </c>
      <c r="I3376" s="96" t="s">
        <v>9</v>
      </c>
      <c r="J3376" s="96" t="s">
        <v>96</v>
      </c>
      <c r="K3376" s="96" t="s">
        <v>246</v>
      </c>
      <c r="L3376">
        <v>37</v>
      </c>
      <c r="M3376" t="s">
        <v>24</v>
      </c>
      <c r="N3376" t="s">
        <v>12</v>
      </c>
      <c r="O3376" t="s">
        <v>149</v>
      </c>
      <c r="P3376">
        <v>2025</v>
      </c>
    </row>
    <row r="3377" spans="1:16" x14ac:dyDescent="0.25">
      <c r="A3377" s="96" t="s">
        <v>2</v>
      </c>
      <c r="B3377" s="96" t="s">
        <v>290</v>
      </c>
      <c r="C3377" s="96" t="s">
        <v>3220</v>
      </c>
      <c r="D3377" s="96" t="s">
        <v>40</v>
      </c>
      <c r="E3377" s="43">
        <v>46048</v>
      </c>
      <c r="F3377" s="43">
        <v>46088</v>
      </c>
      <c r="G3377" s="96" t="s">
        <v>90</v>
      </c>
      <c r="H3377" s="96" t="s">
        <v>7108</v>
      </c>
      <c r="I3377" s="96" t="s">
        <v>225</v>
      </c>
      <c r="J3377" s="96" t="s">
        <v>93</v>
      </c>
      <c r="K3377" s="96" t="s">
        <v>217</v>
      </c>
      <c r="L3377">
        <v>40</v>
      </c>
      <c r="M3377" t="s">
        <v>24</v>
      </c>
      <c r="N3377" t="s">
        <v>29</v>
      </c>
      <c r="O3377" t="s">
        <v>149</v>
      </c>
      <c r="P3377">
        <v>2026</v>
      </c>
    </row>
    <row r="3378" spans="1:16" hidden="1" x14ac:dyDescent="0.25">
      <c r="A3378" s="96" t="s">
        <v>2</v>
      </c>
      <c r="B3378" s="96" t="s">
        <v>251</v>
      </c>
      <c r="C3378" s="96" t="s">
        <v>3221</v>
      </c>
      <c r="D3378" s="96" t="s">
        <v>237</v>
      </c>
      <c r="E3378" s="43">
        <v>45891</v>
      </c>
      <c r="F3378" s="43">
        <v>45927</v>
      </c>
      <c r="G3378" s="96" t="s">
        <v>90</v>
      </c>
      <c r="H3378" s="96" t="s">
        <v>7109</v>
      </c>
      <c r="I3378" s="96" t="s">
        <v>157</v>
      </c>
      <c r="J3378" s="96" t="s">
        <v>93</v>
      </c>
      <c r="K3378" s="96" t="s">
        <v>157</v>
      </c>
      <c r="L3378">
        <v>36</v>
      </c>
      <c r="M3378" t="s">
        <v>24</v>
      </c>
      <c r="N3378" t="s">
        <v>8</v>
      </c>
      <c r="O3378" t="s">
        <v>170</v>
      </c>
      <c r="P3378">
        <v>2025</v>
      </c>
    </row>
    <row r="3379" spans="1:16" hidden="1" x14ac:dyDescent="0.25">
      <c r="A3379" s="96" t="s">
        <v>2</v>
      </c>
      <c r="B3379" s="96" t="s">
        <v>257</v>
      </c>
      <c r="C3379" s="96" t="s">
        <v>7110</v>
      </c>
      <c r="D3379" s="96" t="s">
        <v>14</v>
      </c>
      <c r="E3379" s="43">
        <v>45872</v>
      </c>
      <c r="F3379" s="43">
        <v>45899</v>
      </c>
      <c r="G3379" s="96" t="s">
        <v>92</v>
      </c>
      <c r="H3379" s="96" t="s">
        <v>3131</v>
      </c>
      <c r="I3379" s="96" t="s">
        <v>194</v>
      </c>
      <c r="J3379" s="96" t="s">
        <v>169</v>
      </c>
      <c r="K3379" s="96" t="s">
        <v>200</v>
      </c>
      <c r="L3379">
        <v>27</v>
      </c>
      <c r="M3379" t="s">
        <v>19</v>
      </c>
      <c r="N3379" t="s">
        <v>8</v>
      </c>
      <c r="O3379" t="s">
        <v>151</v>
      </c>
      <c r="P3379">
        <v>2025</v>
      </c>
    </row>
    <row r="3380" spans="1:16" hidden="1" x14ac:dyDescent="0.25">
      <c r="A3380" s="96" t="s">
        <v>2</v>
      </c>
      <c r="B3380" s="96" t="s">
        <v>255</v>
      </c>
      <c r="C3380" s="96" t="s">
        <v>7111</v>
      </c>
      <c r="D3380" s="96" t="s">
        <v>208</v>
      </c>
      <c r="E3380" s="43">
        <v>45848</v>
      </c>
      <c r="F3380" s="43">
        <v>45961</v>
      </c>
      <c r="G3380" s="96" t="s">
        <v>92</v>
      </c>
      <c r="H3380" s="96" t="s">
        <v>7112</v>
      </c>
      <c r="I3380" s="96" t="s">
        <v>204</v>
      </c>
      <c r="J3380" s="96" t="s">
        <v>216</v>
      </c>
      <c r="K3380" s="96" t="s">
        <v>157</v>
      </c>
      <c r="L3380">
        <v>113</v>
      </c>
      <c r="M3380" t="s">
        <v>28</v>
      </c>
      <c r="N3380" t="s">
        <v>187</v>
      </c>
      <c r="O3380" t="s">
        <v>150</v>
      </c>
      <c r="P3380">
        <v>2025</v>
      </c>
    </row>
    <row r="3381" spans="1:16" hidden="1" x14ac:dyDescent="0.25">
      <c r="A3381" s="96" t="s">
        <v>175</v>
      </c>
      <c r="B3381" s="96" t="s">
        <v>251</v>
      </c>
      <c r="C3381" s="96" t="s">
        <v>3223</v>
      </c>
      <c r="D3381" s="96" t="s">
        <v>223</v>
      </c>
      <c r="E3381" s="43">
        <v>45681</v>
      </c>
      <c r="F3381" s="43">
        <v>45785</v>
      </c>
      <c r="G3381" s="96" t="s">
        <v>92</v>
      </c>
      <c r="H3381" s="96" t="s">
        <v>7113</v>
      </c>
      <c r="I3381" s="96" t="s">
        <v>209</v>
      </c>
      <c r="J3381" s="96" t="s">
        <v>216</v>
      </c>
      <c r="K3381" s="96" t="s">
        <v>217</v>
      </c>
      <c r="L3381">
        <v>104</v>
      </c>
      <c r="M3381" t="s">
        <v>28</v>
      </c>
      <c r="N3381" t="s">
        <v>181</v>
      </c>
      <c r="O3381" t="s">
        <v>170</v>
      </c>
      <c r="P3381">
        <v>2025</v>
      </c>
    </row>
    <row r="3382" spans="1:16" hidden="1" x14ac:dyDescent="0.25">
      <c r="A3382" s="96" t="s">
        <v>2</v>
      </c>
      <c r="B3382" s="96" t="s">
        <v>272</v>
      </c>
      <c r="C3382" s="96" t="s">
        <v>3224</v>
      </c>
      <c r="D3382" s="96" t="s">
        <v>34</v>
      </c>
      <c r="E3382" s="43">
        <v>45996</v>
      </c>
      <c r="F3382" s="43">
        <v>46034</v>
      </c>
      <c r="G3382" s="96" t="s">
        <v>90</v>
      </c>
      <c r="H3382" s="96" t="s">
        <v>7114</v>
      </c>
      <c r="I3382" s="96" t="s">
        <v>228</v>
      </c>
      <c r="J3382" s="96" t="s">
        <v>93</v>
      </c>
      <c r="K3382" s="96" t="s">
        <v>210</v>
      </c>
      <c r="L3382">
        <v>38</v>
      </c>
      <c r="M3382" t="s">
        <v>24</v>
      </c>
      <c r="N3382" t="s">
        <v>25</v>
      </c>
      <c r="O3382" t="s">
        <v>151</v>
      </c>
      <c r="P3382">
        <v>2025</v>
      </c>
    </row>
    <row r="3383" spans="1:16" hidden="1" x14ac:dyDescent="0.25">
      <c r="A3383" s="96" t="s">
        <v>2</v>
      </c>
      <c r="B3383" s="96" t="s">
        <v>206</v>
      </c>
      <c r="C3383" s="96" t="s">
        <v>3225</v>
      </c>
      <c r="D3383" s="96" t="s">
        <v>215</v>
      </c>
      <c r="E3383" s="43">
        <v>45956</v>
      </c>
      <c r="F3383" s="43">
        <v>46013</v>
      </c>
      <c r="G3383" s="96" t="s">
        <v>92</v>
      </c>
      <c r="H3383" s="96" t="s">
        <v>7115</v>
      </c>
      <c r="I3383" s="96" t="s">
        <v>228</v>
      </c>
      <c r="J3383" s="96" t="s">
        <v>174</v>
      </c>
      <c r="K3383" s="96" t="s">
        <v>217</v>
      </c>
      <c r="L3383">
        <v>57</v>
      </c>
      <c r="M3383" t="s">
        <v>24</v>
      </c>
      <c r="N3383" t="s">
        <v>16</v>
      </c>
      <c r="O3383" t="s">
        <v>152</v>
      </c>
      <c r="P3383">
        <v>2025</v>
      </c>
    </row>
    <row r="3384" spans="1:16" hidden="1" x14ac:dyDescent="0.25">
      <c r="A3384" s="96" t="s">
        <v>2</v>
      </c>
      <c r="B3384" s="96" t="s">
        <v>211</v>
      </c>
      <c r="C3384" s="96" t="s">
        <v>3227</v>
      </c>
      <c r="D3384" s="96" t="s">
        <v>203</v>
      </c>
      <c r="E3384" s="43">
        <v>45962</v>
      </c>
      <c r="F3384" s="43">
        <v>46027</v>
      </c>
      <c r="G3384" s="96" t="s">
        <v>92</v>
      </c>
      <c r="H3384" s="96" t="s">
        <v>7116</v>
      </c>
      <c r="I3384" s="96" t="s">
        <v>225</v>
      </c>
      <c r="J3384" s="96" t="s">
        <v>283</v>
      </c>
      <c r="K3384" s="96" t="s">
        <v>210</v>
      </c>
      <c r="L3384">
        <v>65</v>
      </c>
      <c r="M3384" t="s">
        <v>28</v>
      </c>
      <c r="N3384" t="s">
        <v>20</v>
      </c>
      <c r="O3384" t="s">
        <v>170</v>
      </c>
      <c r="P3384">
        <v>2025</v>
      </c>
    </row>
    <row r="3385" spans="1:16" hidden="1" x14ac:dyDescent="0.25">
      <c r="A3385" s="96" t="s">
        <v>21</v>
      </c>
      <c r="B3385" s="96" t="s">
        <v>253</v>
      </c>
      <c r="C3385" s="96" t="s">
        <v>7117</v>
      </c>
      <c r="D3385" s="96" t="s">
        <v>208</v>
      </c>
      <c r="E3385" s="43">
        <v>45940</v>
      </c>
      <c r="F3385" s="43">
        <v>46057</v>
      </c>
      <c r="G3385" s="96" t="s">
        <v>92</v>
      </c>
      <c r="H3385" s="96" t="s">
        <v>7118</v>
      </c>
      <c r="I3385" s="96" t="s">
        <v>228</v>
      </c>
      <c r="J3385" s="96" t="s">
        <v>177</v>
      </c>
      <c r="K3385" s="96" t="s">
        <v>230</v>
      </c>
      <c r="L3385">
        <v>117</v>
      </c>
      <c r="M3385" t="s">
        <v>28</v>
      </c>
      <c r="N3385" t="s">
        <v>16</v>
      </c>
      <c r="O3385" t="s">
        <v>152</v>
      </c>
      <c r="P3385">
        <v>2025</v>
      </c>
    </row>
    <row r="3386" spans="1:16" x14ac:dyDescent="0.25">
      <c r="A3386" s="96" t="s">
        <v>2</v>
      </c>
      <c r="B3386" s="96" t="s">
        <v>288</v>
      </c>
      <c r="C3386" s="96" t="s">
        <v>7119</v>
      </c>
      <c r="D3386" s="96" t="s">
        <v>192</v>
      </c>
      <c r="E3386" s="43">
        <v>46056</v>
      </c>
      <c r="F3386" s="43">
        <v>46088</v>
      </c>
      <c r="G3386" s="96" t="s">
        <v>90</v>
      </c>
      <c r="H3386" s="96" t="s">
        <v>7120</v>
      </c>
      <c r="I3386" s="96" t="s">
        <v>194</v>
      </c>
      <c r="J3386" s="96" t="s">
        <v>98</v>
      </c>
      <c r="K3386" s="96" t="s">
        <v>195</v>
      </c>
      <c r="L3386">
        <v>32</v>
      </c>
      <c r="M3386" t="s">
        <v>24</v>
      </c>
      <c r="N3386" t="s">
        <v>32</v>
      </c>
      <c r="O3386" t="s">
        <v>170</v>
      </c>
      <c r="P3386">
        <v>2026</v>
      </c>
    </row>
    <row r="3387" spans="1:16" hidden="1" x14ac:dyDescent="0.25">
      <c r="A3387" s="96" t="s">
        <v>2</v>
      </c>
      <c r="B3387" s="96" t="s">
        <v>231</v>
      </c>
      <c r="C3387" s="96" t="s">
        <v>3228</v>
      </c>
      <c r="D3387" s="96" t="s">
        <v>215</v>
      </c>
      <c r="E3387" s="43">
        <v>45904</v>
      </c>
      <c r="F3387" s="43">
        <v>45998</v>
      </c>
      <c r="G3387" s="96" t="s">
        <v>92</v>
      </c>
      <c r="H3387" s="96" t="s">
        <v>7121</v>
      </c>
      <c r="I3387" s="96" t="s">
        <v>9</v>
      </c>
      <c r="J3387" s="96" t="s">
        <v>173</v>
      </c>
      <c r="K3387" s="96" t="s">
        <v>210</v>
      </c>
      <c r="L3387">
        <v>94</v>
      </c>
      <c r="M3387" t="s">
        <v>28</v>
      </c>
      <c r="N3387" t="s">
        <v>12</v>
      </c>
      <c r="O3387" t="s">
        <v>170</v>
      </c>
      <c r="P3387">
        <v>2025</v>
      </c>
    </row>
    <row r="3388" spans="1:16" x14ac:dyDescent="0.25">
      <c r="A3388" s="96" t="s">
        <v>2</v>
      </c>
      <c r="B3388" s="96" t="s">
        <v>249</v>
      </c>
      <c r="C3388" s="96" t="s">
        <v>3229</v>
      </c>
      <c r="D3388" s="96" t="s">
        <v>215</v>
      </c>
      <c r="E3388" s="43">
        <v>46043</v>
      </c>
      <c r="F3388" s="43">
        <v>46076</v>
      </c>
      <c r="G3388" s="96" t="s">
        <v>90</v>
      </c>
      <c r="H3388" s="96" t="s">
        <v>7122</v>
      </c>
      <c r="I3388" s="96" t="s">
        <v>209</v>
      </c>
      <c r="J3388" s="96" t="s">
        <v>91</v>
      </c>
      <c r="K3388" s="96" t="s">
        <v>210</v>
      </c>
      <c r="L3388">
        <v>33</v>
      </c>
      <c r="M3388" t="s">
        <v>24</v>
      </c>
      <c r="N3388" t="s">
        <v>29</v>
      </c>
      <c r="O3388" t="s">
        <v>170</v>
      </c>
      <c r="P3388">
        <v>2026</v>
      </c>
    </row>
    <row r="3389" spans="1:16" hidden="1" x14ac:dyDescent="0.25">
      <c r="A3389" s="96" t="s">
        <v>2</v>
      </c>
      <c r="B3389" s="96" t="s">
        <v>211</v>
      </c>
      <c r="C3389" s="96" t="s">
        <v>3230</v>
      </c>
      <c r="D3389" s="96" t="s">
        <v>34</v>
      </c>
      <c r="E3389" s="43">
        <v>45733</v>
      </c>
      <c r="F3389" s="43">
        <v>45853</v>
      </c>
      <c r="G3389" s="96" t="s">
        <v>92</v>
      </c>
      <c r="H3389" s="96" t="s">
        <v>7123</v>
      </c>
      <c r="I3389" s="96" t="s">
        <v>9</v>
      </c>
      <c r="J3389" s="96" t="s">
        <v>168</v>
      </c>
      <c r="K3389" s="96" t="s">
        <v>200</v>
      </c>
      <c r="L3389">
        <v>120</v>
      </c>
      <c r="M3389" t="s">
        <v>28</v>
      </c>
      <c r="N3389" t="s">
        <v>186</v>
      </c>
      <c r="O3389" t="s">
        <v>170</v>
      </c>
      <c r="P3389">
        <v>2025</v>
      </c>
    </row>
    <row r="3390" spans="1:16" hidden="1" x14ac:dyDescent="0.25">
      <c r="A3390" s="96" t="s">
        <v>2</v>
      </c>
      <c r="B3390" s="96" t="s">
        <v>257</v>
      </c>
      <c r="C3390" s="96" t="s">
        <v>3231</v>
      </c>
      <c r="D3390" s="96" t="s">
        <v>203</v>
      </c>
      <c r="E3390" s="43">
        <v>45812</v>
      </c>
      <c r="F3390" s="43">
        <v>45845</v>
      </c>
      <c r="G3390" s="96" t="s">
        <v>92</v>
      </c>
      <c r="H3390" s="96" t="s">
        <v>7124</v>
      </c>
      <c r="I3390" s="96" t="s">
        <v>228</v>
      </c>
      <c r="J3390" s="96" t="s">
        <v>216</v>
      </c>
      <c r="K3390" s="96" t="s">
        <v>230</v>
      </c>
      <c r="L3390">
        <v>33</v>
      </c>
      <c r="M3390" t="s">
        <v>24</v>
      </c>
      <c r="N3390" t="s">
        <v>184</v>
      </c>
      <c r="O3390" t="s">
        <v>151</v>
      </c>
      <c r="P3390">
        <v>2025</v>
      </c>
    </row>
    <row r="3391" spans="1:16" x14ac:dyDescent="0.25">
      <c r="A3391" s="96" t="s">
        <v>2</v>
      </c>
      <c r="B3391" s="96" t="s">
        <v>269</v>
      </c>
      <c r="C3391" s="96" t="s">
        <v>3232</v>
      </c>
      <c r="D3391" s="96" t="s">
        <v>208</v>
      </c>
      <c r="E3391" s="43">
        <v>46065</v>
      </c>
      <c r="F3391" s="43">
        <v>46150</v>
      </c>
      <c r="G3391" s="96" t="s">
        <v>92</v>
      </c>
      <c r="H3391" s="96" t="s">
        <v>7125</v>
      </c>
      <c r="I3391" s="96" t="s">
        <v>204</v>
      </c>
      <c r="J3391" s="96" t="s">
        <v>169</v>
      </c>
      <c r="K3391" s="96" t="s">
        <v>200</v>
      </c>
      <c r="L3391">
        <v>85</v>
      </c>
      <c r="M3391" t="s">
        <v>28</v>
      </c>
      <c r="N3391" t="s">
        <v>32</v>
      </c>
      <c r="O3391" t="s">
        <v>152</v>
      </c>
      <c r="P3391">
        <v>2026</v>
      </c>
    </row>
    <row r="3392" spans="1:16" hidden="1" x14ac:dyDescent="0.25">
      <c r="A3392" s="96" t="s">
        <v>175</v>
      </c>
      <c r="B3392" s="96" t="s">
        <v>272</v>
      </c>
      <c r="C3392" s="96" t="s">
        <v>3233</v>
      </c>
      <c r="D3392" s="96" t="s">
        <v>237</v>
      </c>
      <c r="E3392" s="43">
        <v>45926</v>
      </c>
      <c r="F3392" s="43">
        <v>45954</v>
      </c>
      <c r="G3392" s="96" t="s">
        <v>92</v>
      </c>
      <c r="H3392" s="96" t="s">
        <v>7126</v>
      </c>
      <c r="I3392" s="96" t="s">
        <v>209</v>
      </c>
      <c r="J3392" s="96" t="s">
        <v>172</v>
      </c>
      <c r="K3392" s="96" t="s">
        <v>157</v>
      </c>
      <c r="L3392">
        <v>28</v>
      </c>
      <c r="M3392" t="s">
        <v>19</v>
      </c>
      <c r="N3392" t="s">
        <v>12</v>
      </c>
      <c r="O3392" t="s">
        <v>151</v>
      </c>
      <c r="P3392">
        <v>2025</v>
      </c>
    </row>
    <row r="3393" spans="1:16" hidden="1" x14ac:dyDescent="0.25">
      <c r="A3393" s="96" t="s">
        <v>175</v>
      </c>
      <c r="B3393" s="96" t="s">
        <v>264</v>
      </c>
      <c r="C3393" s="96" t="s">
        <v>7127</v>
      </c>
      <c r="D3393" s="96" t="s">
        <v>203</v>
      </c>
      <c r="E3393" s="43">
        <v>45907</v>
      </c>
      <c r="F3393" s="43">
        <v>45919</v>
      </c>
      <c r="G3393" s="96" t="s">
        <v>92</v>
      </c>
      <c r="H3393" s="96" t="s">
        <v>7128</v>
      </c>
      <c r="I3393" s="96" t="s">
        <v>225</v>
      </c>
      <c r="J3393" s="96" t="s">
        <v>216</v>
      </c>
      <c r="K3393" s="96" t="s">
        <v>195</v>
      </c>
      <c r="L3393">
        <v>12</v>
      </c>
      <c r="M3393" t="s">
        <v>15</v>
      </c>
      <c r="N3393" t="s">
        <v>12</v>
      </c>
      <c r="O3393" t="s">
        <v>152</v>
      </c>
      <c r="P3393">
        <v>2025</v>
      </c>
    </row>
    <row r="3394" spans="1:16" hidden="1" x14ac:dyDescent="0.25">
      <c r="A3394" s="96" t="s">
        <v>2</v>
      </c>
      <c r="B3394" s="96" t="s">
        <v>322</v>
      </c>
      <c r="C3394" s="96" t="s">
        <v>3234</v>
      </c>
      <c r="D3394" s="96" t="s">
        <v>203</v>
      </c>
      <c r="E3394" s="43">
        <v>45926</v>
      </c>
      <c r="F3394" s="43">
        <v>45942</v>
      </c>
      <c r="G3394" s="96" t="s">
        <v>90</v>
      </c>
      <c r="H3394" s="96" t="s">
        <v>7129</v>
      </c>
      <c r="I3394" s="96" t="s">
        <v>9</v>
      </c>
      <c r="J3394" s="96" t="s">
        <v>97</v>
      </c>
      <c r="K3394" s="96" t="s">
        <v>210</v>
      </c>
      <c r="L3394">
        <v>16</v>
      </c>
      <c r="M3394" t="s">
        <v>19</v>
      </c>
      <c r="N3394" t="s">
        <v>12</v>
      </c>
      <c r="O3394" t="s">
        <v>150</v>
      </c>
      <c r="P3394">
        <v>2025</v>
      </c>
    </row>
    <row r="3395" spans="1:16" hidden="1" x14ac:dyDescent="0.25">
      <c r="A3395" s="96" t="s">
        <v>2</v>
      </c>
      <c r="B3395" s="96" t="s">
        <v>240</v>
      </c>
      <c r="C3395" s="96" t="s">
        <v>3235</v>
      </c>
      <c r="D3395" s="96" t="s">
        <v>237</v>
      </c>
      <c r="E3395" s="43">
        <v>46012</v>
      </c>
      <c r="F3395" s="43">
        <v>46119</v>
      </c>
      <c r="G3395" s="96" t="s">
        <v>92</v>
      </c>
      <c r="H3395" s="96" t="s">
        <v>7130</v>
      </c>
      <c r="I3395" s="96" t="s">
        <v>194</v>
      </c>
      <c r="J3395" s="96" t="s">
        <v>93</v>
      </c>
      <c r="K3395" s="96" t="s">
        <v>230</v>
      </c>
      <c r="L3395">
        <v>107</v>
      </c>
      <c r="M3395" t="s">
        <v>28</v>
      </c>
      <c r="N3395" t="s">
        <v>25</v>
      </c>
      <c r="O3395" t="s">
        <v>149</v>
      </c>
      <c r="P3395">
        <v>2025</v>
      </c>
    </row>
    <row r="3396" spans="1:16" hidden="1" x14ac:dyDescent="0.25">
      <c r="A3396" s="96" t="s">
        <v>2</v>
      </c>
      <c r="B3396" s="96" t="s">
        <v>251</v>
      </c>
      <c r="C3396" s="96" t="s">
        <v>3236</v>
      </c>
      <c r="D3396" s="96" t="s">
        <v>192</v>
      </c>
      <c r="E3396" s="43">
        <v>45846</v>
      </c>
      <c r="F3396" s="43">
        <v>45861</v>
      </c>
      <c r="G3396" s="96" t="s">
        <v>92</v>
      </c>
      <c r="H3396" s="96" t="s">
        <v>7131</v>
      </c>
      <c r="I3396" s="96" t="s">
        <v>157</v>
      </c>
      <c r="J3396" s="96" t="s">
        <v>169</v>
      </c>
      <c r="K3396" s="96" t="s">
        <v>195</v>
      </c>
      <c r="L3396">
        <v>15</v>
      </c>
      <c r="M3396" t="s">
        <v>19</v>
      </c>
      <c r="N3396" t="s">
        <v>187</v>
      </c>
      <c r="O3396" t="s">
        <v>170</v>
      </c>
      <c r="P3396">
        <v>2025</v>
      </c>
    </row>
    <row r="3397" spans="1:16" x14ac:dyDescent="0.25">
      <c r="A3397" s="96" t="s">
        <v>2</v>
      </c>
      <c r="B3397" s="96" t="s">
        <v>261</v>
      </c>
      <c r="C3397" s="96" t="s">
        <v>3237</v>
      </c>
      <c r="D3397" s="96" t="s">
        <v>10</v>
      </c>
      <c r="E3397" s="43">
        <v>46148</v>
      </c>
      <c r="F3397" s="43">
        <v>46146</v>
      </c>
      <c r="G3397" s="96" t="s">
        <v>92</v>
      </c>
      <c r="H3397" s="96" t="s">
        <v>7132</v>
      </c>
      <c r="I3397" s="96" t="s">
        <v>225</v>
      </c>
      <c r="J3397" s="96" t="s">
        <v>172</v>
      </c>
      <c r="K3397" s="96" t="s">
        <v>210</v>
      </c>
      <c r="L3397">
        <v>-2</v>
      </c>
      <c r="M3397" t="s">
        <v>11</v>
      </c>
      <c r="N3397" t="s">
        <v>183</v>
      </c>
      <c r="O3397" t="s">
        <v>151</v>
      </c>
      <c r="P3397">
        <v>2026</v>
      </c>
    </row>
    <row r="3398" spans="1:16" x14ac:dyDescent="0.25">
      <c r="A3398" s="96" t="s">
        <v>2</v>
      </c>
      <c r="B3398" s="96" t="s">
        <v>219</v>
      </c>
      <c r="C3398" s="96" t="s">
        <v>3238</v>
      </c>
      <c r="D3398" s="96" t="s">
        <v>208</v>
      </c>
      <c r="E3398" s="43">
        <v>46057</v>
      </c>
      <c r="F3398" s="43">
        <v>46086</v>
      </c>
      <c r="G3398" s="96" t="s">
        <v>92</v>
      </c>
      <c r="H3398" s="96" t="s">
        <v>7133</v>
      </c>
      <c r="I3398" s="96" t="s">
        <v>157</v>
      </c>
      <c r="J3398" s="96" t="s">
        <v>199</v>
      </c>
      <c r="K3398" s="96" t="s">
        <v>200</v>
      </c>
      <c r="L3398">
        <v>29</v>
      </c>
      <c r="M3398" t="s">
        <v>19</v>
      </c>
      <c r="N3398" t="s">
        <v>32</v>
      </c>
      <c r="O3398" t="s">
        <v>149</v>
      </c>
      <c r="P3398">
        <v>2026</v>
      </c>
    </row>
    <row r="3399" spans="1:16" hidden="1" x14ac:dyDescent="0.25">
      <c r="A3399" s="96" t="s">
        <v>2</v>
      </c>
      <c r="B3399" s="96" t="s">
        <v>190</v>
      </c>
      <c r="C3399" s="96" t="s">
        <v>3239</v>
      </c>
      <c r="D3399" s="96" t="s">
        <v>215</v>
      </c>
      <c r="E3399" s="43">
        <v>46008</v>
      </c>
      <c r="F3399" s="43">
        <v>46011</v>
      </c>
      <c r="G3399" s="96" t="s">
        <v>90</v>
      </c>
      <c r="H3399" s="96" t="s">
        <v>7134</v>
      </c>
      <c r="I3399" s="96" t="s">
        <v>157</v>
      </c>
      <c r="J3399" s="96" t="s">
        <v>97</v>
      </c>
      <c r="K3399" s="96" t="s">
        <v>230</v>
      </c>
      <c r="L3399">
        <v>3</v>
      </c>
      <c r="M3399" t="s">
        <v>11</v>
      </c>
      <c r="N3399" t="s">
        <v>25</v>
      </c>
      <c r="O3399" t="s">
        <v>150</v>
      </c>
      <c r="P3399">
        <v>2025</v>
      </c>
    </row>
    <row r="3400" spans="1:16" x14ac:dyDescent="0.25">
      <c r="A3400" s="96" t="s">
        <v>21</v>
      </c>
      <c r="B3400" s="96" t="s">
        <v>288</v>
      </c>
      <c r="C3400" s="96" t="s">
        <v>3240</v>
      </c>
      <c r="D3400" s="96" t="s">
        <v>215</v>
      </c>
      <c r="E3400" s="43">
        <v>46146</v>
      </c>
      <c r="F3400" s="43">
        <v>46151</v>
      </c>
      <c r="G3400" s="96" t="s">
        <v>92</v>
      </c>
      <c r="H3400" s="96" t="s">
        <v>7135</v>
      </c>
      <c r="I3400" s="96" t="s">
        <v>157</v>
      </c>
      <c r="J3400" s="96" t="s">
        <v>199</v>
      </c>
      <c r="K3400" s="96" t="s">
        <v>195</v>
      </c>
      <c r="L3400">
        <v>5</v>
      </c>
      <c r="M3400" t="s">
        <v>11</v>
      </c>
      <c r="N3400" t="s">
        <v>183</v>
      </c>
      <c r="O3400" t="s">
        <v>170</v>
      </c>
      <c r="P3400">
        <v>2026</v>
      </c>
    </row>
    <row r="3401" spans="1:16" hidden="1" x14ac:dyDescent="0.25">
      <c r="A3401" s="96" t="s">
        <v>2</v>
      </c>
      <c r="B3401" s="96" t="s">
        <v>272</v>
      </c>
      <c r="C3401" s="96" t="s">
        <v>3241</v>
      </c>
      <c r="D3401" s="96" t="s">
        <v>203</v>
      </c>
      <c r="E3401" s="43">
        <v>45673</v>
      </c>
      <c r="F3401" s="43">
        <v>45709</v>
      </c>
      <c r="G3401" s="96" t="s">
        <v>90</v>
      </c>
      <c r="H3401" s="96" t="s">
        <v>7136</v>
      </c>
      <c r="I3401" s="96" t="s">
        <v>9</v>
      </c>
      <c r="J3401" s="96" t="s">
        <v>176</v>
      </c>
      <c r="K3401" s="96" t="s">
        <v>233</v>
      </c>
      <c r="L3401">
        <v>36</v>
      </c>
      <c r="M3401" t="s">
        <v>24</v>
      </c>
      <c r="N3401" t="s">
        <v>181</v>
      </c>
      <c r="O3401" t="s">
        <v>151</v>
      </c>
      <c r="P3401">
        <v>2025</v>
      </c>
    </row>
    <row r="3402" spans="1:16" x14ac:dyDescent="0.25">
      <c r="A3402" s="96" t="s">
        <v>2</v>
      </c>
      <c r="B3402" s="96" t="s">
        <v>226</v>
      </c>
      <c r="C3402" s="96" t="s">
        <v>3242</v>
      </c>
      <c r="D3402" s="96" t="s">
        <v>40</v>
      </c>
      <c r="E3402" s="43">
        <v>46088</v>
      </c>
      <c r="F3402" s="43">
        <v>46148</v>
      </c>
      <c r="G3402" s="96" t="s">
        <v>92</v>
      </c>
      <c r="H3402" s="96" t="s">
        <v>7137</v>
      </c>
      <c r="I3402" s="96" t="s">
        <v>204</v>
      </c>
      <c r="J3402" s="96" t="s">
        <v>168</v>
      </c>
      <c r="K3402" s="96" t="s">
        <v>233</v>
      </c>
      <c r="L3402">
        <v>60</v>
      </c>
      <c r="M3402" t="s">
        <v>24</v>
      </c>
      <c r="N3402" t="s">
        <v>35</v>
      </c>
      <c r="O3402" t="s">
        <v>151</v>
      </c>
      <c r="P3402">
        <v>2026</v>
      </c>
    </row>
    <row r="3403" spans="1:16" x14ac:dyDescent="0.25">
      <c r="A3403" s="96" t="s">
        <v>2</v>
      </c>
      <c r="B3403" s="96" t="s">
        <v>218</v>
      </c>
      <c r="C3403" s="96" t="s">
        <v>3243</v>
      </c>
      <c r="D3403" s="96" t="s">
        <v>34</v>
      </c>
      <c r="E3403" s="43">
        <v>46069</v>
      </c>
      <c r="F3403" s="43">
        <v>46132</v>
      </c>
      <c r="G3403" s="96" t="s">
        <v>92</v>
      </c>
      <c r="H3403" s="96" t="s">
        <v>3153</v>
      </c>
      <c r="I3403" s="96" t="s">
        <v>225</v>
      </c>
      <c r="J3403" s="96" t="s">
        <v>165</v>
      </c>
      <c r="K3403" s="96" t="s">
        <v>233</v>
      </c>
      <c r="L3403">
        <v>63</v>
      </c>
      <c r="M3403" t="s">
        <v>28</v>
      </c>
      <c r="N3403" t="s">
        <v>32</v>
      </c>
      <c r="O3403" t="s">
        <v>152</v>
      </c>
      <c r="P3403">
        <v>2026</v>
      </c>
    </row>
    <row r="3404" spans="1:16" hidden="1" x14ac:dyDescent="0.25">
      <c r="A3404" s="96" t="s">
        <v>2</v>
      </c>
      <c r="B3404" s="96" t="s">
        <v>251</v>
      </c>
      <c r="C3404" s="96" t="s">
        <v>3244</v>
      </c>
      <c r="D3404" s="96" t="s">
        <v>237</v>
      </c>
      <c r="E3404" s="43">
        <v>45771</v>
      </c>
      <c r="F3404" s="43">
        <v>45808</v>
      </c>
      <c r="G3404" s="96" t="s">
        <v>90</v>
      </c>
      <c r="H3404" s="96" t="s">
        <v>7138</v>
      </c>
      <c r="I3404" s="96" t="s">
        <v>194</v>
      </c>
      <c r="J3404" s="96" t="s">
        <v>93</v>
      </c>
      <c r="K3404" s="96" t="s">
        <v>200</v>
      </c>
      <c r="L3404">
        <v>37</v>
      </c>
      <c r="M3404" t="s">
        <v>24</v>
      </c>
      <c r="N3404" t="s">
        <v>185</v>
      </c>
      <c r="O3404" t="s">
        <v>170</v>
      </c>
      <c r="P3404">
        <v>2025</v>
      </c>
    </row>
    <row r="3405" spans="1:16" x14ac:dyDescent="0.25">
      <c r="A3405" s="96" t="s">
        <v>2</v>
      </c>
      <c r="B3405" s="96" t="s">
        <v>261</v>
      </c>
      <c r="C3405" s="96" t="s">
        <v>7139</v>
      </c>
      <c r="D3405" s="96" t="s">
        <v>237</v>
      </c>
      <c r="E3405" s="43">
        <v>46135</v>
      </c>
      <c r="F3405" s="43">
        <v>46148</v>
      </c>
      <c r="G3405" s="96" t="s">
        <v>92</v>
      </c>
      <c r="H3405" s="96" t="s">
        <v>7140</v>
      </c>
      <c r="I3405" s="96" t="s">
        <v>9</v>
      </c>
      <c r="J3405" s="96" t="s">
        <v>97</v>
      </c>
      <c r="K3405" s="96" t="s">
        <v>205</v>
      </c>
      <c r="L3405">
        <v>13</v>
      </c>
      <c r="M3405" t="s">
        <v>15</v>
      </c>
      <c r="N3405" t="s">
        <v>37</v>
      </c>
      <c r="O3405" t="s">
        <v>151</v>
      </c>
      <c r="P3405">
        <v>2026</v>
      </c>
    </row>
    <row r="3406" spans="1:16" hidden="1" x14ac:dyDescent="0.25">
      <c r="A3406" s="96" t="s">
        <v>21</v>
      </c>
      <c r="B3406" s="96" t="s">
        <v>253</v>
      </c>
      <c r="C3406" s="96" t="s">
        <v>7141</v>
      </c>
      <c r="D3406" s="96" t="s">
        <v>203</v>
      </c>
      <c r="E3406" s="43">
        <v>45812</v>
      </c>
      <c r="F3406" s="43">
        <v>45863</v>
      </c>
      <c r="G3406" s="96" t="s">
        <v>92</v>
      </c>
      <c r="H3406" s="96" t="s">
        <v>7142</v>
      </c>
      <c r="I3406" s="96" t="s">
        <v>225</v>
      </c>
      <c r="J3406" s="96" t="s">
        <v>168</v>
      </c>
      <c r="K3406" s="96" t="s">
        <v>157</v>
      </c>
      <c r="L3406">
        <v>51</v>
      </c>
      <c r="M3406" t="s">
        <v>24</v>
      </c>
      <c r="N3406" t="s">
        <v>184</v>
      </c>
      <c r="O3406" t="s">
        <v>152</v>
      </c>
      <c r="P3406">
        <v>2025</v>
      </c>
    </row>
    <row r="3407" spans="1:16" x14ac:dyDescent="0.25">
      <c r="A3407" s="96" t="s">
        <v>175</v>
      </c>
      <c r="B3407" s="96" t="s">
        <v>196</v>
      </c>
      <c r="C3407" s="96" t="s">
        <v>7143</v>
      </c>
      <c r="D3407" s="96" t="s">
        <v>208</v>
      </c>
      <c r="E3407" s="43">
        <v>46148</v>
      </c>
      <c r="F3407" s="43">
        <v>46148</v>
      </c>
      <c r="G3407" s="96" t="s">
        <v>92</v>
      </c>
      <c r="H3407" s="96" t="s">
        <v>7144</v>
      </c>
      <c r="I3407" s="96" t="s">
        <v>194</v>
      </c>
      <c r="J3407" s="96" t="s">
        <v>91</v>
      </c>
      <c r="K3407" s="96" t="s">
        <v>217</v>
      </c>
      <c r="L3407">
        <v>0</v>
      </c>
      <c r="M3407" t="s">
        <v>11</v>
      </c>
      <c r="N3407" t="s">
        <v>183</v>
      </c>
      <c r="O3407" t="s">
        <v>152</v>
      </c>
      <c r="P3407">
        <v>2026</v>
      </c>
    </row>
    <row r="3408" spans="1:16" x14ac:dyDescent="0.25">
      <c r="A3408" s="96" t="s">
        <v>21</v>
      </c>
      <c r="B3408" s="96" t="s">
        <v>317</v>
      </c>
      <c r="C3408" s="96" t="s">
        <v>7145</v>
      </c>
      <c r="D3408" s="96" t="s">
        <v>10</v>
      </c>
      <c r="E3408" s="43">
        <v>46106</v>
      </c>
      <c r="F3408" s="43">
        <v>46137</v>
      </c>
      <c r="G3408" s="96" t="s">
        <v>95</v>
      </c>
      <c r="H3408" s="96" t="s">
        <v>7146</v>
      </c>
      <c r="I3408" s="96" t="s">
        <v>9</v>
      </c>
      <c r="J3408" s="96" t="s">
        <v>177</v>
      </c>
      <c r="K3408" s="96" t="s">
        <v>246</v>
      </c>
      <c r="L3408">
        <v>31</v>
      </c>
      <c r="M3408" t="s">
        <v>24</v>
      </c>
      <c r="N3408" t="s">
        <v>35</v>
      </c>
      <c r="O3408" t="s">
        <v>170</v>
      </c>
      <c r="P3408">
        <v>2026</v>
      </c>
    </row>
    <row r="3409" spans="1:16" x14ac:dyDescent="0.25">
      <c r="A3409" s="96" t="s">
        <v>2</v>
      </c>
      <c r="B3409" s="96" t="s">
        <v>305</v>
      </c>
      <c r="C3409" s="96" t="s">
        <v>7147</v>
      </c>
      <c r="D3409" s="96" t="s">
        <v>14</v>
      </c>
      <c r="E3409" s="43">
        <v>46143</v>
      </c>
      <c r="F3409" s="43">
        <v>46150</v>
      </c>
      <c r="G3409" s="96" t="s">
        <v>92</v>
      </c>
      <c r="H3409" s="96" t="s">
        <v>7148</v>
      </c>
      <c r="I3409" s="96" t="s">
        <v>228</v>
      </c>
      <c r="J3409" s="96" t="s">
        <v>98</v>
      </c>
      <c r="K3409" s="96" t="s">
        <v>246</v>
      </c>
      <c r="L3409">
        <v>7</v>
      </c>
      <c r="M3409" t="s">
        <v>11</v>
      </c>
      <c r="N3409" t="s">
        <v>183</v>
      </c>
      <c r="O3409" t="s">
        <v>170</v>
      </c>
      <c r="P3409">
        <v>2026</v>
      </c>
    </row>
    <row r="3410" spans="1:16" hidden="1" x14ac:dyDescent="0.25">
      <c r="A3410" s="96" t="s">
        <v>2</v>
      </c>
      <c r="B3410" s="96" t="s">
        <v>190</v>
      </c>
      <c r="C3410" s="96" t="s">
        <v>3245</v>
      </c>
      <c r="D3410" s="96" t="s">
        <v>215</v>
      </c>
      <c r="E3410" s="43">
        <v>45682</v>
      </c>
      <c r="F3410" s="43">
        <v>45709</v>
      </c>
      <c r="G3410" s="96" t="s">
        <v>90</v>
      </c>
      <c r="H3410" s="96" t="s">
        <v>7149</v>
      </c>
      <c r="I3410" s="96" t="s">
        <v>228</v>
      </c>
      <c r="J3410" s="96" t="s">
        <v>173</v>
      </c>
      <c r="K3410" s="96" t="s">
        <v>210</v>
      </c>
      <c r="L3410">
        <v>27</v>
      </c>
      <c r="M3410" t="s">
        <v>19</v>
      </c>
      <c r="N3410" t="s">
        <v>181</v>
      </c>
      <c r="O3410" t="s">
        <v>150</v>
      </c>
      <c r="P3410">
        <v>2025</v>
      </c>
    </row>
    <row r="3411" spans="1:16" hidden="1" x14ac:dyDescent="0.25">
      <c r="A3411" s="96" t="s">
        <v>2</v>
      </c>
      <c r="B3411" s="96" t="s">
        <v>264</v>
      </c>
      <c r="C3411" s="96" t="s">
        <v>3246</v>
      </c>
      <c r="D3411" s="96" t="s">
        <v>40</v>
      </c>
      <c r="E3411" s="43">
        <v>45790</v>
      </c>
      <c r="F3411" s="43">
        <v>45874</v>
      </c>
      <c r="G3411" s="96" t="s">
        <v>90</v>
      </c>
      <c r="H3411" s="96" t="s">
        <v>7150</v>
      </c>
      <c r="I3411" s="96" t="s">
        <v>194</v>
      </c>
      <c r="J3411" s="96" t="s">
        <v>229</v>
      </c>
      <c r="K3411" s="96" t="s">
        <v>246</v>
      </c>
      <c r="L3411">
        <v>84</v>
      </c>
      <c r="M3411" t="s">
        <v>28</v>
      </c>
      <c r="N3411" t="s">
        <v>182</v>
      </c>
      <c r="O3411" t="s">
        <v>152</v>
      </c>
      <c r="P3411">
        <v>2025</v>
      </c>
    </row>
    <row r="3412" spans="1:16" hidden="1" x14ac:dyDescent="0.25">
      <c r="A3412" s="96" t="s">
        <v>2</v>
      </c>
      <c r="B3412" s="96" t="s">
        <v>231</v>
      </c>
      <c r="C3412" s="96" t="s">
        <v>7151</v>
      </c>
      <c r="D3412" s="96" t="s">
        <v>14</v>
      </c>
      <c r="E3412" s="43">
        <v>45911</v>
      </c>
      <c r="F3412" s="43">
        <v>46002</v>
      </c>
      <c r="G3412" s="96" t="s">
        <v>90</v>
      </c>
      <c r="H3412" s="96" t="s">
        <v>7152</v>
      </c>
      <c r="I3412" s="96" t="s">
        <v>194</v>
      </c>
      <c r="J3412" s="96" t="s">
        <v>96</v>
      </c>
      <c r="K3412" s="96" t="s">
        <v>195</v>
      </c>
      <c r="L3412">
        <v>91</v>
      </c>
      <c r="M3412" t="s">
        <v>28</v>
      </c>
      <c r="N3412" t="s">
        <v>12</v>
      </c>
      <c r="O3412" t="s">
        <v>170</v>
      </c>
      <c r="P3412">
        <v>2025</v>
      </c>
    </row>
    <row r="3413" spans="1:16" hidden="1" x14ac:dyDescent="0.25">
      <c r="A3413" s="96" t="s">
        <v>2</v>
      </c>
      <c r="B3413" s="96" t="s">
        <v>272</v>
      </c>
      <c r="C3413" s="96" t="s">
        <v>3247</v>
      </c>
      <c r="D3413" s="96" t="s">
        <v>10</v>
      </c>
      <c r="E3413" s="43">
        <v>45858</v>
      </c>
      <c r="F3413" s="43">
        <v>45930</v>
      </c>
      <c r="G3413" s="96" t="s">
        <v>92</v>
      </c>
      <c r="H3413" s="96" t="s">
        <v>7153</v>
      </c>
      <c r="I3413" s="96" t="s">
        <v>209</v>
      </c>
      <c r="J3413" s="96" t="s">
        <v>176</v>
      </c>
      <c r="K3413" s="96" t="s">
        <v>233</v>
      </c>
      <c r="L3413">
        <v>72</v>
      </c>
      <c r="M3413" t="s">
        <v>28</v>
      </c>
      <c r="N3413" t="s">
        <v>187</v>
      </c>
      <c r="O3413" t="s">
        <v>151</v>
      </c>
      <c r="P3413">
        <v>2025</v>
      </c>
    </row>
    <row r="3414" spans="1:16" hidden="1" x14ac:dyDescent="0.25">
      <c r="A3414" s="96" t="s">
        <v>2</v>
      </c>
      <c r="B3414" s="96" t="s">
        <v>257</v>
      </c>
      <c r="C3414" s="96" t="s">
        <v>3248</v>
      </c>
      <c r="D3414" s="96" t="s">
        <v>14</v>
      </c>
      <c r="E3414" s="43">
        <v>45923</v>
      </c>
      <c r="F3414" s="43">
        <v>46034</v>
      </c>
      <c r="G3414" s="96" t="s">
        <v>92</v>
      </c>
      <c r="H3414" s="96" t="s">
        <v>7154</v>
      </c>
      <c r="I3414" s="96" t="s">
        <v>225</v>
      </c>
      <c r="J3414" s="96" t="s">
        <v>176</v>
      </c>
      <c r="K3414" s="96" t="s">
        <v>205</v>
      </c>
      <c r="L3414">
        <v>111</v>
      </c>
      <c r="M3414" t="s">
        <v>28</v>
      </c>
      <c r="N3414" t="s">
        <v>12</v>
      </c>
      <c r="O3414" t="s">
        <v>151</v>
      </c>
      <c r="P3414">
        <v>2025</v>
      </c>
    </row>
    <row r="3415" spans="1:16" hidden="1" x14ac:dyDescent="0.25">
      <c r="A3415" s="96" t="s">
        <v>2</v>
      </c>
      <c r="B3415" s="96" t="s">
        <v>264</v>
      </c>
      <c r="C3415" s="96" t="s">
        <v>3249</v>
      </c>
      <c r="D3415" s="96" t="s">
        <v>34</v>
      </c>
      <c r="E3415" s="43">
        <v>45942</v>
      </c>
      <c r="F3415" s="43">
        <v>45957</v>
      </c>
      <c r="G3415" s="96" t="s">
        <v>92</v>
      </c>
      <c r="H3415" s="96" t="s">
        <v>7155</v>
      </c>
      <c r="I3415" s="96" t="s">
        <v>209</v>
      </c>
      <c r="J3415" s="96" t="s">
        <v>174</v>
      </c>
      <c r="K3415" s="96" t="s">
        <v>233</v>
      </c>
      <c r="L3415">
        <v>15</v>
      </c>
      <c r="M3415" t="s">
        <v>19</v>
      </c>
      <c r="N3415" t="s">
        <v>16</v>
      </c>
      <c r="O3415" t="s">
        <v>152</v>
      </c>
      <c r="P3415">
        <v>2025</v>
      </c>
    </row>
    <row r="3416" spans="1:16" hidden="1" x14ac:dyDescent="0.25">
      <c r="A3416" s="96" t="s">
        <v>175</v>
      </c>
      <c r="B3416" s="96" t="s">
        <v>257</v>
      </c>
      <c r="C3416" s="96" t="s">
        <v>3250</v>
      </c>
      <c r="D3416" s="96" t="s">
        <v>215</v>
      </c>
      <c r="E3416" s="43">
        <v>45756</v>
      </c>
      <c r="F3416" s="43">
        <v>45797</v>
      </c>
      <c r="G3416" s="96" t="s">
        <v>90</v>
      </c>
      <c r="H3416" s="96" t="s">
        <v>7156</v>
      </c>
      <c r="I3416" s="96" t="s">
        <v>194</v>
      </c>
      <c r="J3416" s="96" t="s">
        <v>229</v>
      </c>
      <c r="K3416" s="96" t="s">
        <v>157</v>
      </c>
      <c r="L3416">
        <v>41</v>
      </c>
      <c r="M3416" t="s">
        <v>24</v>
      </c>
      <c r="N3416" t="s">
        <v>185</v>
      </c>
      <c r="O3416" t="s">
        <v>151</v>
      </c>
      <c r="P3416">
        <v>2025</v>
      </c>
    </row>
    <row r="3417" spans="1:16" hidden="1" x14ac:dyDescent="0.25">
      <c r="A3417" s="96" t="s">
        <v>2</v>
      </c>
      <c r="B3417" s="96" t="s">
        <v>231</v>
      </c>
      <c r="C3417" s="96" t="s">
        <v>7157</v>
      </c>
      <c r="D3417" s="96" t="s">
        <v>192</v>
      </c>
      <c r="E3417" s="43">
        <v>45996</v>
      </c>
      <c r="F3417" s="43">
        <v>46056</v>
      </c>
      <c r="G3417" s="96" t="s">
        <v>95</v>
      </c>
      <c r="H3417" s="96" t="s">
        <v>3160</v>
      </c>
      <c r="I3417" s="96" t="s">
        <v>209</v>
      </c>
      <c r="J3417" s="96" t="s">
        <v>168</v>
      </c>
      <c r="K3417" s="96" t="s">
        <v>195</v>
      </c>
      <c r="L3417">
        <v>60</v>
      </c>
      <c r="M3417" t="s">
        <v>24</v>
      </c>
      <c r="N3417" t="s">
        <v>25</v>
      </c>
      <c r="O3417" t="s">
        <v>170</v>
      </c>
      <c r="P3417">
        <v>2025</v>
      </c>
    </row>
    <row r="3418" spans="1:16" hidden="1" x14ac:dyDescent="0.25">
      <c r="A3418" s="96" t="s">
        <v>2</v>
      </c>
      <c r="B3418" s="96" t="s">
        <v>272</v>
      </c>
      <c r="C3418" s="96" t="s">
        <v>7158</v>
      </c>
      <c r="D3418" s="96" t="s">
        <v>40</v>
      </c>
      <c r="E3418" s="43">
        <v>45768</v>
      </c>
      <c r="F3418" s="43">
        <v>45881</v>
      </c>
      <c r="G3418" s="96" t="s">
        <v>92</v>
      </c>
      <c r="H3418" s="96" t="s">
        <v>3162</v>
      </c>
      <c r="I3418" s="96" t="s">
        <v>228</v>
      </c>
      <c r="J3418" s="96" t="s">
        <v>199</v>
      </c>
      <c r="K3418" s="96" t="s">
        <v>230</v>
      </c>
      <c r="L3418">
        <v>113</v>
      </c>
      <c r="M3418" t="s">
        <v>28</v>
      </c>
      <c r="N3418" t="s">
        <v>185</v>
      </c>
      <c r="O3418" t="s">
        <v>151</v>
      </c>
      <c r="P3418">
        <v>2025</v>
      </c>
    </row>
    <row r="3419" spans="1:16" hidden="1" x14ac:dyDescent="0.25">
      <c r="A3419" s="96" t="s">
        <v>2</v>
      </c>
      <c r="B3419" s="96" t="s">
        <v>280</v>
      </c>
      <c r="C3419" s="96" t="s">
        <v>3251</v>
      </c>
      <c r="D3419" s="96" t="s">
        <v>223</v>
      </c>
      <c r="E3419" s="43">
        <v>45710</v>
      </c>
      <c r="F3419" s="43">
        <v>45802</v>
      </c>
      <c r="G3419" s="96" t="s">
        <v>92</v>
      </c>
      <c r="H3419" s="96" t="s">
        <v>3163</v>
      </c>
      <c r="I3419" s="96" t="s">
        <v>9</v>
      </c>
      <c r="J3419" s="96" t="s">
        <v>173</v>
      </c>
      <c r="K3419" s="96" t="s">
        <v>195</v>
      </c>
      <c r="L3419">
        <v>92</v>
      </c>
      <c r="M3419" t="s">
        <v>28</v>
      </c>
      <c r="N3419" t="s">
        <v>188</v>
      </c>
      <c r="O3419" t="s">
        <v>170</v>
      </c>
      <c r="P3419">
        <v>2025</v>
      </c>
    </row>
    <row r="3420" spans="1:16" hidden="1" x14ac:dyDescent="0.25">
      <c r="A3420" s="96" t="s">
        <v>2</v>
      </c>
      <c r="B3420" s="96" t="s">
        <v>272</v>
      </c>
      <c r="C3420" s="96" t="s">
        <v>3252</v>
      </c>
      <c r="D3420" s="96" t="s">
        <v>10</v>
      </c>
      <c r="E3420" s="43">
        <v>45797</v>
      </c>
      <c r="F3420" s="43">
        <v>45877</v>
      </c>
      <c r="G3420" s="96" t="s">
        <v>92</v>
      </c>
      <c r="H3420" s="96" t="s">
        <v>3165</v>
      </c>
      <c r="I3420" s="96" t="s">
        <v>204</v>
      </c>
      <c r="J3420" s="96" t="s">
        <v>176</v>
      </c>
      <c r="K3420" s="96" t="s">
        <v>157</v>
      </c>
      <c r="L3420">
        <v>80</v>
      </c>
      <c r="M3420" t="s">
        <v>28</v>
      </c>
      <c r="N3420" t="s">
        <v>182</v>
      </c>
      <c r="O3420" t="s">
        <v>151</v>
      </c>
      <c r="P3420">
        <v>2025</v>
      </c>
    </row>
    <row r="3421" spans="1:16" hidden="1" x14ac:dyDescent="0.25">
      <c r="A3421" s="96" t="s">
        <v>2</v>
      </c>
      <c r="B3421" s="96" t="s">
        <v>257</v>
      </c>
      <c r="C3421" s="96" t="s">
        <v>7159</v>
      </c>
      <c r="D3421" s="96" t="s">
        <v>223</v>
      </c>
      <c r="E3421" s="43">
        <v>45969</v>
      </c>
      <c r="F3421" s="43">
        <v>46049</v>
      </c>
      <c r="G3421" s="96" t="s">
        <v>95</v>
      </c>
      <c r="H3421" s="96" t="s">
        <v>7160</v>
      </c>
      <c r="I3421" s="96" t="s">
        <v>9</v>
      </c>
      <c r="J3421" s="96" t="s">
        <v>173</v>
      </c>
      <c r="K3421" s="96" t="s">
        <v>210</v>
      </c>
      <c r="L3421">
        <v>80</v>
      </c>
      <c r="M3421" t="s">
        <v>28</v>
      </c>
      <c r="N3421" t="s">
        <v>20</v>
      </c>
      <c r="O3421" t="s">
        <v>151</v>
      </c>
      <c r="P3421">
        <v>2025</v>
      </c>
    </row>
    <row r="3422" spans="1:16" hidden="1" x14ac:dyDescent="0.25">
      <c r="A3422" s="96" t="s">
        <v>21</v>
      </c>
      <c r="B3422" s="96" t="s">
        <v>211</v>
      </c>
      <c r="C3422" s="96" t="s">
        <v>7161</v>
      </c>
      <c r="D3422" s="96" t="s">
        <v>223</v>
      </c>
      <c r="E3422" s="43">
        <v>45785</v>
      </c>
      <c r="F3422" s="43">
        <v>45900</v>
      </c>
      <c r="G3422" s="96" t="s">
        <v>92</v>
      </c>
      <c r="H3422" s="96" t="s">
        <v>7162</v>
      </c>
      <c r="I3422" s="96" t="s">
        <v>204</v>
      </c>
      <c r="J3422" s="96" t="s">
        <v>96</v>
      </c>
      <c r="K3422" s="96" t="s">
        <v>200</v>
      </c>
      <c r="L3422">
        <v>115</v>
      </c>
      <c r="M3422" t="s">
        <v>28</v>
      </c>
      <c r="N3422" t="s">
        <v>182</v>
      </c>
      <c r="O3422" t="s">
        <v>170</v>
      </c>
      <c r="P3422">
        <v>2025</v>
      </c>
    </row>
    <row r="3423" spans="1:16" x14ac:dyDescent="0.25">
      <c r="A3423" s="96" t="s">
        <v>2</v>
      </c>
      <c r="B3423" s="96" t="s">
        <v>201</v>
      </c>
      <c r="C3423" s="96" t="s">
        <v>3253</v>
      </c>
      <c r="D3423" s="96" t="s">
        <v>237</v>
      </c>
      <c r="E3423" s="43">
        <v>46026</v>
      </c>
      <c r="F3423" s="43">
        <v>46058</v>
      </c>
      <c r="G3423" s="96" t="s">
        <v>92</v>
      </c>
      <c r="H3423" s="96" t="s">
        <v>7163</v>
      </c>
      <c r="I3423" s="96" t="s">
        <v>194</v>
      </c>
      <c r="J3423" s="96" t="s">
        <v>93</v>
      </c>
      <c r="K3423" s="96" t="s">
        <v>210</v>
      </c>
      <c r="L3423">
        <v>32</v>
      </c>
      <c r="M3423" t="s">
        <v>24</v>
      </c>
      <c r="N3423" t="s">
        <v>29</v>
      </c>
      <c r="O3423" t="s">
        <v>170</v>
      </c>
      <c r="P3423">
        <v>2026</v>
      </c>
    </row>
    <row r="3424" spans="1:16" hidden="1" x14ac:dyDescent="0.25">
      <c r="A3424" s="96" t="s">
        <v>2</v>
      </c>
      <c r="B3424" s="96" t="s">
        <v>272</v>
      </c>
      <c r="C3424" s="96" t="s">
        <v>3254</v>
      </c>
      <c r="D3424" s="96" t="s">
        <v>215</v>
      </c>
      <c r="E3424" s="43">
        <v>45750</v>
      </c>
      <c r="F3424" s="43">
        <v>45802</v>
      </c>
      <c r="G3424" s="96" t="s">
        <v>90</v>
      </c>
      <c r="H3424" s="96" t="s">
        <v>3170</v>
      </c>
      <c r="I3424" s="96" t="s">
        <v>194</v>
      </c>
      <c r="J3424" s="96" t="s">
        <v>173</v>
      </c>
      <c r="K3424" s="96" t="s">
        <v>210</v>
      </c>
      <c r="L3424">
        <v>52</v>
      </c>
      <c r="M3424" t="s">
        <v>24</v>
      </c>
      <c r="N3424" t="s">
        <v>185</v>
      </c>
      <c r="O3424" t="s">
        <v>151</v>
      </c>
      <c r="P3424">
        <v>2025</v>
      </c>
    </row>
    <row r="3425" spans="1:16" hidden="1" x14ac:dyDescent="0.25">
      <c r="A3425" s="96" t="s">
        <v>2</v>
      </c>
      <c r="B3425" s="96" t="s">
        <v>272</v>
      </c>
      <c r="C3425" s="96" t="s">
        <v>3255</v>
      </c>
      <c r="D3425" s="96" t="s">
        <v>223</v>
      </c>
      <c r="E3425" s="43">
        <v>45715</v>
      </c>
      <c r="F3425" s="43">
        <v>45779</v>
      </c>
      <c r="G3425" s="96" t="s">
        <v>92</v>
      </c>
      <c r="H3425" s="96" t="s">
        <v>3171</v>
      </c>
      <c r="I3425" s="96" t="s">
        <v>204</v>
      </c>
      <c r="J3425" s="96" t="s">
        <v>168</v>
      </c>
      <c r="K3425" s="96" t="s">
        <v>195</v>
      </c>
      <c r="L3425">
        <v>64</v>
      </c>
      <c r="M3425" t="s">
        <v>28</v>
      </c>
      <c r="N3425" t="s">
        <v>188</v>
      </c>
      <c r="O3425" t="s">
        <v>151</v>
      </c>
      <c r="P3425">
        <v>2025</v>
      </c>
    </row>
    <row r="3426" spans="1:16" hidden="1" x14ac:dyDescent="0.25">
      <c r="A3426" s="96" t="s">
        <v>2</v>
      </c>
      <c r="B3426" s="96" t="s">
        <v>213</v>
      </c>
      <c r="C3426" s="96" t="s">
        <v>3256</v>
      </c>
      <c r="D3426" s="96" t="s">
        <v>40</v>
      </c>
      <c r="E3426" s="43">
        <v>45751</v>
      </c>
      <c r="F3426" s="43">
        <v>45828</v>
      </c>
      <c r="G3426" s="96" t="s">
        <v>92</v>
      </c>
      <c r="H3426" s="96" t="s">
        <v>3173</v>
      </c>
      <c r="I3426" s="96" t="s">
        <v>228</v>
      </c>
      <c r="J3426" s="96" t="s">
        <v>96</v>
      </c>
      <c r="K3426" s="96" t="s">
        <v>233</v>
      </c>
      <c r="L3426">
        <v>77</v>
      </c>
      <c r="M3426" t="s">
        <v>28</v>
      </c>
      <c r="N3426" t="s">
        <v>185</v>
      </c>
      <c r="O3426" t="s">
        <v>149</v>
      </c>
      <c r="P3426">
        <v>2025</v>
      </c>
    </row>
    <row r="3427" spans="1:16" x14ac:dyDescent="0.25">
      <c r="A3427" s="96" t="s">
        <v>175</v>
      </c>
      <c r="B3427" s="96" t="s">
        <v>234</v>
      </c>
      <c r="C3427" s="96" t="s">
        <v>7164</v>
      </c>
      <c r="D3427" s="96" t="s">
        <v>34</v>
      </c>
      <c r="E3427" s="43">
        <v>46092</v>
      </c>
      <c r="F3427" s="43">
        <v>46150</v>
      </c>
      <c r="G3427" s="96" t="s">
        <v>90</v>
      </c>
      <c r="H3427" s="96" t="s">
        <v>3174</v>
      </c>
      <c r="I3427" s="96" t="s">
        <v>157</v>
      </c>
      <c r="J3427" s="96" t="s">
        <v>94</v>
      </c>
      <c r="K3427" s="96" t="s">
        <v>200</v>
      </c>
      <c r="L3427">
        <v>58</v>
      </c>
      <c r="M3427" t="s">
        <v>24</v>
      </c>
      <c r="N3427" t="s">
        <v>35</v>
      </c>
      <c r="O3427" t="s">
        <v>150</v>
      </c>
      <c r="P3427">
        <v>2026</v>
      </c>
    </row>
    <row r="3428" spans="1:16" x14ac:dyDescent="0.25">
      <c r="A3428" s="96" t="s">
        <v>21</v>
      </c>
      <c r="B3428" s="96" t="s">
        <v>261</v>
      </c>
      <c r="C3428" s="96" t="s">
        <v>3257</v>
      </c>
      <c r="D3428" s="96" t="s">
        <v>215</v>
      </c>
      <c r="E3428" s="43">
        <v>46043</v>
      </c>
      <c r="F3428" s="43">
        <v>46128</v>
      </c>
      <c r="G3428" s="96" t="s">
        <v>95</v>
      </c>
      <c r="H3428" s="96" t="s">
        <v>7165</v>
      </c>
      <c r="I3428" s="96" t="s">
        <v>194</v>
      </c>
      <c r="J3428" s="96" t="s">
        <v>94</v>
      </c>
      <c r="K3428" s="96" t="s">
        <v>157</v>
      </c>
      <c r="L3428">
        <v>85</v>
      </c>
      <c r="M3428" t="s">
        <v>28</v>
      </c>
      <c r="N3428" t="s">
        <v>29</v>
      </c>
      <c r="O3428" t="s">
        <v>151</v>
      </c>
      <c r="P3428">
        <v>2026</v>
      </c>
    </row>
    <row r="3429" spans="1:16" hidden="1" x14ac:dyDescent="0.25">
      <c r="A3429" s="96" t="s">
        <v>171</v>
      </c>
      <c r="B3429" s="96" t="s">
        <v>264</v>
      </c>
      <c r="C3429" s="96" t="s">
        <v>3258</v>
      </c>
      <c r="D3429" s="96" t="s">
        <v>215</v>
      </c>
      <c r="E3429" s="43">
        <v>45837</v>
      </c>
      <c r="F3429" s="43">
        <v>45906</v>
      </c>
      <c r="G3429" s="96" t="s">
        <v>92</v>
      </c>
      <c r="H3429" s="96" t="s">
        <v>7166</v>
      </c>
      <c r="I3429" s="96" t="s">
        <v>204</v>
      </c>
      <c r="J3429" s="96" t="s">
        <v>199</v>
      </c>
      <c r="K3429" s="96" t="s">
        <v>246</v>
      </c>
      <c r="L3429">
        <v>69</v>
      </c>
      <c r="M3429" t="s">
        <v>28</v>
      </c>
      <c r="N3429" t="s">
        <v>184</v>
      </c>
      <c r="O3429" t="s">
        <v>152</v>
      </c>
      <c r="P3429">
        <v>2025</v>
      </c>
    </row>
    <row r="3430" spans="1:16" hidden="1" x14ac:dyDescent="0.25">
      <c r="A3430" s="96" t="s">
        <v>2</v>
      </c>
      <c r="B3430" s="96" t="s">
        <v>257</v>
      </c>
      <c r="C3430" s="96" t="s">
        <v>7167</v>
      </c>
      <c r="D3430" s="96" t="s">
        <v>223</v>
      </c>
      <c r="E3430" s="43">
        <v>45756</v>
      </c>
      <c r="F3430" s="43">
        <v>45767</v>
      </c>
      <c r="G3430" s="96" t="s">
        <v>90</v>
      </c>
      <c r="H3430" s="96" t="s">
        <v>7168</v>
      </c>
      <c r="I3430" s="96" t="s">
        <v>194</v>
      </c>
      <c r="J3430" s="96" t="s">
        <v>91</v>
      </c>
      <c r="K3430" s="96" t="s">
        <v>233</v>
      </c>
      <c r="L3430">
        <v>11</v>
      </c>
      <c r="M3430" t="s">
        <v>15</v>
      </c>
      <c r="N3430" t="s">
        <v>185</v>
      </c>
      <c r="O3430" t="s">
        <v>151</v>
      </c>
      <c r="P3430">
        <v>2025</v>
      </c>
    </row>
    <row r="3431" spans="1:16" x14ac:dyDescent="0.25">
      <c r="A3431" s="96" t="s">
        <v>2</v>
      </c>
      <c r="B3431" s="96" t="s">
        <v>274</v>
      </c>
      <c r="C3431" s="96" t="s">
        <v>3259</v>
      </c>
      <c r="D3431" s="96" t="s">
        <v>203</v>
      </c>
      <c r="E3431" s="43">
        <v>46087</v>
      </c>
      <c r="F3431" s="43">
        <v>46145</v>
      </c>
      <c r="G3431" s="96" t="s">
        <v>92</v>
      </c>
      <c r="H3431" s="96" t="s">
        <v>7169</v>
      </c>
      <c r="I3431" s="96" t="s">
        <v>228</v>
      </c>
      <c r="J3431" s="96" t="s">
        <v>216</v>
      </c>
      <c r="K3431" s="96" t="s">
        <v>200</v>
      </c>
      <c r="L3431">
        <v>58</v>
      </c>
      <c r="M3431" t="s">
        <v>24</v>
      </c>
      <c r="N3431" t="s">
        <v>35</v>
      </c>
      <c r="O3431" t="s">
        <v>170</v>
      </c>
      <c r="P3431">
        <v>2026</v>
      </c>
    </row>
    <row r="3432" spans="1:16" x14ac:dyDescent="0.25">
      <c r="A3432" s="96" t="s">
        <v>171</v>
      </c>
      <c r="B3432" s="96" t="s">
        <v>261</v>
      </c>
      <c r="C3432" s="96" t="s">
        <v>3260</v>
      </c>
      <c r="D3432" s="96" t="s">
        <v>237</v>
      </c>
      <c r="E3432" s="43">
        <v>46104</v>
      </c>
      <c r="F3432" s="43">
        <v>46129</v>
      </c>
      <c r="G3432" s="96" t="s">
        <v>95</v>
      </c>
      <c r="H3432" s="96" t="s">
        <v>7170</v>
      </c>
      <c r="I3432" s="96" t="s">
        <v>228</v>
      </c>
      <c r="J3432" s="96" t="s">
        <v>177</v>
      </c>
      <c r="K3432" s="96" t="s">
        <v>217</v>
      </c>
      <c r="L3432">
        <v>25</v>
      </c>
      <c r="M3432" t="s">
        <v>19</v>
      </c>
      <c r="N3432" t="s">
        <v>35</v>
      </c>
      <c r="O3432" t="s">
        <v>151</v>
      </c>
      <c r="P3432">
        <v>2026</v>
      </c>
    </row>
    <row r="3433" spans="1:16" hidden="1" x14ac:dyDescent="0.25">
      <c r="A3433" s="96" t="s">
        <v>2</v>
      </c>
      <c r="B3433" s="96" t="s">
        <v>280</v>
      </c>
      <c r="C3433" s="96" t="s">
        <v>3261</v>
      </c>
      <c r="D3433" s="96" t="s">
        <v>34</v>
      </c>
      <c r="E3433" s="43">
        <v>45711</v>
      </c>
      <c r="F3433" s="43">
        <v>45785</v>
      </c>
      <c r="G3433" s="96" t="s">
        <v>92</v>
      </c>
      <c r="H3433" s="96" t="s">
        <v>7171</v>
      </c>
      <c r="I3433" s="96" t="s">
        <v>9</v>
      </c>
      <c r="J3433" s="96" t="s">
        <v>216</v>
      </c>
      <c r="K3433" s="96" t="s">
        <v>246</v>
      </c>
      <c r="L3433">
        <v>74</v>
      </c>
      <c r="M3433" t="s">
        <v>28</v>
      </c>
      <c r="N3433" t="s">
        <v>188</v>
      </c>
      <c r="O3433" t="s">
        <v>170</v>
      </c>
      <c r="P3433">
        <v>2025</v>
      </c>
    </row>
    <row r="3434" spans="1:16" x14ac:dyDescent="0.25">
      <c r="A3434" s="96" t="s">
        <v>2</v>
      </c>
      <c r="B3434" s="96" t="s">
        <v>196</v>
      </c>
      <c r="C3434" s="96" t="s">
        <v>3262</v>
      </c>
      <c r="D3434" s="96" t="s">
        <v>10</v>
      </c>
      <c r="E3434" s="43">
        <v>46105</v>
      </c>
      <c r="F3434" s="43">
        <v>46143</v>
      </c>
      <c r="G3434" s="96" t="s">
        <v>92</v>
      </c>
      <c r="H3434" s="96" t="s">
        <v>7172</v>
      </c>
      <c r="I3434" s="96" t="s">
        <v>194</v>
      </c>
      <c r="J3434" s="96" t="s">
        <v>177</v>
      </c>
      <c r="K3434" s="96" t="s">
        <v>157</v>
      </c>
      <c r="L3434">
        <v>38</v>
      </c>
      <c r="M3434" t="s">
        <v>24</v>
      </c>
      <c r="N3434" t="s">
        <v>35</v>
      </c>
      <c r="O3434" t="s">
        <v>152</v>
      </c>
      <c r="P3434">
        <v>2026</v>
      </c>
    </row>
    <row r="3435" spans="1:16" x14ac:dyDescent="0.25">
      <c r="A3435" s="96" t="s">
        <v>2</v>
      </c>
      <c r="B3435" s="96" t="s">
        <v>288</v>
      </c>
      <c r="C3435" s="96" t="s">
        <v>7173</v>
      </c>
      <c r="D3435" s="96" t="s">
        <v>215</v>
      </c>
      <c r="E3435" s="43">
        <v>46110</v>
      </c>
      <c r="F3435" s="43">
        <v>46149</v>
      </c>
      <c r="G3435" s="96" t="s">
        <v>90</v>
      </c>
      <c r="H3435" s="96" t="s">
        <v>7174</v>
      </c>
      <c r="I3435" s="96" t="s">
        <v>225</v>
      </c>
      <c r="J3435" s="96" t="s">
        <v>93</v>
      </c>
      <c r="K3435" s="96" t="s">
        <v>200</v>
      </c>
      <c r="L3435">
        <v>39</v>
      </c>
      <c r="M3435" t="s">
        <v>24</v>
      </c>
      <c r="N3435" t="s">
        <v>35</v>
      </c>
      <c r="O3435" t="s">
        <v>170</v>
      </c>
      <c r="P3435">
        <v>2026</v>
      </c>
    </row>
    <row r="3436" spans="1:16" hidden="1" x14ac:dyDescent="0.25">
      <c r="A3436" s="96" t="s">
        <v>2</v>
      </c>
      <c r="B3436" s="96" t="s">
        <v>264</v>
      </c>
      <c r="C3436" s="96" t="s">
        <v>7175</v>
      </c>
      <c r="D3436" s="96" t="s">
        <v>223</v>
      </c>
      <c r="E3436" s="43">
        <v>45694</v>
      </c>
      <c r="F3436" s="43">
        <v>45787</v>
      </c>
      <c r="G3436" s="96" t="s">
        <v>92</v>
      </c>
      <c r="H3436" s="96" t="s">
        <v>7176</v>
      </c>
      <c r="I3436" s="96" t="s">
        <v>157</v>
      </c>
      <c r="J3436" s="96" t="s">
        <v>176</v>
      </c>
      <c r="K3436" s="96" t="s">
        <v>210</v>
      </c>
      <c r="L3436">
        <v>93</v>
      </c>
      <c r="M3436" t="s">
        <v>28</v>
      </c>
      <c r="N3436" t="s">
        <v>188</v>
      </c>
      <c r="O3436" t="s">
        <v>152</v>
      </c>
      <c r="P3436">
        <v>2025</v>
      </c>
    </row>
    <row r="3437" spans="1:16" hidden="1" x14ac:dyDescent="0.25">
      <c r="A3437" s="96" t="s">
        <v>2</v>
      </c>
      <c r="B3437" s="96" t="s">
        <v>221</v>
      </c>
      <c r="C3437" s="96" t="s">
        <v>3263</v>
      </c>
      <c r="D3437" s="96" t="s">
        <v>192</v>
      </c>
      <c r="E3437" s="43">
        <v>45977</v>
      </c>
      <c r="F3437" s="43">
        <v>46050</v>
      </c>
      <c r="G3437" s="96" t="s">
        <v>90</v>
      </c>
      <c r="H3437" s="96" t="s">
        <v>7177</v>
      </c>
      <c r="I3437" s="96" t="s">
        <v>225</v>
      </c>
      <c r="J3437" s="96" t="s">
        <v>172</v>
      </c>
      <c r="K3437" s="96" t="s">
        <v>195</v>
      </c>
      <c r="L3437">
        <v>73</v>
      </c>
      <c r="M3437" t="s">
        <v>28</v>
      </c>
      <c r="N3437" t="s">
        <v>20</v>
      </c>
      <c r="O3437" t="s">
        <v>170</v>
      </c>
      <c r="P3437">
        <v>2025</v>
      </c>
    </row>
    <row r="3438" spans="1:16" hidden="1" x14ac:dyDescent="0.25">
      <c r="A3438" s="96" t="s">
        <v>2</v>
      </c>
      <c r="B3438" s="96" t="s">
        <v>322</v>
      </c>
      <c r="C3438" s="96" t="s">
        <v>7178</v>
      </c>
      <c r="D3438" s="96" t="s">
        <v>10</v>
      </c>
      <c r="E3438" s="43">
        <v>45788</v>
      </c>
      <c r="F3438" s="43">
        <v>45839</v>
      </c>
      <c r="G3438" s="96" t="s">
        <v>90</v>
      </c>
      <c r="H3438" s="96" t="s">
        <v>7179</v>
      </c>
      <c r="I3438" s="96" t="s">
        <v>194</v>
      </c>
      <c r="J3438" s="96" t="s">
        <v>176</v>
      </c>
      <c r="K3438" s="96" t="s">
        <v>230</v>
      </c>
      <c r="L3438">
        <v>51</v>
      </c>
      <c r="M3438" t="s">
        <v>24</v>
      </c>
      <c r="N3438" t="s">
        <v>182</v>
      </c>
      <c r="O3438" t="s">
        <v>150</v>
      </c>
      <c r="P3438">
        <v>2025</v>
      </c>
    </row>
    <row r="3439" spans="1:16" hidden="1" x14ac:dyDescent="0.25">
      <c r="A3439" s="96" t="s">
        <v>2</v>
      </c>
      <c r="B3439" s="96" t="s">
        <v>190</v>
      </c>
      <c r="C3439" s="96" t="s">
        <v>3264</v>
      </c>
      <c r="D3439" s="96" t="s">
        <v>203</v>
      </c>
      <c r="E3439" s="43">
        <v>45760</v>
      </c>
      <c r="F3439" s="43">
        <v>45871</v>
      </c>
      <c r="G3439" s="96" t="s">
        <v>92</v>
      </c>
      <c r="H3439" s="96" t="s">
        <v>7180</v>
      </c>
      <c r="I3439" s="96" t="s">
        <v>228</v>
      </c>
      <c r="J3439" s="96" t="s">
        <v>91</v>
      </c>
      <c r="K3439" s="96" t="s">
        <v>205</v>
      </c>
      <c r="L3439">
        <v>111</v>
      </c>
      <c r="M3439" t="s">
        <v>28</v>
      </c>
      <c r="N3439" t="s">
        <v>185</v>
      </c>
      <c r="O3439" t="s">
        <v>150</v>
      </c>
      <c r="P3439">
        <v>2025</v>
      </c>
    </row>
    <row r="3440" spans="1:16" x14ac:dyDescent="0.25">
      <c r="A3440" s="96" t="s">
        <v>2</v>
      </c>
      <c r="B3440" s="96" t="s">
        <v>261</v>
      </c>
      <c r="C3440" s="96" t="s">
        <v>7181</v>
      </c>
      <c r="D3440" s="96" t="s">
        <v>14</v>
      </c>
      <c r="E3440" s="43">
        <v>46067</v>
      </c>
      <c r="F3440" s="43">
        <v>46151</v>
      </c>
      <c r="G3440" s="96" t="s">
        <v>92</v>
      </c>
      <c r="H3440" s="96" t="s">
        <v>7182</v>
      </c>
      <c r="I3440" s="96" t="s">
        <v>9</v>
      </c>
      <c r="J3440" s="96" t="s">
        <v>172</v>
      </c>
      <c r="K3440" s="96" t="s">
        <v>195</v>
      </c>
      <c r="L3440">
        <v>84</v>
      </c>
      <c r="M3440" t="s">
        <v>28</v>
      </c>
      <c r="N3440" t="s">
        <v>32</v>
      </c>
      <c r="O3440" t="s">
        <v>151</v>
      </c>
      <c r="P3440">
        <v>2026</v>
      </c>
    </row>
    <row r="3441" spans="1:16" hidden="1" x14ac:dyDescent="0.25">
      <c r="A3441" s="96" t="s">
        <v>175</v>
      </c>
      <c r="B3441" s="96" t="s">
        <v>280</v>
      </c>
      <c r="C3441" s="96" t="s">
        <v>3265</v>
      </c>
      <c r="D3441" s="96" t="s">
        <v>237</v>
      </c>
      <c r="E3441" s="43">
        <v>45918</v>
      </c>
      <c r="F3441" s="43">
        <v>46010</v>
      </c>
      <c r="G3441" s="96" t="s">
        <v>92</v>
      </c>
      <c r="H3441" s="96" t="s">
        <v>7183</v>
      </c>
      <c r="I3441" s="96" t="s">
        <v>225</v>
      </c>
      <c r="J3441" s="96" t="s">
        <v>216</v>
      </c>
      <c r="K3441" s="96" t="s">
        <v>246</v>
      </c>
      <c r="L3441">
        <v>92</v>
      </c>
      <c r="M3441" t="s">
        <v>28</v>
      </c>
      <c r="N3441" t="s">
        <v>12</v>
      </c>
      <c r="O3441" t="s">
        <v>170</v>
      </c>
      <c r="P3441">
        <v>2025</v>
      </c>
    </row>
    <row r="3442" spans="1:16" x14ac:dyDescent="0.25">
      <c r="A3442" s="96" t="s">
        <v>189</v>
      </c>
      <c r="B3442" s="96" t="s">
        <v>244</v>
      </c>
      <c r="C3442" s="96" t="s">
        <v>3266</v>
      </c>
      <c r="D3442" s="96" t="s">
        <v>34</v>
      </c>
      <c r="E3442" s="43">
        <v>46111</v>
      </c>
      <c r="F3442" s="43">
        <v>46112</v>
      </c>
      <c r="G3442" s="96" t="s">
        <v>92</v>
      </c>
      <c r="H3442" s="96" t="s">
        <v>7184</v>
      </c>
      <c r="I3442" s="96" t="s">
        <v>225</v>
      </c>
      <c r="J3442" s="96" t="s">
        <v>199</v>
      </c>
      <c r="K3442" s="96" t="s">
        <v>200</v>
      </c>
      <c r="L3442">
        <v>1</v>
      </c>
      <c r="M3442" t="s">
        <v>11</v>
      </c>
      <c r="N3442" t="s">
        <v>35</v>
      </c>
      <c r="O3442" t="s">
        <v>150</v>
      </c>
      <c r="P3442">
        <v>2026</v>
      </c>
    </row>
    <row r="3443" spans="1:16" x14ac:dyDescent="0.25">
      <c r="A3443" s="96" t="s">
        <v>171</v>
      </c>
      <c r="B3443" s="96" t="s">
        <v>261</v>
      </c>
      <c r="C3443" s="96" t="s">
        <v>7185</v>
      </c>
      <c r="D3443" s="96" t="s">
        <v>14</v>
      </c>
      <c r="E3443" s="43">
        <v>46117</v>
      </c>
      <c r="F3443" s="43">
        <v>46143</v>
      </c>
      <c r="G3443" s="96" t="s">
        <v>95</v>
      </c>
      <c r="H3443" s="96" t="s">
        <v>7186</v>
      </c>
      <c r="I3443" s="96" t="s">
        <v>228</v>
      </c>
      <c r="J3443" s="96" t="s">
        <v>93</v>
      </c>
      <c r="K3443" s="96" t="s">
        <v>217</v>
      </c>
      <c r="L3443">
        <v>26</v>
      </c>
      <c r="M3443" t="s">
        <v>19</v>
      </c>
      <c r="N3443" t="s">
        <v>37</v>
      </c>
      <c r="O3443" t="s">
        <v>151</v>
      </c>
      <c r="P3443">
        <v>2026</v>
      </c>
    </row>
    <row r="3444" spans="1:16" hidden="1" x14ac:dyDescent="0.25">
      <c r="A3444" s="96" t="s">
        <v>2</v>
      </c>
      <c r="B3444" s="96" t="s">
        <v>255</v>
      </c>
      <c r="C3444" s="96" t="s">
        <v>3267</v>
      </c>
      <c r="D3444" s="96" t="s">
        <v>203</v>
      </c>
      <c r="E3444" s="43">
        <v>45717</v>
      </c>
      <c r="F3444" s="43">
        <v>45766</v>
      </c>
      <c r="G3444" s="96" t="s">
        <v>90</v>
      </c>
      <c r="H3444" s="96" t="s">
        <v>7187</v>
      </c>
      <c r="I3444" s="96" t="s">
        <v>9</v>
      </c>
      <c r="J3444" s="96" t="s">
        <v>199</v>
      </c>
      <c r="K3444" s="96" t="s">
        <v>195</v>
      </c>
      <c r="L3444">
        <v>49</v>
      </c>
      <c r="M3444" t="s">
        <v>24</v>
      </c>
      <c r="N3444" t="s">
        <v>186</v>
      </c>
      <c r="O3444" t="s">
        <v>150</v>
      </c>
      <c r="P3444">
        <v>2025</v>
      </c>
    </row>
    <row r="3445" spans="1:16" x14ac:dyDescent="0.25">
      <c r="A3445" s="96" t="s">
        <v>2</v>
      </c>
      <c r="B3445" s="96" t="s">
        <v>219</v>
      </c>
      <c r="C3445" s="96" t="s">
        <v>7188</v>
      </c>
      <c r="D3445" s="96" t="s">
        <v>237</v>
      </c>
      <c r="E3445" s="43">
        <v>46144</v>
      </c>
      <c r="F3445" s="43">
        <v>46146</v>
      </c>
      <c r="G3445" s="96" t="s">
        <v>90</v>
      </c>
      <c r="H3445" s="96" t="s">
        <v>7189</v>
      </c>
      <c r="I3445" s="96" t="s">
        <v>9</v>
      </c>
      <c r="J3445" s="96" t="s">
        <v>98</v>
      </c>
      <c r="K3445" s="96" t="s">
        <v>205</v>
      </c>
      <c r="L3445">
        <v>2</v>
      </c>
      <c r="M3445" t="s">
        <v>11</v>
      </c>
      <c r="N3445" t="s">
        <v>183</v>
      </c>
      <c r="O3445" t="s">
        <v>149</v>
      </c>
      <c r="P3445">
        <v>2026</v>
      </c>
    </row>
    <row r="3446" spans="1:16" x14ac:dyDescent="0.25">
      <c r="A3446" s="96" t="s">
        <v>175</v>
      </c>
      <c r="B3446" s="96" t="s">
        <v>290</v>
      </c>
      <c r="C3446" s="96" t="s">
        <v>3268</v>
      </c>
      <c r="D3446" s="96" t="s">
        <v>237</v>
      </c>
      <c r="E3446" s="43">
        <v>46075</v>
      </c>
      <c r="F3446" s="43">
        <v>46104</v>
      </c>
      <c r="G3446" s="96" t="s">
        <v>92</v>
      </c>
      <c r="H3446" s="96" t="s">
        <v>7190</v>
      </c>
      <c r="I3446" s="96" t="s">
        <v>225</v>
      </c>
      <c r="J3446" s="96" t="s">
        <v>199</v>
      </c>
      <c r="K3446" s="96" t="s">
        <v>246</v>
      </c>
      <c r="L3446">
        <v>29</v>
      </c>
      <c r="M3446" t="s">
        <v>19</v>
      </c>
      <c r="N3446" t="s">
        <v>32</v>
      </c>
      <c r="O3446" t="s">
        <v>149</v>
      </c>
      <c r="P3446">
        <v>2026</v>
      </c>
    </row>
    <row r="3447" spans="1:16" hidden="1" x14ac:dyDescent="0.25">
      <c r="A3447" s="96" t="s">
        <v>2</v>
      </c>
      <c r="B3447" s="96" t="s">
        <v>190</v>
      </c>
      <c r="C3447" s="96" t="s">
        <v>3269</v>
      </c>
      <c r="D3447" s="96" t="s">
        <v>208</v>
      </c>
      <c r="E3447" s="43">
        <v>45953</v>
      </c>
      <c r="F3447" s="43">
        <v>46025</v>
      </c>
      <c r="G3447" s="96" t="s">
        <v>92</v>
      </c>
      <c r="H3447" s="96" t="s">
        <v>7191</v>
      </c>
      <c r="I3447" s="96" t="s">
        <v>228</v>
      </c>
      <c r="J3447" s="96" t="s">
        <v>176</v>
      </c>
      <c r="K3447" s="96" t="s">
        <v>195</v>
      </c>
      <c r="L3447">
        <v>72</v>
      </c>
      <c r="M3447" t="s">
        <v>28</v>
      </c>
      <c r="N3447" t="s">
        <v>16</v>
      </c>
      <c r="O3447" t="s">
        <v>150</v>
      </c>
      <c r="P3447">
        <v>2025</v>
      </c>
    </row>
    <row r="3448" spans="1:16" hidden="1" x14ac:dyDescent="0.25">
      <c r="A3448" s="96" t="s">
        <v>2</v>
      </c>
      <c r="B3448" s="96" t="s">
        <v>257</v>
      </c>
      <c r="C3448" s="96" t="s">
        <v>3270</v>
      </c>
      <c r="D3448" s="96" t="s">
        <v>223</v>
      </c>
      <c r="E3448" s="43">
        <v>45949</v>
      </c>
      <c r="F3448" s="43">
        <v>46043</v>
      </c>
      <c r="G3448" s="96" t="s">
        <v>95</v>
      </c>
      <c r="H3448" s="96" t="s">
        <v>3187</v>
      </c>
      <c r="I3448" s="96" t="s">
        <v>209</v>
      </c>
      <c r="J3448" s="96" t="s">
        <v>199</v>
      </c>
      <c r="K3448" s="96" t="s">
        <v>230</v>
      </c>
      <c r="L3448">
        <v>94</v>
      </c>
      <c r="M3448" t="s">
        <v>28</v>
      </c>
      <c r="N3448" t="s">
        <v>16</v>
      </c>
      <c r="O3448" t="s">
        <v>151</v>
      </c>
      <c r="P3448">
        <v>2025</v>
      </c>
    </row>
    <row r="3449" spans="1:16" hidden="1" x14ac:dyDescent="0.25">
      <c r="A3449" s="96" t="s">
        <v>2</v>
      </c>
      <c r="B3449" s="96" t="s">
        <v>322</v>
      </c>
      <c r="C3449" s="96" t="s">
        <v>3271</v>
      </c>
      <c r="D3449" s="96" t="s">
        <v>10</v>
      </c>
      <c r="E3449" s="43">
        <v>45694</v>
      </c>
      <c r="F3449" s="43">
        <v>45695</v>
      </c>
      <c r="G3449" s="96" t="s">
        <v>92</v>
      </c>
      <c r="H3449" s="96" t="s">
        <v>7192</v>
      </c>
      <c r="I3449" s="96" t="s">
        <v>209</v>
      </c>
      <c r="J3449" s="96" t="s">
        <v>93</v>
      </c>
      <c r="K3449" s="96" t="s">
        <v>233</v>
      </c>
      <c r="L3449">
        <v>1</v>
      </c>
      <c r="M3449" t="s">
        <v>11</v>
      </c>
      <c r="N3449" t="s">
        <v>188</v>
      </c>
      <c r="O3449" t="s">
        <v>150</v>
      </c>
      <c r="P3449">
        <v>2025</v>
      </c>
    </row>
    <row r="3450" spans="1:16" hidden="1" x14ac:dyDescent="0.25">
      <c r="A3450" s="96" t="s">
        <v>2</v>
      </c>
      <c r="B3450" s="96" t="s">
        <v>322</v>
      </c>
      <c r="C3450" s="96" t="s">
        <v>7193</v>
      </c>
      <c r="D3450" s="96" t="s">
        <v>223</v>
      </c>
      <c r="E3450" s="43">
        <v>45899</v>
      </c>
      <c r="F3450" s="43">
        <v>45945</v>
      </c>
      <c r="G3450" s="96" t="s">
        <v>92</v>
      </c>
      <c r="H3450" s="96" t="s">
        <v>7194</v>
      </c>
      <c r="I3450" s="96" t="s">
        <v>204</v>
      </c>
      <c r="J3450" s="96" t="s">
        <v>229</v>
      </c>
      <c r="K3450" s="96" t="s">
        <v>200</v>
      </c>
      <c r="L3450">
        <v>46</v>
      </c>
      <c r="M3450" t="s">
        <v>24</v>
      </c>
      <c r="N3450" t="s">
        <v>8</v>
      </c>
      <c r="O3450" t="s">
        <v>150</v>
      </c>
      <c r="P3450">
        <v>2025</v>
      </c>
    </row>
    <row r="3451" spans="1:16" hidden="1" x14ac:dyDescent="0.25">
      <c r="A3451" s="96" t="s">
        <v>175</v>
      </c>
      <c r="B3451" s="96" t="s">
        <v>272</v>
      </c>
      <c r="C3451" s="96" t="s">
        <v>3272</v>
      </c>
      <c r="D3451" s="96" t="s">
        <v>223</v>
      </c>
      <c r="E3451" s="43">
        <v>45827</v>
      </c>
      <c r="F3451" s="43">
        <v>45918</v>
      </c>
      <c r="G3451" s="96" t="s">
        <v>92</v>
      </c>
      <c r="H3451" s="96" t="s">
        <v>7195</v>
      </c>
      <c r="I3451" s="96" t="s">
        <v>157</v>
      </c>
      <c r="J3451" s="96" t="s">
        <v>168</v>
      </c>
      <c r="K3451" s="96" t="s">
        <v>230</v>
      </c>
      <c r="L3451">
        <v>91</v>
      </c>
      <c r="M3451" t="s">
        <v>28</v>
      </c>
      <c r="N3451" t="s">
        <v>184</v>
      </c>
      <c r="O3451" t="s">
        <v>151</v>
      </c>
      <c r="P3451">
        <v>2025</v>
      </c>
    </row>
    <row r="3452" spans="1:16" x14ac:dyDescent="0.25">
      <c r="A3452" s="96" t="s">
        <v>2</v>
      </c>
      <c r="B3452" s="96" t="s">
        <v>196</v>
      </c>
      <c r="C3452" s="96" t="s">
        <v>3273</v>
      </c>
      <c r="D3452" s="96" t="s">
        <v>237</v>
      </c>
      <c r="E3452" s="43">
        <v>46140</v>
      </c>
      <c r="F3452" s="43">
        <v>46151</v>
      </c>
      <c r="G3452" s="96" t="s">
        <v>92</v>
      </c>
      <c r="H3452" s="96" t="s">
        <v>7196</v>
      </c>
      <c r="I3452" s="96" t="s">
        <v>157</v>
      </c>
      <c r="J3452" s="96" t="s">
        <v>177</v>
      </c>
      <c r="K3452" s="96" t="s">
        <v>246</v>
      </c>
      <c r="L3452">
        <v>11</v>
      </c>
      <c r="M3452" t="s">
        <v>15</v>
      </c>
      <c r="N3452" t="s">
        <v>37</v>
      </c>
      <c r="O3452" t="s">
        <v>152</v>
      </c>
      <c r="P3452">
        <v>2026</v>
      </c>
    </row>
    <row r="3453" spans="1:16" x14ac:dyDescent="0.25">
      <c r="A3453" s="96" t="s">
        <v>2</v>
      </c>
      <c r="B3453" s="96" t="s">
        <v>274</v>
      </c>
      <c r="C3453" s="96" t="s">
        <v>3274</v>
      </c>
      <c r="D3453" s="96" t="s">
        <v>203</v>
      </c>
      <c r="E3453" s="43">
        <v>46120</v>
      </c>
      <c r="F3453" s="43">
        <v>46146</v>
      </c>
      <c r="G3453" s="96" t="s">
        <v>92</v>
      </c>
      <c r="H3453" s="96" t="s">
        <v>7197</v>
      </c>
      <c r="I3453" s="96" t="s">
        <v>209</v>
      </c>
      <c r="J3453" s="96" t="s">
        <v>174</v>
      </c>
      <c r="K3453" s="96" t="s">
        <v>233</v>
      </c>
      <c r="L3453">
        <v>26</v>
      </c>
      <c r="M3453" t="s">
        <v>19</v>
      </c>
      <c r="N3453" t="s">
        <v>37</v>
      </c>
      <c r="O3453" t="s">
        <v>170</v>
      </c>
      <c r="P3453">
        <v>2026</v>
      </c>
    </row>
    <row r="3454" spans="1:16" hidden="1" x14ac:dyDescent="0.25">
      <c r="A3454" s="96" t="s">
        <v>2</v>
      </c>
      <c r="B3454" s="96" t="s">
        <v>322</v>
      </c>
      <c r="C3454" s="96" t="s">
        <v>3275</v>
      </c>
      <c r="D3454" s="96" t="s">
        <v>203</v>
      </c>
      <c r="E3454" s="43">
        <v>45844</v>
      </c>
      <c r="F3454" s="43">
        <v>45926</v>
      </c>
      <c r="G3454" s="96" t="s">
        <v>92</v>
      </c>
      <c r="H3454" s="96" t="s">
        <v>7198</v>
      </c>
      <c r="I3454" s="96" t="s">
        <v>225</v>
      </c>
      <c r="J3454" s="96" t="s">
        <v>172</v>
      </c>
      <c r="K3454" s="96" t="s">
        <v>246</v>
      </c>
      <c r="L3454">
        <v>82</v>
      </c>
      <c r="M3454" t="s">
        <v>28</v>
      </c>
      <c r="N3454" t="s">
        <v>187</v>
      </c>
      <c r="O3454" t="s">
        <v>150</v>
      </c>
      <c r="P3454">
        <v>2025</v>
      </c>
    </row>
    <row r="3455" spans="1:16" hidden="1" x14ac:dyDescent="0.25">
      <c r="A3455" s="96" t="s">
        <v>2</v>
      </c>
      <c r="B3455" s="96" t="s">
        <v>190</v>
      </c>
      <c r="C3455" s="96" t="s">
        <v>3276</v>
      </c>
      <c r="D3455" s="96" t="s">
        <v>40</v>
      </c>
      <c r="E3455" s="43">
        <v>45894</v>
      </c>
      <c r="F3455" s="43">
        <v>46007</v>
      </c>
      <c r="G3455" s="96" t="s">
        <v>92</v>
      </c>
      <c r="H3455" s="96" t="s">
        <v>7199</v>
      </c>
      <c r="I3455" s="96" t="s">
        <v>225</v>
      </c>
      <c r="J3455" s="96" t="s">
        <v>98</v>
      </c>
      <c r="K3455" s="96" t="s">
        <v>205</v>
      </c>
      <c r="L3455">
        <v>113</v>
      </c>
      <c r="M3455" t="s">
        <v>28</v>
      </c>
      <c r="N3455" t="s">
        <v>8</v>
      </c>
      <c r="O3455" t="s">
        <v>150</v>
      </c>
      <c r="P3455">
        <v>2025</v>
      </c>
    </row>
    <row r="3456" spans="1:16" x14ac:dyDescent="0.25">
      <c r="A3456" s="96" t="s">
        <v>2</v>
      </c>
      <c r="B3456" s="96" t="s">
        <v>219</v>
      </c>
      <c r="C3456" s="96" t="s">
        <v>3277</v>
      </c>
      <c r="D3456" s="96" t="s">
        <v>208</v>
      </c>
      <c r="E3456" s="43">
        <v>46058</v>
      </c>
      <c r="F3456" s="43">
        <v>46150</v>
      </c>
      <c r="G3456" s="96" t="s">
        <v>95</v>
      </c>
      <c r="H3456" s="96" t="s">
        <v>7200</v>
      </c>
      <c r="I3456" s="96" t="s">
        <v>204</v>
      </c>
      <c r="J3456" s="96" t="s">
        <v>172</v>
      </c>
      <c r="K3456" s="96" t="s">
        <v>205</v>
      </c>
      <c r="L3456">
        <v>92</v>
      </c>
      <c r="M3456" t="s">
        <v>28</v>
      </c>
      <c r="N3456" t="s">
        <v>32</v>
      </c>
      <c r="O3456" t="s">
        <v>149</v>
      </c>
      <c r="P3456">
        <v>2026</v>
      </c>
    </row>
    <row r="3457" spans="1:16" hidden="1" x14ac:dyDescent="0.25">
      <c r="A3457" s="96" t="s">
        <v>2</v>
      </c>
      <c r="B3457" s="96" t="s">
        <v>206</v>
      </c>
      <c r="C3457" s="96" t="s">
        <v>7201</v>
      </c>
      <c r="D3457" s="96" t="s">
        <v>192</v>
      </c>
      <c r="E3457" s="43">
        <v>45966</v>
      </c>
      <c r="F3457" s="43">
        <v>46008</v>
      </c>
      <c r="G3457" s="96" t="s">
        <v>90</v>
      </c>
      <c r="H3457" s="96" t="s">
        <v>7202</v>
      </c>
      <c r="I3457" s="96" t="s">
        <v>194</v>
      </c>
      <c r="J3457" s="96" t="s">
        <v>199</v>
      </c>
      <c r="K3457" s="96" t="s">
        <v>195</v>
      </c>
      <c r="L3457">
        <v>42</v>
      </c>
      <c r="M3457" t="s">
        <v>24</v>
      </c>
      <c r="N3457" t="s">
        <v>20</v>
      </c>
      <c r="O3457" t="s">
        <v>152</v>
      </c>
      <c r="P3457">
        <v>2025</v>
      </c>
    </row>
    <row r="3458" spans="1:16" x14ac:dyDescent="0.25">
      <c r="A3458" s="96" t="s">
        <v>2</v>
      </c>
      <c r="B3458" s="96" t="s">
        <v>290</v>
      </c>
      <c r="C3458" s="96" t="s">
        <v>3278</v>
      </c>
      <c r="D3458" s="96" t="s">
        <v>10</v>
      </c>
      <c r="E3458" s="43">
        <v>46053</v>
      </c>
      <c r="F3458" s="43">
        <v>46142</v>
      </c>
      <c r="G3458" s="96" t="s">
        <v>92</v>
      </c>
      <c r="H3458" s="96" t="s">
        <v>7203</v>
      </c>
      <c r="I3458" s="96" t="s">
        <v>228</v>
      </c>
      <c r="J3458" s="96" t="s">
        <v>98</v>
      </c>
      <c r="K3458" s="96" t="s">
        <v>195</v>
      </c>
      <c r="L3458">
        <v>89</v>
      </c>
      <c r="M3458" t="s">
        <v>28</v>
      </c>
      <c r="N3458" t="s">
        <v>29</v>
      </c>
      <c r="O3458" t="s">
        <v>149</v>
      </c>
      <c r="P3458">
        <v>2026</v>
      </c>
    </row>
    <row r="3459" spans="1:16" x14ac:dyDescent="0.25">
      <c r="A3459" s="96" t="s">
        <v>2</v>
      </c>
      <c r="B3459" s="96" t="s">
        <v>201</v>
      </c>
      <c r="C3459" s="96" t="s">
        <v>3279</v>
      </c>
      <c r="D3459" s="96" t="s">
        <v>237</v>
      </c>
      <c r="E3459" s="43">
        <v>46084</v>
      </c>
      <c r="F3459" s="43">
        <v>46149</v>
      </c>
      <c r="G3459" s="96" t="s">
        <v>92</v>
      </c>
      <c r="H3459" s="96" t="s">
        <v>7204</v>
      </c>
      <c r="I3459" s="96" t="s">
        <v>228</v>
      </c>
      <c r="J3459" s="96" t="s">
        <v>96</v>
      </c>
      <c r="K3459" s="96" t="s">
        <v>157</v>
      </c>
      <c r="L3459">
        <v>65</v>
      </c>
      <c r="M3459" t="s">
        <v>28</v>
      </c>
      <c r="N3459" t="s">
        <v>35</v>
      </c>
      <c r="O3459" t="s">
        <v>170</v>
      </c>
      <c r="P3459">
        <v>2026</v>
      </c>
    </row>
    <row r="3460" spans="1:16" hidden="1" x14ac:dyDescent="0.25">
      <c r="A3460" s="96" t="s">
        <v>2</v>
      </c>
      <c r="B3460" s="96" t="s">
        <v>206</v>
      </c>
      <c r="C3460" s="96" t="s">
        <v>3280</v>
      </c>
      <c r="D3460" s="96" t="s">
        <v>237</v>
      </c>
      <c r="E3460" s="43">
        <v>45825</v>
      </c>
      <c r="F3460" s="43">
        <v>45892</v>
      </c>
      <c r="G3460" s="96" t="s">
        <v>92</v>
      </c>
      <c r="H3460" s="96" t="s">
        <v>7205</v>
      </c>
      <c r="I3460" s="96" t="s">
        <v>228</v>
      </c>
      <c r="J3460" s="96" t="s">
        <v>97</v>
      </c>
      <c r="K3460" s="96" t="s">
        <v>246</v>
      </c>
      <c r="L3460">
        <v>67</v>
      </c>
      <c r="M3460" t="s">
        <v>28</v>
      </c>
      <c r="N3460" t="s">
        <v>184</v>
      </c>
      <c r="O3460" t="s">
        <v>152</v>
      </c>
      <c r="P3460">
        <v>2025</v>
      </c>
    </row>
    <row r="3461" spans="1:16" hidden="1" x14ac:dyDescent="0.25">
      <c r="A3461" s="96" t="s">
        <v>171</v>
      </c>
      <c r="B3461" s="96" t="s">
        <v>264</v>
      </c>
      <c r="C3461" s="96" t="s">
        <v>3281</v>
      </c>
      <c r="D3461" s="96" t="s">
        <v>223</v>
      </c>
      <c r="E3461" s="43">
        <v>46012</v>
      </c>
      <c r="F3461" s="43">
        <v>46068</v>
      </c>
      <c r="G3461" s="96" t="s">
        <v>92</v>
      </c>
      <c r="H3461" s="96" t="s">
        <v>7206</v>
      </c>
      <c r="I3461" s="96" t="s">
        <v>9</v>
      </c>
      <c r="J3461" s="96" t="s">
        <v>165</v>
      </c>
      <c r="K3461" s="96" t="s">
        <v>205</v>
      </c>
      <c r="L3461">
        <v>56</v>
      </c>
      <c r="M3461" t="s">
        <v>24</v>
      </c>
      <c r="N3461" t="s">
        <v>25</v>
      </c>
      <c r="O3461" t="s">
        <v>152</v>
      </c>
      <c r="P3461">
        <v>2025</v>
      </c>
    </row>
    <row r="3462" spans="1:16" hidden="1" x14ac:dyDescent="0.25">
      <c r="A3462" s="96" t="s">
        <v>171</v>
      </c>
      <c r="B3462" s="96" t="s">
        <v>322</v>
      </c>
      <c r="C3462" s="96" t="s">
        <v>7207</v>
      </c>
      <c r="D3462" s="96" t="s">
        <v>40</v>
      </c>
      <c r="E3462" s="43">
        <v>45839</v>
      </c>
      <c r="F3462" s="43">
        <v>45862</v>
      </c>
      <c r="G3462" s="96" t="s">
        <v>92</v>
      </c>
      <c r="H3462" s="96" t="s">
        <v>7208</v>
      </c>
      <c r="I3462" s="96" t="s">
        <v>225</v>
      </c>
      <c r="J3462" s="96" t="s">
        <v>172</v>
      </c>
      <c r="K3462" s="96" t="s">
        <v>205</v>
      </c>
      <c r="L3462">
        <v>23</v>
      </c>
      <c r="M3462" t="s">
        <v>19</v>
      </c>
      <c r="N3462" t="s">
        <v>187</v>
      </c>
      <c r="O3462" t="s">
        <v>150</v>
      </c>
      <c r="P3462">
        <v>2025</v>
      </c>
    </row>
    <row r="3463" spans="1:16" hidden="1" x14ac:dyDescent="0.25">
      <c r="A3463" s="96" t="s">
        <v>2</v>
      </c>
      <c r="B3463" s="96" t="s">
        <v>272</v>
      </c>
      <c r="C3463" s="96" t="s">
        <v>7209</v>
      </c>
      <c r="D3463" s="96" t="s">
        <v>40</v>
      </c>
      <c r="E3463" s="43">
        <v>45891</v>
      </c>
      <c r="F3463" s="43">
        <v>46004</v>
      </c>
      <c r="G3463" s="96" t="s">
        <v>92</v>
      </c>
      <c r="H3463" s="96" t="s">
        <v>7210</v>
      </c>
      <c r="I3463" s="96" t="s">
        <v>228</v>
      </c>
      <c r="J3463" s="96" t="s">
        <v>94</v>
      </c>
      <c r="K3463" s="96" t="s">
        <v>157</v>
      </c>
      <c r="L3463">
        <v>113</v>
      </c>
      <c r="M3463" t="s">
        <v>28</v>
      </c>
      <c r="N3463" t="s">
        <v>8</v>
      </c>
      <c r="O3463" t="s">
        <v>151</v>
      </c>
      <c r="P3463">
        <v>2025</v>
      </c>
    </row>
    <row r="3464" spans="1:16" hidden="1" x14ac:dyDescent="0.25">
      <c r="A3464" s="96" t="s">
        <v>171</v>
      </c>
      <c r="B3464" s="96" t="s">
        <v>190</v>
      </c>
      <c r="C3464" s="96" t="s">
        <v>7211</v>
      </c>
      <c r="D3464" s="96" t="s">
        <v>215</v>
      </c>
      <c r="E3464" s="43">
        <v>45767</v>
      </c>
      <c r="F3464" s="43">
        <v>45816</v>
      </c>
      <c r="G3464" s="96" t="s">
        <v>90</v>
      </c>
      <c r="H3464" s="96" t="s">
        <v>7212</v>
      </c>
      <c r="I3464" s="96" t="s">
        <v>225</v>
      </c>
      <c r="J3464" s="96" t="s">
        <v>93</v>
      </c>
      <c r="K3464" s="96" t="s">
        <v>205</v>
      </c>
      <c r="L3464">
        <v>49</v>
      </c>
      <c r="M3464" t="s">
        <v>24</v>
      </c>
      <c r="N3464" t="s">
        <v>185</v>
      </c>
      <c r="O3464" t="s">
        <v>150</v>
      </c>
      <c r="P3464">
        <v>2025</v>
      </c>
    </row>
    <row r="3465" spans="1:16" hidden="1" x14ac:dyDescent="0.25">
      <c r="A3465" s="96" t="s">
        <v>2</v>
      </c>
      <c r="B3465" s="96" t="s">
        <v>257</v>
      </c>
      <c r="C3465" s="96" t="s">
        <v>3282</v>
      </c>
      <c r="D3465" s="96" t="s">
        <v>203</v>
      </c>
      <c r="E3465" s="43">
        <v>45905</v>
      </c>
      <c r="F3465" s="43">
        <v>45965</v>
      </c>
      <c r="G3465" s="96" t="s">
        <v>90</v>
      </c>
      <c r="H3465" s="96" t="s">
        <v>7213</v>
      </c>
      <c r="I3465" s="96" t="s">
        <v>204</v>
      </c>
      <c r="J3465" s="96" t="s">
        <v>169</v>
      </c>
      <c r="K3465" s="96" t="s">
        <v>210</v>
      </c>
      <c r="L3465">
        <v>60</v>
      </c>
      <c r="M3465" t="s">
        <v>24</v>
      </c>
      <c r="N3465" t="s">
        <v>12</v>
      </c>
      <c r="O3465" t="s">
        <v>151</v>
      </c>
      <c r="P3465">
        <v>2025</v>
      </c>
    </row>
    <row r="3466" spans="1:16" hidden="1" x14ac:dyDescent="0.25">
      <c r="A3466" s="96" t="s">
        <v>175</v>
      </c>
      <c r="B3466" s="96" t="s">
        <v>253</v>
      </c>
      <c r="C3466" s="96" t="s">
        <v>7214</v>
      </c>
      <c r="D3466" s="96" t="s">
        <v>223</v>
      </c>
      <c r="E3466" s="43">
        <v>45878</v>
      </c>
      <c r="F3466" s="43">
        <v>45924</v>
      </c>
      <c r="G3466" s="96" t="s">
        <v>90</v>
      </c>
      <c r="H3466" s="96" t="s">
        <v>7215</v>
      </c>
      <c r="I3466" s="96" t="s">
        <v>209</v>
      </c>
      <c r="J3466" s="96" t="s">
        <v>98</v>
      </c>
      <c r="K3466" s="96" t="s">
        <v>246</v>
      </c>
      <c r="L3466">
        <v>46</v>
      </c>
      <c r="M3466" t="s">
        <v>24</v>
      </c>
      <c r="N3466" t="s">
        <v>8</v>
      </c>
      <c r="O3466" t="s">
        <v>152</v>
      </c>
      <c r="P3466">
        <v>2025</v>
      </c>
    </row>
    <row r="3467" spans="1:16" x14ac:dyDescent="0.25">
      <c r="A3467" s="96" t="s">
        <v>2</v>
      </c>
      <c r="B3467" s="96" t="s">
        <v>274</v>
      </c>
      <c r="C3467" s="96" t="s">
        <v>3283</v>
      </c>
      <c r="D3467" s="96" t="s">
        <v>10</v>
      </c>
      <c r="E3467" s="43">
        <v>46074</v>
      </c>
      <c r="F3467" s="43">
        <v>46127</v>
      </c>
      <c r="G3467" s="96" t="s">
        <v>90</v>
      </c>
      <c r="H3467" s="96" t="s">
        <v>7216</v>
      </c>
      <c r="I3467" s="96" t="s">
        <v>204</v>
      </c>
      <c r="J3467" s="96" t="s">
        <v>176</v>
      </c>
      <c r="K3467" s="96" t="s">
        <v>233</v>
      </c>
      <c r="L3467">
        <v>53</v>
      </c>
      <c r="M3467" t="s">
        <v>24</v>
      </c>
      <c r="N3467" t="s">
        <v>32</v>
      </c>
      <c r="O3467" t="s">
        <v>170</v>
      </c>
      <c r="P3467">
        <v>2026</v>
      </c>
    </row>
    <row r="3468" spans="1:16" x14ac:dyDescent="0.25">
      <c r="A3468" s="96" t="s">
        <v>2</v>
      </c>
      <c r="B3468" s="96" t="s">
        <v>317</v>
      </c>
      <c r="C3468" s="96" t="s">
        <v>7217</v>
      </c>
      <c r="D3468" s="96" t="s">
        <v>34</v>
      </c>
      <c r="E3468" s="43">
        <v>46045</v>
      </c>
      <c r="F3468" s="43">
        <v>46093</v>
      </c>
      <c r="G3468" s="96" t="s">
        <v>92</v>
      </c>
      <c r="H3468" s="96" t="s">
        <v>7218</v>
      </c>
      <c r="I3468" s="96" t="s">
        <v>228</v>
      </c>
      <c r="J3468" s="96" t="s">
        <v>93</v>
      </c>
      <c r="K3468" s="96" t="s">
        <v>195</v>
      </c>
      <c r="L3468">
        <v>48</v>
      </c>
      <c r="M3468" t="s">
        <v>24</v>
      </c>
      <c r="N3468" t="s">
        <v>29</v>
      </c>
      <c r="O3468" t="s">
        <v>170</v>
      </c>
      <c r="P3468">
        <v>2026</v>
      </c>
    </row>
    <row r="3469" spans="1:16" x14ac:dyDescent="0.25">
      <c r="A3469" s="96" t="s">
        <v>2</v>
      </c>
      <c r="B3469" s="96" t="s">
        <v>288</v>
      </c>
      <c r="C3469" s="96" t="s">
        <v>3284</v>
      </c>
      <c r="D3469" s="96" t="s">
        <v>40</v>
      </c>
      <c r="E3469" s="43">
        <v>46070</v>
      </c>
      <c r="F3469" s="43">
        <v>46148</v>
      </c>
      <c r="G3469" s="96" t="s">
        <v>92</v>
      </c>
      <c r="H3469" s="96" t="s">
        <v>7219</v>
      </c>
      <c r="I3469" s="96" t="s">
        <v>225</v>
      </c>
      <c r="J3469" s="96" t="s">
        <v>177</v>
      </c>
      <c r="K3469" s="96" t="s">
        <v>217</v>
      </c>
      <c r="L3469">
        <v>78</v>
      </c>
      <c r="M3469" t="s">
        <v>28</v>
      </c>
      <c r="N3469" t="s">
        <v>32</v>
      </c>
      <c r="O3469" t="s">
        <v>170</v>
      </c>
      <c r="P3469">
        <v>2026</v>
      </c>
    </row>
    <row r="3470" spans="1:16" hidden="1" x14ac:dyDescent="0.25">
      <c r="A3470" s="96" t="s">
        <v>189</v>
      </c>
      <c r="B3470" s="96" t="s">
        <v>240</v>
      </c>
      <c r="C3470" s="96" t="s">
        <v>7220</v>
      </c>
      <c r="D3470" s="96" t="s">
        <v>223</v>
      </c>
      <c r="E3470" s="43">
        <v>45746</v>
      </c>
      <c r="F3470" s="43">
        <v>45810</v>
      </c>
      <c r="G3470" s="96" t="s">
        <v>90</v>
      </c>
      <c r="H3470" s="96" t="s">
        <v>7221</v>
      </c>
      <c r="I3470" s="96" t="s">
        <v>194</v>
      </c>
      <c r="J3470" s="96" t="s">
        <v>97</v>
      </c>
      <c r="K3470" s="96" t="s">
        <v>210</v>
      </c>
      <c r="L3470">
        <v>64</v>
      </c>
      <c r="M3470" t="s">
        <v>28</v>
      </c>
      <c r="N3470" t="s">
        <v>186</v>
      </c>
      <c r="O3470" t="s">
        <v>149</v>
      </c>
      <c r="P3470">
        <v>2025</v>
      </c>
    </row>
    <row r="3471" spans="1:16" x14ac:dyDescent="0.25">
      <c r="A3471" s="96" t="s">
        <v>2</v>
      </c>
      <c r="B3471" s="96" t="s">
        <v>374</v>
      </c>
      <c r="C3471" s="96" t="s">
        <v>3285</v>
      </c>
      <c r="D3471" s="96" t="s">
        <v>215</v>
      </c>
      <c r="E3471" s="43">
        <v>46043</v>
      </c>
      <c r="F3471" s="43">
        <v>46100</v>
      </c>
      <c r="G3471" s="96" t="s">
        <v>90</v>
      </c>
      <c r="H3471" s="96" t="s">
        <v>7222</v>
      </c>
      <c r="I3471" s="96" t="s">
        <v>157</v>
      </c>
      <c r="J3471" s="96" t="s">
        <v>165</v>
      </c>
      <c r="K3471" s="96" t="s">
        <v>233</v>
      </c>
      <c r="L3471">
        <v>57</v>
      </c>
      <c r="M3471" t="s">
        <v>24</v>
      </c>
      <c r="N3471" t="s">
        <v>29</v>
      </c>
      <c r="O3471" t="s">
        <v>150</v>
      </c>
      <c r="P3471">
        <v>2026</v>
      </c>
    </row>
    <row r="3472" spans="1:16" hidden="1" x14ac:dyDescent="0.25">
      <c r="A3472" s="96" t="s">
        <v>2</v>
      </c>
      <c r="B3472" s="96" t="s">
        <v>257</v>
      </c>
      <c r="C3472" s="96" t="s">
        <v>7223</v>
      </c>
      <c r="D3472" s="96" t="s">
        <v>215</v>
      </c>
      <c r="E3472" s="43">
        <v>45855</v>
      </c>
      <c r="F3472" s="43">
        <v>45953</v>
      </c>
      <c r="G3472" s="96" t="s">
        <v>92</v>
      </c>
      <c r="H3472" s="96" t="s">
        <v>7224</v>
      </c>
      <c r="I3472" s="96" t="s">
        <v>204</v>
      </c>
      <c r="J3472" s="96" t="s">
        <v>172</v>
      </c>
      <c r="K3472" s="96" t="s">
        <v>200</v>
      </c>
      <c r="L3472">
        <v>98</v>
      </c>
      <c r="M3472" t="s">
        <v>28</v>
      </c>
      <c r="N3472" t="s">
        <v>187</v>
      </c>
      <c r="O3472" t="s">
        <v>151</v>
      </c>
      <c r="P3472">
        <v>2025</v>
      </c>
    </row>
    <row r="3473" spans="1:16" hidden="1" x14ac:dyDescent="0.25">
      <c r="A3473" s="96" t="s">
        <v>2</v>
      </c>
      <c r="B3473" s="96" t="s">
        <v>231</v>
      </c>
      <c r="C3473" s="96" t="s">
        <v>3286</v>
      </c>
      <c r="D3473" s="96" t="s">
        <v>223</v>
      </c>
      <c r="E3473" s="43">
        <v>45809</v>
      </c>
      <c r="F3473" s="43">
        <v>45856</v>
      </c>
      <c r="G3473" s="96" t="s">
        <v>92</v>
      </c>
      <c r="H3473" s="96" t="s">
        <v>7225</v>
      </c>
      <c r="I3473" s="96" t="s">
        <v>204</v>
      </c>
      <c r="J3473" s="96" t="s">
        <v>93</v>
      </c>
      <c r="K3473" s="96" t="s">
        <v>195</v>
      </c>
      <c r="L3473">
        <v>47</v>
      </c>
      <c r="M3473" t="s">
        <v>24</v>
      </c>
      <c r="N3473" t="s">
        <v>184</v>
      </c>
      <c r="O3473" t="s">
        <v>170</v>
      </c>
      <c r="P3473">
        <v>2025</v>
      </c>
    </row>
    <row r="3474" spans="1:16" x14ac:dyDescent="0.25">
      <c r="A3474" s="96" t="s">
        <v>2</v>
      </c>
      <c r="B3474" s="96" t="s">
        <v>305</v>
      </c>
      <c r="C3474" s="96" t="s">
        <v>7226</v>
      </c>
      <c r="D3474" s="96" t="s">
        <v>40</v>
      </c>
      <c r="E3474" s="43">
        <v>46150</v>
      </c>
      <c r="F3474" s="43">
        <v>46149</v>
      </c>
      <c r="G3474" s="96" t="s">
        <v>90</v>
      </c>
      <c r="H3474" s="96" t="s">
        <v>7227</v>
      </c>
      <c r="I3474" s="96" t="s">
        <v>209</v>
      </c>
      <c r="J3474" s="96" t="s">
        <v>172</v>
      </c>
      <c r="K3474" s="96" t="s">
        <v>246</v>
      </c>
      <c r="L3474">
        <v>-1</v>
      </c>
      <c r="M3474" t="s">
        <v>11</v>
      </c>
      <c r="N3474" t="s">
        <v>183</v>
      </c>
      <c r="O3474" t="s">
        <v>170</v>
      </c>
      <c r="P3474">
        <v>2026</v>
      </c>
    </row>
    <row r="3475" spans="1:16" x14ac:dyDescent="0.25">
      <c r="A3475" s="96" t="s">
        <v>2</v>
      </c>
      <c r="B3475" s="96" t="s">
        <v>201</v>
      </c>
      <c r="C3475" s="96" t="s">
        <v>3287</v>
      </c>
      <c r="D3475" s="96" t="s">
        <v>237</v>
      </c>
      <c r="E3475" s="43">
        <v>46128</v>
      </c>
      <c r="F3475" s="43">
        <v>46148</v>
      </c>
      <c r="G3475" s="96" t="s">
        <v>90</v>
      </c>
      <c r="H3475" s="96" t="s">
        <v>7228</v>
      </c>
      <c r="I3475" s="96" t="s">
        <v>228</v>
      </c>
      <c r="J3475" s="96" t="s">
        <v>199</v>
      </c>
      <c r="K3475" s="96" t="s">
        <v>205</v>
      </c>
      <c r="L3475">
        <v>20</v>
      </c>
      <c r="M3475" t="s">
        <v>19</v>
      </c>
      <c r="N3475" t="s">
        <v>37</v>
      </c>
      <c r="O3475" t="s">
        <v>170</v>
      </c>
      <c r="P3475">
        <v>2026</v>
      </c>
    </row>
    <row r="3476" spans="1:16" x14ac:dyDescent="0.25">
      <c r="A3476" s="96" t="s">
        <v>2</v>
      </c>
      <c r="B3476" s="96" t="s">
        <v>196</v>
      </c>
      <c r="C3476" s="96" t="s">
        <v>7229</v>
      </c>
      <c r="D3476" s="96" t="s">
        <v>208</v>
      </c>
      <c r="E3476" s="43">
        <v>46111</v>
      </c>
      <c r="F3476" s="43">
        <v>46147</v>
      </c>
      <c r="G3476" s="96" t="s">
        <v>92</v>
      </c>
      <c r="H3476" s="96" t="s">
        <v>7230</v>
      </c>
      <c r="I3476" s="96" t="s">
        <v>209</v>
      </c>
      <c r="J3476" s="96" t="s">
        <v>216</v>
      </c>
      <c r="K3476" s="96" t="s">
        <v>217</v>
      </c>
      <c r="L3476">
        <v>36</v>
      </c>
      <c r="M3476" t="s">
        <v>24</v>
      </c>
      <c r="N3476" t="s">
        <v>35</v>
      </c>
      <c r="O3476" t="s">
        <v>152</v>
      </c>
      <c r="P3476">
        <v>2026</v>
      </c>
    </row>
    <row r="3477" spans="1:16" hidden="1" x14ac:dyDescent="0.25">
      <c r="A3477" s="96" t="s">
        <v>2</v>
      </c>
      <c r="B3477" s="96" t="s">
        <v>221</v>
      </c>
      <c r="C3477" s="96" t="s">
        <v>3288</v>
      </c>
      <c r="D3477" s="96" t="s">
        <v>223</v>
      </c>
      <c r="E3477" s="43">
        <v>45724</v>
      </c>
      <c r="F3477" s="43">
        <v>45737</v>
      </c>
      <c r="G3477" s="96" t="s">
        <v>92</v>
      </c>
      <c r="H3477" s="96" t="s">
        <v>7231</v>
      </c>
      <c r="I3477" s="96" t="s">
        <v>225</v>
      </c>
      <c r="J3477" s="96" t="s">
        <v>93</v>
      </c>
      <c r="K3477" s="96" t="s">
        <v>205</v>
      </c>
      <c r="L3477">
        <v>13</v>
      </c>
      <c r="M3477" t="s">
        <v>15</v>
      </c>
      <c r="N3477" t="s">
        <v>186</v>
      </c>
      <c r="O3477" t="s">
        <v>170</v>
      </c>
      <c r="P3477">
        <v>2025</v>
      </c>
    </row>
    <row r="3478" spans="1:16" x14ac:dyDescent="0.25">
      <c r="A3478" s="96" t="s">
        <v>21</v>
      </c>
      <c r="B3478" s="96" t="s">
        <v>196</v>
      </c>
      <c r="C3478" s="96" t="s">
        <v>3289</v>
      </c>
      <c r="D3478" s="96" t="s">
        <v>237</v>
      </c>
      <c r="E3478" s="43">
        <v>46095</v>
      </c>
      <c r="F3478" s="43">
        <v>46128</v>
      </c>
      <c r="G3478" s="96" t="s">
        <v>92</v>
      </c>
      <c r="H3478" s="96" t="s">
        <v>7232</v>
      </c>
      <c r="I3478" s="96" t="s">
        <v>194</v>
      </c>
      <c r="J3478" s="96" t="s">
        <v>216</v>
      </c>
      <c r="K3478" s="96" t="s">
        <v>230</v>
      </c>
      <c r="L3478">
        <v>33</v>
      </c>
      <c r="M3478" t="s">
        <v>24</v>
      </c>
      <c r="N3478" t="s">
        <v>35</v>
      </c>
      <c r="O3478" t="s">
        <v>152</v>
      </c>
      <c r="P3478">
        <v>2026</v>
      </c>
    </row>
    <row r="3479" spans="1:16" hidden="1" x14ac:dyDescent="0.25">
      <c r="A3479" s="96" t="s">
        <v>2</v>
      </c>
      <c r="B3479" s="96" t="s">
        <v>211</v>
      </c>
      <c r="C3479" s="96" t="s">
        <v>3290</v>
      </c>
      <c r="D3479" s="96" t="s">
        <v>215</v>
      </c>
      <c r="E3479" s="43">
        <v>45691</v>
      </c>
      <c r="F3479" s="43">
        <v>45785</v>
      </c>
      <c r="G3479" s="96" t="s">
        <v>92</v>
      </c>
      <c r="H3479" s="96" t="s">
        <v>3205</v>
      </c>
      <c r="I3479" s="96" t="s">
        <v>157</v>
      </c>
      <c r="J3479" s="96" t="s">
        <v>216</v>
      </c>
      <c r="K3479" s="96" t="s">
        <v>233</v>
      </c>
      <c r="L3479">
        <v>94</v>
      </c>
      <c r="M3479" t="s">
        <v>28</v>
      </c>
      <c r="N3479" t="s">
        <v>188</v>
      </c>
      <c r="O3479" t="s">
        <v>170</v>
      </c>
      <c r="P3479">
        <v>2025</v>
      </c>
    </row>
    <row r="3480" spans="1:16" x14ac:dyDescent="0.25">
      <c r="A3480" s="96" t="s">
        <v>175</v>
      </c>
      <c r="B3480" s="96" t="s">
        <v>269</v>
      </c>
      <c r="C3480" s="96" t="s">
        <v>7233</v>
      </c>
      <c r="D3480" s="96" t="s">
        <v>237</v>
      </c>
      <c r="E3480" s="43">
        <v>46109</v>
      </c>
      <c r="F3480" s="43">
        <v>46136</v>
      </c>
      <c r="G3480" s="96" t="s">
        <v>92</v>
      </c>
      <c r="H3480" s="96" t="s">
        <v>3207</v>
      </c>
      <c r="I3480" s="96" t="s">
        <v>228</v>
      </c>
      <c r="J3480" s="96" t="s">
        <v>169</v>
      </c>
      <c r="K3480" s="96" t="s">
        <v>205</v>
      </c>
      <c r="L3480">
        <v>27</v>
      </c>
      <c r="M3480" t="s">
        <v>19</v>
      </c>
      <c r="N3480" t="s">
        <v>35</v>
      </c>
      <c r="O3480" t="s">
        <v>152</v>
      </c>
      <c r="P3480">
        <v>2026</v>
      </c>
    </row>
    <row r="3481" spans="1:16" hidden="1" x14ac:dyDescent="0.25">
      <c r="A3481" s="96" t="s">
        <v>2</v>
      </c>
      <c r="B3481" s="96" t="s">
        <v>211</v>
      </c>
      <c r="C3481" s="96" t="s">
        <v>7234</v>
      </c>
      <c r="D3481" s="96" t="s">
        <v>203</v>
      </c>
      <c r="E3481" s="43">
        <v>45801</v>
      </c>
      <c r="F3481" s="43">
        <v>45819</v>
      </c>
      <c r="G3481" s="96" t="s">
        <v>90</v>
      </c>
      <c r="H3481" s="96" t="s">
        <v>7235</v>
      </c>
      <c r="I3481" s="96" t="s">
        <v>204</v>
      </c>
      <c r="J3481" s="96" t="s">
        <v>97</v>
      </c>
      <c r="K3481" s="96" t="s">
        <v>205</v>
      </c>
      <c r="L3481">
        <v>18</v>
      </c>
      <c r="M3481" t="s">
        <v>19</v>
      </c>
      <c r="N3481" t="s">
        <v>182</v>
      </c>
      <c r="O3481" t="s">
        <v>170</v>
      </c>
      <c r="P3481">
        <v>2025</v>
      </c>
    </row>
    <row r="3482" spans="1:16" hidden="1" x14ac:dyDescent="0.25">
      <c r="A3482" s="96" t="s">
        <v>2</v>
      </c>
      <c r="B3482" s="96" t="s">
        <v>211</v>
      </c>
      <c r="C3482" s="96" t="s">
        <v>3291</v>
      </c>
      <c r="D3482" s="96" t="s">
        <v>203</v>
      </c>
      <c r="E3482" s="43">
        <v>45674</v>
      </c>
      <c r="F3482" s="43">
        <v>45776</v>
      </c>
      <c r="G3482" s="96" t="s">
        <v>90</v>
      </c>
      <c r="H3482" s="96" t="s">
        <v>7236</v>
      </c>
      <c r="I3482" s="96" t="s">
        <v>225</v>
      </c>
      <c r="J3482" s="96" t="s">
        <v>176</v>
      </c>
      <c r="K3482" s="96" t="s">
        <v>217</v>
      </c>
      <c r="L3482">
        <v>102</v>
      </c>
      <c r="M3482" t="s">
        <v>28</v>
      </c>
      <c r="N3482" t="s">
        <v>181</v>
      </c>
      <c r="O3482" t="s">
        <v>170</v>
      </c>
      <c r="P3482">
        <v>2025</v>
      </c>
    </row>
    <row r="3483" spans="1:16" hidden="1" x14ac:dyDescent="0.25">
      <c r="A3483" s="96" t="s">
        <v>21</v>
      </c>
      <c r="B3483" s="96" t="s">
        <v>247</v>
      </c>
      <c r="C3483" s="96" t="s">
        <v>3292</v>
      </c>
      <c r="D3483" s="96" t="s">
        <v>192</v>
      </c>
      <c r="E3483" s="43">
        <v>45801</v>
      </c>
      <c r="F3483" s="43">
        <v>45883</v>
      </c>
      <c r="G3483" s="96" t="s">
        <v>92</v>
      </c>
      <c r="H3483" s="96" t="s">
        <v>7237</v>
      </c>
      <c r="I3483" s="96" t="s">
        <v>9</v>
      </c>
      <c r="J3483" s="96" t="s">
        <v>216</v>
      </c>
      <c r="K3483" s="96" t="s">
        <v>157</v>
      </c>
      <c r="L3483">
        <v>82</v>
      </c>
      <c r="M3483" t="s">
        <v>28</v>
      </c>
      <c r="N3483" t="s">
        <v>182</v>
      </c>
      <c r="O3483" t="s">
        <v>150</v>
      </c>
      <c r="P3483">
        <v>2025</v>
      </c>
    </row>
    <row r="3484" spans="1:16" hidden="1" x14ac:dyDescent="0.25">
      <c r="A3484" s="96" t="s">
        <v>2</v>
      </c>
      <c r="B3484" s="96" t="s">
        <v>211</v>
      </c>
      <c r="C3484" s="96" t="s">
        <v>7238</v>
      </c>
      <c r="D3484" s="96" t="s">
        <v>223</v>
      </c>
      <c r="E3484" s="43">
        <v>45822</v>
      </c>
      <c r="F3484" s="43">
        <v>45932</v>
      </c>
      <c r="G3484" s="96" t="s">
        <v>90</v>
      </c>
      <c r="H3484" s="96" t="s">
        <v>7239</v>
      </c>
      <c r="I3484" s="96" t="s">
        <v>225</v>
      </c>
      <c r="J3484" s="96" t="s">
        <v>229</v>
      </c>
      <c r="K3484" s="96" t="s">
        <v>217</v>
      </c>
      <c r="L3484">
        <v>110</v>
      </c>
      <c r="M3484" t="s">
        <v>28</v>
      </c>
      <c r="N3484" t="s">
        <v>184</v>
      </c>
      <c r="O3484" t="s">
        <v>170</v>
      </c>
      <c r="P3484">
        <v>2025</v>
      </c>
    </row>
    <row r="3485" spans="1:16" hidden="1" x14ac:dyDescent="0.25">
      <c r="A3485" s="96" t="s">
        <v>2</v>
      </c>
      <c r="B3485" s="96" t="s">
        <v>253</v>
      </c>
      <c r="C3485" s="96" t="s">
        <v>3293</v>
      </c>
      <c r="D3485" s="96" t="s">
        <v>14</v>
      </c>
      <c r="E3485" s="43">
        <v>45755</v>
      </c>
      <c r="F3485" s="43">
        <v>45818</v>
      </c>
      <c r="G3485" s="96" t="s">
        <v>90</v>
      </c>
      <c r="H3485" s="96" t="s">
        <v>7240</v>
      </c>
      <c r="I3485" s="96" t="s">
        <v>228</v>
      </c>
      <c r="J3485" s="96" t="s">
        <v>98</v>
      </c>
      <c r="K3485" s="96" t="s">
        <v>157</v>
      </c>
      <c r="L3485">
        <v>63</v>
      </c>
      <c r="M3485" t="s">
        <v>28</v>
      </c>
      <c r="N3485" t="s">
        <v>185</v>
      </c>
      <c r="O3485" t="s">
        <v>152</v>
      </c>
      <c r="P3485">
        <v>2025</v>
      </c>
    </row>
    <row r="3486" spans="1:16" hidden="1" x14ac:dyDescent="0.25">
      <c r="A3486" s="96" t="s">
        <v>2</v>
      </c>
      <c r="B3486" s="96" t="s">
        <v>272</v>
      </c>
      <c r="C3486" s="96" t="s">
        <v>3294</v>
      </c>
      <c r="D3486" s="96" t="s">
        <v>10</v>
      </c>
      <c r="E3486" s="43">
        <v>45713</v>
      </c>
      <c r="F3486" s="43">
        <v>45764</v>
      </c>
      <c r="G3486" s="96" t="s">
        <v>90</v>
      </c>
      <c r="H3486" s="96" t="s">
        <v>7241</v>
      </c>
      <c r="I3486" s="96" t="s">
        <v>228</v>
      </c>
      <c r="J3486" s="96" t="s">
        <v>165</v>
      </c>
      <c r="K3486" s="96" t="s">
        <v>233</v>
      </c>
      <c r="L3486">
        <v>51</v>
      </c>
      <c r="M3486" t="s">
        <v>24</v>
      </c>
      <c r="N3486" t="s">
        <v>188</v>
      </c>
      <c r="O3486" t="s">
        <v>151</v>
      </c>
      <c r="P3486">
        <v>2025</v>
      </c>
    </row>
    <row r="3487" spans="1:16" hidden="1" x14ac:dyDescent="0.25">
      <c r="A3487" s="96" t="s">
        <v>2</v>
      </c>
      <c r="B3487" s="96" t="s">
        <v>231</v>
      </c>
      <c r="C3487" s="96" t="s">
        <v>3295</v>
      </c>
      <c r="D3487" s="96" t="s">
        <v>223</v>
      </c>
      <c r="E3487" s="43">
        <v>45715</v>
      </c>
      <c r="F3487" s="43">
        <v>45764</v>
      </c>
      <c r="G3487" s="96" t="s">
        <v>90</v>
      </c>
      <c r="H3487" s="96" t="s">
        <v>7242</v>
      </c>
      <c r="I3487" s="96" t="s">
        <v>209</v>
      </c>
      <c r="J3487" s="96" t="s">
        <v>168</v>
      </c>
      <c r="K3487" s="96" t="s">
        <v>233</v>
      </c>
      <c r="L3487">
        <v>49</v>
      </c>
      <c r="M3487" t="s">
        <v>24</v>
      </c>
      <c r="N3487" t="s">
        <v>188</v>
      </c>
      <c r="O3487" t="s">
        <v>170</v>
      </c>
      <c r="P3487">
        <v>2025</v>
      </c>
    </row>
    <row r="3488" spans="1:16" x14ac:dyDescent="0.25">
      <c r="A3488" s="96" t="s">
        <v>21</v>
      </c>
      <c r="B3488" s="96" t="s">
        <v>269</v>
      </c>
      <c r="C3488" s="96" t="s">
        <v>7243</v>
      </c>
      <c r="D3488" s="96" t="s">
        <v>14</v>
      </c>
      <c r="E3488" s="43">
        <v>46131</v>
      </c>
      <c r="F3488" s="43">
        <v>46146</v>
      </c>
      <c r="G3488" s="96" t="s">
        <v>92</v>
      </c>
      <c r="H3488" s="96" t="s">
        <v>3213</v>
      </c>
      <c r="I3488" s="96" t="s">
        <v>225</v>
      </c>
      <c r="J3488" s="96" t="s">
        <v>169</v>
      </c>
      <c r="K3488" s="96" t="s">
        <v>205</v>
      </c>
      <c r="L3488">
        <v>15</v>
      </c>
      <c r="M3488" t="s">
        <v>19</v>
      </c>
      <c r="N3488" t="s">
        <v>37</v>
      </c>
      <c r="O3488" t="s">
        <v>152</v>
      </c>
      <c r="P3488">
        <v>2026</v>
      </c>
    </row>
    <row r="3489" spans="1:16" hidden="1" x14ac:dyDescent="0.25">
      <c r="A3489" s="96" t="s">
        <v>2</v>
      </c>
      <c r="B3489" s="96" t="s">
        <v>257</v>
      </c>
      <c r="C3489" s="96" t="s">
        <v>3296</v>
      </c>
      <c r="D3489" s="96" t="s">
        <v>215</v>
      </c>
      <c r="E3489" s="43">
        <v>45844</v>
      </c>
      <c r="F3489" s="43">
        <v>45930</v>
      </c>
      <c r="G3489" s="96" t="s">
        <v>92</v>
      </c>
      <c r="H3489" s="96" t="s">
        <v>7244</v>
      </c>
      <c r="I3489" s="96" t="s">
        <v>157</v>
      </c>
      <c r="J3489" s="96" t="s">
        <v>96</v>
      </c>
      <c r="K3489" s="96" t="s">
        <v>230</v>
      </c>
      <c r="L3489">
        <v>86</v>
      </c>
      <c r="M3489" t="s">
        <v>28</v>
      </c>
      <c r="N3489" t="s">
        <v>187</v>
      </c>
      <c r="O3489" t="s">
        <v>151</v>
      </c>
      <c r="P3489">
        <v>2025</v>
      </c>
    </row>
    <row r="3490" spans="1:16" x14ac:dyDescent="0.25">
      <c r="A3490" s="96" t="s">
        <v>189</v>
      </c>
      <c r="B3490" s="96" t="s">
        <v>288</v>
      </c>
      <c r="C3490" s="96" t="s">
        <v>3297</v>
      </c>
      <c r="D3490" s="96" t="s">
        <v>192</v>
      </c>
      <c r="E3490" s="43">
        <v>46048</v>
      </c>
      <c r="F3490" s="43">
        <v>46149</v>
      </c>
      <c r="G3490" s="96" t="s">
        <v>95</v>
      </c>
      <c r="H3490" s="96" t="s">
        <v>7245</v>
      </c>
      <c r="I3490" s="96" t="s">
        <v>9</v>
      </c>
      <c r="J3490" s="96" t="s">
        <v>169</v>
      </c>
      <c r="K3490" s="96" t="s">
        <v>205</v>
      </c>
      <c r="L3490">
        <v>101</v>
      </c>
      <c r="M3490" t="s">
        <v>28</v>
      </c>
      <c r="N3490" t="s">
        <v>29</v>
      </c>
      <c r="O3490" t="s">
        <v>170</v>
      </c>
      <c r="P3490">
        <v>2026</v>
      </c>
    </row>
    <row r="3491" spans="1:16" hidden="1" x14ac:dyDescent="0.25">
      <c r="A3491" s="96" t="s">
        <v>2</v>
      </c>
      <c r="B3491" s="96" t="s">
        <v>251</v>
      </c>
      <c r="C3491" s="96" t="s">
        <v>3298</v>
      </c>
      <c r="D3491" s="96" t="s">
        <v>192</v>
      </c>
      <c r="E3491" s="43">
        <v>45966</v>
      </c>
      <c r="F3491" s="43">
        <v>46030</v>
      </c>
      <c r="G3491" s="96" t="s">
        <v>90</v>
      </c>
      <c r="H3491" s="96" t="s">
        <v>7246</v>
      </c>
      <c r="I3491" s="96" t="s">
        <v>228</v>
      </c>
      <c r="J3491" s="96" t="s">
        <v>93</v>
      </c>
      <c r="K3491" s="96" t="s">
        <v>230</v>
      </c>
      <c r="L3491">
        <v>64</v>
      </c>
      <c r="M3491" t="s">
        <v>28</v>
      </c>
      <c r="N3491" t="s">
        <v>20</v>
      </c>
      <c r="O3491" t="s">
        <v>170</v>
      </c>
      <c r="P3491">
        <v>2025</v>
      </c>
    </row>
    <row r="3492" spans="1:16" x14ac:dyDescent="0.25">
      <c r="A3492" s="96" t="s">
        <v>2</v>
      </c>
      <c r="B3492" s="96" t="s">
        <v>218</v>
      </c>
      <c r="C3492" s="96" t="s">
        <v>3299</v>
      </c>
      <c r="D3492" s="96" t="s">
        <v>192</v>
      </c>
      <c r="E3492" s="43">
        <v>46028</v>
      </c>
      <c r="F3492" s="43">
        <v>46073</v>
      </c>
      <c r="G3492" s="96" t="s">
        <v>92</v>
      </c>
      <c r="H3492" s="96" t="s">
        <v>7247</v>
      </c>
      <c r="I3492" s="96" t="s">
        <v>228</v>
      </c>
      <c r="J3492" s="96" t="s">
        <v>174</v>
      </c>
      <c r="K3492" s="96" t="s">
        <v>233</v>
      </c>
      <c r="L3492">
        <v>45</v>
      </c>
      <c r="M3492" t="s">
        <v>24</v>
      </c>
      <c r="N3492" t="s">
        <v>29</v>
      </c>
      <c r="O3492" t="s">
        <v>152</v>
      </c>
      <c r="P3492">
        <v>2026</v>
      </c>
    </row>
    <row r="3493" spans="1:16" x14ac:dyDescent="0.25">
      <c r="A3493" s="96" t="s">
        <v>2</v>
      </c>
      <c r="B3493" s="96" t="s">
        <v>226</v>
      </c>
      <c r="C3493" s="96" t="s">
        <v>7248</v>
      </c>
      <c r="D3493" s="96" t="s">
        <v>10</v>
      </c>
      <c r="E3493" s="43">
        <v>46146</v>
      </c>
      <c r="F3493" s="43">
        <v>46150</v>
      </c>
      <c r="G3493" s="96" t="s">
        <v>92</v>
      </c>
      <c r="H3493" s="96" t="s">
        <v>7249</v>
      </c>
      <c r="I3493" s="96" t="s">
        <v>204</v>
      </c>
      <c r="J3493" s="96" t="s">
        <v>97</v>
      </c>
      <c r="K3493" s="96" t="s">
        <v>233</v>
      </c>
      <c r="L3493">
        <v>4</v>
      </c>
      <c r="M3493" t="s">
        <v>11</v>
      </c>
      <c r="N3493" t="s">
        <v>183</v>
      </c>
      <c r="O3493" t="s">
        <v>151</v>
      </c>
      <c r="P3493">
        <v>2026</v>
      </c>
    </row>
    <row r="3494" spans="1:16" x14ac:dyDescent="0.25">
      <c r="A3494" s="96" t="s">
        <v>2</v>
      </c>
      <c r="B3494" s="96" t="s">
        <v>269</v>
      </c>
      <c r="C3494" s="96" t="s">
        <v>3300</v>
      </c>
      <c r="D3494" s="96" t="s">
        <v>10</v>
      </c>
      <c r="E3494" s="43">
        <v>46065</v>
      </c>
      <c r="F3494" s="43">
        <v>46133</v>
      </c>
      <c r="G3494" s="96" t="s">
        <v>90</v>
      </c>
      <c r="H3494" s="96" t="s">
        <v>7250</v>
      </c>
      <c r="I3494" s="96" t="s">
        <v>228</v>
      </c>
      <c r="J3494" s="96" t="s">
        <v>199</v>
      </c>
      <c r="K3494" s="96" t="s">
        <v>195</v>
      </c>
      <c r="L3494">
        <v>68</v>
      </c>
      <c r="M3494" t="s">
        <v>28</v>
      </c>
      <c r="N3494" t="s">
        <v>32</v>
      </c>
      <c r="O3494" t="s">
        <v>152</v>
      </c>
      <c r="P3494">
        <v>2026</v>
      </c>
    </row>
    <row r="3495" spans="1:16" hidden="1" x14ac:dyDescent="0.25">
      <c r="A3495" s="96" t="s">
        <v>21</v>
      </c>
      <c r="B3495" s="96" t="s">
        <v>206</v>
      </c>
      <c r="C3495" s="96" t="s">
        <v>3301</v>
      </c>
      <c r="D3495" s="96" t="s">
        <v>10</v>
      </c>
      <c r="E3495" s="43">
        <v>45834</v>
      </c>
      <c r="F3495" s="43">
        <v>45892</v>
      </c>
      <c r="G3495" s="96" t="s">
        <v>92</v>
      </c>
      <c r="H3495" s="96" t="s">
        <v>7251</v>
      </c>
      <c r="I3495" s="96" t="s">
        <v>204</v>
      </c>
      <c r="J3495" s="96" t="s">
        <v>229</v>
      </c>
      <c r="K3495" s="96" t="s">
        <v>230</v>
      </c>
      <c r="L3495">
        <v>58</v>
      </c>
      <c r="M3495" t="s">
        <v>24</v>
      </c>
      <c r="N3495" t="s">
        <v>184</v>
      </c>
      <c r="O3495" t="s">
        <v>152</v>
      </c>
      <c r="P3495">
        <v>2025</v>
      </c>
    </row>
    <row r="3496" spans="1:16" hidden="1" x14ac:dyDescent="0.25">
      <c r="A3496" s="96" t="s">
        <v>2</v>
      </c>
      <c r="B3496" s="96" t="s">
        <v>255</v>
      </c>
      <c r="C3496" s="96" t="s">
        <v>3302</v>
      </c>
      <c r="D3496" s="96" t="s">
        <v>34</v>
      </c>
      <c r="E3496" s="43">
        <v>45719</v>
      </c>
      <c r="F3496" s="43">
        <v>45833</v>
      </c>
      <c r="G3496" s="96" t="s">
        <v>90</v>
      </c>
      <c r="H3496" s="96" t="s">
        <v>7252</v>
      </c>
      <c r="I3496" s="96" t="s">
        <v>194</v>
      </c>
      <c r="J3496" s="96" t="s">
        <v>94</v>
      </c>
      <c r="K3496" s="96" t="s">
        <v>233</v>
      </c>
      <c r="L3496">
        <v>114</v>
      </c>
      <c r="M3496" t="s">
        <v>28</v>
      </c>
      <c r="N3496" t="s">
        <v>186</v>
      </c>
      <c r="O3496" t="s">
        <v>150</v>
      </c>
      <c r="P3496">
        <v>2025</v>
      </c>
    </row>
    <row r="3497" spans="1:16" hidden="1" x14ac:dyDescent="0.25">
      <c r="A3497" s="96" t="s">
        <v>2</v>
      </c>
      <c r="B3497" s="96" t="s">
        <v>240</v>
      </c>
      <c r="C3497" s="96" t="s">
        <v>3303</v>
      </c>
      <c r="D3497" s="96" t="s">
        <v>34</v>
      </c>
      <c r="E3497" s="43">
        <v>45684</v>
      </c>
      <c r="F3497" s="43">
        <v>45750</v>
      </c>
      <c r="G3497" s="96" t="s">
        <v>92</v>
      </c>
      <c r="H3497" s="96" t="s">
        <v>7253</v>
      </c>
      <c r="I3497" s="96" t="s">
        <v>209</v>
      </c>
      <c r="J3497" s="96" t="s">
        <v>97</v>
      </c>
      <c r="K3497" s="96" t="s">
        <v>246</v>
      </c>
      <c r="L3497">
        <v>66</v>
      </c>
      <c r="M3497" t="s">
        <v>28</v>
      </c>
      <c r="N3497" t="s">
        <v>181</v>
      </c>
      <c r="O3497" t="s">
        <v>149</v>
      </c>
      <c r="P3497">
        <v>2025</v>
      </c>
    </row>
    <row r="3498" spans="1:16" hidden="1" x14ac:dyDescent="0.25">
      <c r="A3498" s="96" t="s">
        <v>2</v>
      </c>
      <c r="B3498" s="96" t="s">
        <v>253</v>
      </c>
      <c r="C3498" s="96" t="s">
        <v>3304</v>
      </c>
      <c r="D3498" s="96" t="s">
        <v>203</v>
      </c>
      <c r="E3498" s="43">
        <v>45767</v>
      </c>
      <c r="F3498" s="43">
        <v>45809</v>
      </c>
      <c r="G3498" s="96" t="s">
        <v>90</v>
      </c>
      <c r="H3498" s="96" t="s">
        <v>7254</v>
      </c>
      <c r="I3498" s="96" t="s">
        <v>225</v>
      </c>
      <c r="J3498" s="96" t="s">
        <v>94</v>
      </c>
      <c r="K3498" s="96" t="s">
        <v>200</v>
      </c>
      <c r="L3498">
        <v>42</v>
      </c>
      <c r="M3498" t="s">
        <v>24</v>
      </c>
      <c r="N3498" t="s">
        <v>185</v>
      </c>
      <c r="O3498" t="s">
        <v>152</v>
      </c>
      <c r="P3498">
        <v>2025</v>
      </c>
    </row>
    <row r="3499" spans="1:16" hidden="1" x14ac:dyDescent="0.25">
      <c r="A3499" s="96" t="s">
        <v>2</v>
      </c>
      <c r="B3499" s="96" t="s">
        <v>280</v>
      </c>
      <c r="C3499" s="96" t="s">
        <v>3305</v>
      </c>
      <c r="D3499" s="96" t="s">
        <v>40</v>
      </c>
      <c r="E3499" s="43">
        <v>45914</v>
      </c>
      <c r="F3499" s="43">
        <v>45950</v>
      </c>
      <c r="G3499" s="96" t="s">
        <v>90</v>
      </c>
      <c r="H3499" s="96" t="s">
        <v>7255</v>
      </c>
      <c r="I3499" s="96" t="s">
        <v>157</v>
      </c>
      <c r="J3499" s="96" t="s">
        <v>169</v>
      </c>
      <c r="K3499" s="96" t="s">
        <v>230</v>
      </c>
      <c r="L3499">
        <v>36</v>
      </c>
      <c r="M3499" t="s">
        <v>24</v>
      </c>
      <c r="N3499" t="s">
        <v>12</v>
      </c>
      <c r="O3499" t="s">
        <v>170</v>
      </c>
      <c r="P3499">
        <v>2025</v>
      </c>
    </row>
    <row r="3500" spans="1:16" hidden="1" x14ac:dyDescent="0.25">
      <c r="A3500" s="96" t="s">
        <v>2</v>
      </c>
      <c r="B3500" s="96" t="s">
        <v>247</v>
      </c>
      <c r="C3500" s="96" t="s">
        <v>3306</v>
      </c>
      <c r="D3500" s="96" t="s">
        <v>14</v>
      </c>
      <c r="E3500" s="43">
        <v>45773</v>
      </c>
      <c r="F3500" s="43">
        <v>45816</v>
      </c>
      <c r="G3500" s="96" t="s">
        <v>95</v>
      </c>
      <c r="H3500" s="96" t="s">
        <v>7256</v>
      </c>
      <c r="I3500" s="96" t="s">
        <v>9</v>
      </c>
      <c r="J3500" s="96" t="s">
        <v>94</v>
      </c>
      <c r="K3500" s="96" t="s">
        <v>157</v>
      </c>
      <c r="L3500">
        <v>43</v>
      </c>
      <c r="M3500" t="s">
        <v>24</v>
      </c>
      <c r="N3500" t="s">
        <v>185</v>
      </c>
      <c r="O3500" t="s">
        <v>150</v>
      </c>
      <c r="P3500">
        <v>2025</v>
      </c>
    </row>
    <row r="3501" spans="1:16" x14ac:dyDescent="0.25">
      <c r="A3501" s="96" t="s">
        <v>2</v>
      </c>
      <c r="B3501" s="96" t="s">
        <v>196</v>
      </c>
      <c r="C3501" s="96" t="s">
        <v>3307</v>
      </c>
      <c r="D3501" s="96" t="s">
        <v>40</v>
      </c>
      <c r="E3501" s="43">
        <v>46144</v>
      </c>
      <c r="F3501" s="43">
        <v>46146</v>
      </c>
      <c r="G3501" s="96" t="s">
        <v>90</v>
      </c>
      <c r="H3501" s="96" t="s">
        <v>7257</v>
      </c>
      <c r="I3501" s="96" t="s">
        <v>194</v>
      </c>
      <c r="J3501" s="96" t="s">
        <v>97</v>
      </c>
      <c r="K3501" s="96" t="s">
        <v>230</v>
      </c>
      <c r="L3501">
        <v>2</v>
      </c>
      <c r="M3501" t="s">
        <v>11</v>
      </c>
      <c r="N3501" t="s">
        <v>183</v>
      </c>
      <c r="O3501" t="s">
        <v>152</v>
      </c>
      <c r="P3501">
        <v>2026</v>
      </c>
    </row>
    <row r="3502" spans="1:16" hidden="1" x14ac:dyDescent="0.25">
      <c r="A3502" s="96" t="s">
        <v>2</v>
      </c>
      <c r="B3502" s="96" t="s">
        <v>251</v>
      </c>
      <c r="C3502" s="96" t="s">
        <v>3308</v>
      </c>
      <c r="D3502" s="96" t="s">
        <v>203</v>
      </c>
      <c r="E3502" s="43">
        <v>45680</v>
      </c>
      <c r="F3502" s="43">
        <v>45775</v>
      </c>
      <c r="G3502" s="96" t="s">
        <v>92</v>
      </c>
      <c r="H3502" s="96" t="s">
        <v>7258</v>
      </c>
      <c r="I3502" s="96" t="s">
        <v>225</v>
      </c>
      <c r="J3502" s="96" t="s">
        <v>169</v>
      </c>
      <c r="K3502" s="96" t="s">
        <v>200</v>
      </c>
      <c r="L3502">
        <v>95</v>
      </c>
      <c r="M3502" t="s">
        <v>28</v>
      </c>
      <c r="N3502" t="s">
        <v>181</v>
      </c>
      <c r="O3502" t="s">
        <v>170</v>
      </c>
      <c r="P3502">
        <v>2025</v>
      </c>
    </row>
    <row r="3503" spans="1:16" hidden="1" x14ac:dyDescent="0.25">
      <c r="A3503" s="96" t="s">
        <v>2</v>
      </c>
      <c r="B3503" s="96" t="s">
        <v>272</v>
      </c>
      <c r="C3503" s="96" t="s">
        <v>7259</v>
      </c>
      <c r="D3503" s="96" t="s">
        <v>208</v>
      </c>
      <c r="E3503" s="43">
        <v>45680</v>
      </c>
      <c r="F3503" s="43">
        <v>45696</v>
      </c>
      <c r="G3503" s="96" t="s">
        <v>92</v>
      </c>
      <c r="H3503" s="96" t="s">
        <v>7260</v>
      </c>
      <c r="I3503" s="96" t="s">
        <v>228</v>
      </c>
      <c r="J3503" s="96" t="s">
        <v>174</v>
      </c>
      <c r="K3503" s="96" t="s">
        <v>205</v>
      </c>
      <c r="L3503">
        <v>16</v>
      </c>
      <c r="M3503" t="s">
        <v>19</v>
      </c>
      <c r="N3503" t="s">
        <v>181</v>
      </c>
      <c r="O3503" t="s">
        <v>151</v>
      </c>
      <c r="P3503">
        <v>2025</v>
      </c>
    </row>
    <row r="3504" spans="1:16" hidden="1" x14ac:dyDescent="0.25">
      <c r="A3504" s="96" t="s">
        <v>175</v>
      </c>
      <c r="B3504" s="96" t="s">
        <v>272</v>
      </c>
      <c r="C3504" s="96" t="s">
        <v>3309</v>
      </c>
      <c r="D3504" s="96" t="s">
        <v>237</v>
      </c>
      <c r="E3504" s="43">
        <v>45815</v>
      </c>
      <c r="F3504" s="43">
        <v>45895</v>
      </c>
      <c r="G3504" s="96" t="s">
        <v>92</v>
      </c>
      <c r="H3504" s="96" t="s">
        <v>7261</v>
      </c>
      <c r="I3504" s="96" t="s">
        <v>9</v>
      </c>
      <c r="J3504" s="96" t="s">
        <v>91</v>
      </c>
      <c r="K3504" s="96" t="s">
        <v>210</v>
      </c>
      <c r="L3504">
        <v>80</v>
      </c>
      <c r="M3504" t="s">
        <v>28</v>
      </c>
      <c r="N3504" t="s">
        <v>184</v>
      </c>
      <c r="O3504" t="s">
        <v>151</v>
      </c>
      <c r="P3504">
        <v>2025</v>
      </c>
    </row>
    <row r="3505" spans="1:16" hidden="1" x14ac:dyDescent="0.25">
      <c r="A3505" s="96" t="s">
        <v>171</v>
      </c>
      <c r="B3505" s="96" t="s">
        <v>280</v>
      </c>
      <c r="C3505" s="96" t="s">
        <v>7262</v>
      </c>
      <c r="D3505" s="96" t="s">
        <v>40</v>
      </c>
      <c r="E3505" s="43">
        <v>45669</v>
      </c>
      <c r="F3505" s="43">
        <v>45701</v>
      </c>
      <c r="G3505" s="96" t="s">
        <v>90</v>
      </c>
      <c r="H3505" s="96" t="s">
        <v>7218</v>
      </c>
      <c r="I3505" s="96" t="s">
        <v>225</v>
      </c>
      <c r="J3505" s="96" t="s">
        <v>91</v>
      </c>
      <c r="K3505" s="96" t="s">
        <v>217</v>
      </c>
      <c r="L3505">
        <v>32</v>
      </c>
      <c r="M3505" t="s">
        <v>24</v>
      </c>
      <c r="N3505" t="s">
        <v>181</v>
      </c>
      <c r="O3505" t="s">
        <v>170</v>
      </c>
      <c r="P3505">
        <v>2025</v>
      </c>
    </row>
    <row r="3506" spans="1:16" hidden="1" x14ac:dyDescent="0.25">
      <c r="A3506" s="96" t="s">
        <v>2</v>
      </c>
      <c r="B3506" s="96" t="s">
        <v>221</v>
      </c>
      <c r="C3506" s="96" t="s">
        <v>7263</v>
      </c>
      <c r="D3506" s="96" t="s">
        <v>203</v>
      </c>
      <c r="E3506" s="43">
        <v>45888</v>
      </c>
      <c r="F3506" s="43">
        <v>45983</v>
      </c>
      <c r="G3506" s="96" t="s">
        <v>92</v>
      </c>
      <c r="H3506" s="96" t="s">
        <v>7264</v>
      </c>
      <c r="I3506" s="96" t="s">
        <v>194</v>
      </c>
      <c r="J3506" s="96" t="s">
        <v>174</v>
      </c>
      <c r="K3506" s="96" t="s">
        <v>157</v>
      </c>
      <c r="L3506">
        <v>95</v>
      </c>
      <c r="M3506" t="s">
        <v>28</v>
      </c>
      <c r="N3506" t="s">
        <v>8</v>
      </c>
      <c r="O3506" t="s">
        <v>170</v>
      </c>
      <c r="P3506">
        <v>2025</v>
      </c>
    </row>
    <row r="3507" spans="1:16" x14ac:dyDescent="0.25">
      <c r="A3507" s="96" t="s">
        <v>175</v>
      </c>
      <c r="B3507" s="96" t="s">
        <v>196</v>
      </c>
      <c r="C3507" s="96" t="s">
        <v>3310</v>
      </c>
      <c r="D3507" s="96" t="s">
        <v>237</v>
      </c>
      <c r="E3507" s="43">
        <v>46028</v>
      </c>
      <c r="F3507" s="43">
        <v>46087</v>
      </c>
      <c r="G3507" s="96" t="s">
        <v>90</v>
      </c>
      <c r="H3507" s="96" t="s">
        <v>7265</v>
      </c>
      <c r="I3507" s="96" t="s">
        <v>204</v>
      </c>
      <c r="J3507" s="96" t="s">
        <v>96</v>
      </c>
      <c r="K3507" s="96" t="s">
        <v>200</v>
      </c>
      <c r="L3507">
        <v>59</v>
      </c>
      <c r="M3507" t="s">
        <v>24</v>
      </c>
      <c r="N3507" t="s">
        <v>29</v>
      </c>
      <c r="O3507" t="s">
        <v>152</v>
      </c>
      <c r="P3507">
        <v>2026</v>
      </c>
    </row>
    <row r="3508" spans="1:16" hidden="1" x14ac:dyDescent="0.25">
      <c r="A3508" s="96" t="s">
        <v>2</v>
      </c>
      <c r="B3508" s="96" t="s">
        <v>247</v>
      </c>
      <c r="C3508" s="96" t="s">
        <v>7266</v>
      </c>
      <c r="D3508" s="96" t="s">
        <v>215</v>
      </c>
      <c r="E3508" s="43">
        <v>45880</v>
      </c>
      <c r="F3508" s="43">
        <v>45930</v>
      </c>
      <c r="G3508" s="96" t="s">
        <v>92</v>
      </c>
      <c r="H3508" s="96" t="s">
        <v>7267</v>
      </c>
      <c r="I3508" s="96" t="s">
        <v>228</v>
      </c>
      <c r="J3508" s="96" t="s">
        <v>173</v>
      </c>
      <c r="K3508" s="96" t="s">
        <v>210</v>
      </c>
      <c r="L3508">
        <v>50</v>
      </c>
      <c r="M3508" t="s">
        <v>24</v>
      </c>
      <c r="N3508" t="s">
        <v>8</v>
      </c>
      <c r="O3508" t="s">
        <v>150</v>
      </c>
      <c r="P3508">
        <v>2025</v>
      </c>
    </row>
    <row r="3509" spans="1:16" x14ac:dyDescent="0.25">
      <c r="A3509" s="96" t="s">
        <v>2</v>
      </c>
      <c r="B3509" s="96" t="s">
        <v>218</v>
      </c>
      <c r="C3509" s="96" t="s">
        <v>3311</v>
      </c>
      <c r="D3509" s="96" t="s">
        <v>10</v>
      </c>
      <c r="E3509" s="43">
        <v>46076</v>
      </c>
      <c r="F3509" s="43">
        <v>46151</v>
      </c>
      <c r="G3509" s="96" t="s">
        <v>92</v>
      </c>
      <c r="H3509" s="96" t="s">
        <v>3222</v>
      </c>
      <c r="I3509" s="96" t="s">
        <v>204</v>
      </c>
      <c r="J3509" s="96" t="s">
        <v>98</v>
      </c>
      <c r="K3509" s="96" t="s">
        <v>246</v>
      </c>
      <c r="L3509">
        <v>75</v>
      </c>
      <c r="M3509" t="s">
        <v>28</v>
      </c>
      <c r="N3509" t="s">
        <v>32</v>
      </c>
      <c r="O3509" t="s">
        <v>152</v>
      </c>
      <c r="P3509">
        <v>2026</v>
      </c>
    </row>
    <row r="3510" spans="1:16" hidden="1" x14ac:dyDescent="0.25">
      <c r="A3510" s="96" t="s">
        <v>2</v>
      </c>
      <c r="B3510" s="96" t="s">
        <v>240</v>
      </c>
      <c r="C3510" s="96" t="s">
        <v>3312</v>
      </c>
      <c r="D3510" s="96" t="s">
        <v>208</v>
      </c>
      <c r="E3510" s="43">
        <v>45768</v>
      </c>
      <c r="F3510" s="43">
        <v>45832</v>
      </c>
      <c r="G3510" s="96" t="s">
        <v>92</v>
      </c>
      <c r="H3510" s="96" t="s">
        <v>7268</v>
      </c>
      <c r="I3510" s="96" t="s">
        <v>209</v>
      </c>
      <c r="J3510" s="96" t="s">
        <v>216</v>
      </c>
      <c r="K3510" s="96" t="s">
        <v>200</v>
      </c>
      <c r="L3510">
        <v>64</v>
      </c>
      <c r="M3510" t="s">
        <v>28</v>
      </c>
      <c r="N3510" t="s">
        <v>185</v>
      </c>
      <c r="O3510" t="s">
        <v>149</v>
      </c>
      <c r="P3510">
        <v>2025</v>
      </c>
    </row>
    <row r="3511" spans="1:16" hidden="1" x14ac:dyDescent="0.25">
      <c r="A3511" s="96" t="s">
        <v>2</v>
      </c>
      <c r="B3511" s="96" t="s">
        <v>231</v>
      </c>
      <c r="C3511" s="96" t="s">
        <v>3313</v>
      </c>
      <c r="D3511" s="96" t="s">
        <v>10</v>
      </c>
      <c r="E3511" s="43">
        <v>45699</v>
      </c>
      <c r="F3511" s="43">
        <v>45722</v>
      </c>
      <c r="G3511" s="96" t="s">
        <v>90</v>
      </c>
      <c r="H3511" s="96" t="s">
        <v>7269</v>
      </c>
      <c r="I3511" s="96" t="s">
        <v>9</v>
      </c>
      <c r="J3511" s="96" t="s">
        <v>94</v>
      </c>
      <c r="K3511" s="96" t="s">
        <v>205</v>
      </c>
      <c r="L3511">
        <v>23</v>
      </c>
      <c r="M3511" t="s">
        <v>19</v>
      </c>
      <c r="N3511" t="s">
        <v>188</v>
      </c>
      <c r="O3511" t="s">
        <v>170</v>
      </c>
      <c r="P3511">
        <v>2025</v>
      </c>
    </row>
    <row r="3512" spans="1:16" hidden="1" x14ac:dyDescent="0.25">
      <c r="A3512" s="96" t="s">
        <v>2</v>
      </c>
      <c r="B3512" s="96" t="s">
        <v>272</v>
      </c>
      <c r="C3512" s="96" t="s">
        <v>3314</v>
      </c>
      <c r="D3512" s="96" t="s">
        <v>208</v>
      </c>
      <c r="E3512" s="43">
        <v>45804</v>
      </c>
      <c r="F3512" s="43">
        <v>45846</v>
      </c>
      <c r="G3512" s="96" t="s">
        <v>90</v>
      </c>
      <c r="H3512" s="96" t="s">
        <v>7270</v>
      </c>
      <c r="I3512" s="96" t="s">
        <v>209</v>
      </c>
      <c r="J3512" s="96" t="s">
        <v>96</v>
      </c>
      <c r="K3512" s="96" t="s">
        <v>233</v>
      </c>
      <c r="L3512">
        <v>42</v>
      </c>
      <c r="M3512" t="s">
        <v>24</v>
      </c>
      <c r="N3512" t="s">
        <v>182</v>
      </c>
      <c r="O3512" t="s">
        <v>151</v>
      </c>
      <c r="P3512">
        <v>2025</v>
      </c>
    </row>
    <row r="3513" spans="1:16" x14ac:dyDescent="0.25">
      <c r="A3513" s="96" t="s">
        <v>2</v>
      </c>
      <c r="B3513" s="96" t="s">
        <v>288</v>
      </c>
      <c r="C3513" s="96" t="s">
        <v>7271</v>
      </c>
      <c r="D3513" s="96" t="s">
        <v>40</v>
      </c>
      <c r="E3513" s="43">
        <v>46043</v>
      </c>
      <c r="F3513" s="43">
        <v>46072</v>
      </c>
      <c r="G3513" s="96" t="s">
        <v>92</v>
      </c>
      <c r="H3513" s="96" t="s">
        <v>7272</v>
      </c>
      <c r="I3513" s="96" t="s">
        <v>228</v>
      </c>
      <c r="J3513" s="96" t="s">
        <v>94</v>
      </c>
      <c r="K3513" s="96" t="s">
        <v>157</v>
      </c>
      <c r="L3513">
        <v>29</v>
      </c>
      <c r="M3513" t="s">
        <v>19</v>
      </c>
      <c r="N3513" t="s">
        <v>29</v>
      </c>
      <c r="O3513" t="s">
        <v>170</v>
      </c>
      <c r="P3513">
        <v>2026</v>
      </c>
    </row>
    <row r="3514" spans="1:16" x14ac:dyDescent="0.25">
      <c r="A3514" s="96" t="s">
        <v>2</v>
      </c>
      <c r="B3514" s="96" t="s">
        <v>305</v>
      </c>
      <c r="C3514" s="96" t="s">
        <v>7273</v>
      </c>
      <c r="D3514" s="96" t="s">
        <v>215</v>
      </c>
      <c r="E3514" s="43">
        <v>46133</v>
      </c>
      <c r="F3514" s="43">
        <v>46150</v>
      </c>
      <c r="G3514" s="96" t="s">
        <v>90</v>
      </c>
      <c r="H3514" s="96" t="s">
        <v>7274</v>
      </c>
      <c r="I3514" s="96" t="s">
        <v>228</v>
      </c>
      <c r="J3514" s="96" t="s">
        <v>91</v>
      </c>
      <c r="K3514" s="96" t="s">
        <v>205</v>
      </c>
      <c r="L3514">
        <v>17</v>
      </c>
      <c r="M3514" t="s">
        <v>19</v>
      </c>
      <c r="N3514" t="s">
        <v>37</v>
      </c>
      <c r="O3514" t="s">
        <v>170</v>
      </c>
      <c r="P3514">
        <v>2026</v>
      </c>
    </row>
    <row r="3515" spans="1:16" x14ac:dyDescent="0.25">
      <c r="A3515" s="96" t="s">
        <v>2</v>
      </c>
      <c r="B3515" s="96" t="s">
        <v>226</v>
      </c>
      <c r="C3515" s="96" t="s">
        <v>3315</v>
      </c>
      <c r="D3515" s="96" t="s">
        <v>237</v>
      </c>
      <c r="E3515" s="43">
        <v>46139</v>
      </c>
      <c r="F3515" s="43">
        <v>46150</v>
      </c>
      <c r="G3515" s="96" t="s">
        <v>95</v>
      </c>
      <c r="H3515" s="96" t="s">
        <v>7275</v>
      </c>
      <c r="I3515" s="96" t="s">
        <v>9</v>
      </c>
      <c r="J3515" s="96" t="s">
        <v>96</v>
      </c>
      <c r="K3515" s="96" t="s">
        <v>200</v>
      </c>
      <c r="L3515">
        <v>11</v>
      </c>
      <c r="M3515" t="s">
        <v>15</v>
      </c>
      <c r="N3515" t="s">
        <v>37</v>
      </c>
      <c r="O3515" t="s">
        <v>151</v>
      </c>
      <c r="P3515">
        <v>2026</v>
      </c>
    </row>
    <row r="3516" spans="1:16" x14ac:dyDescent="0.25">
      <c r="A3516" s="96" t="s">
        <v>2</v>
      </c>
      <c r="B3516" s="96" t="s">
        <v>269</v>
      </c>
      <c r="C3516" s="96" t="s">
        <v>3316</v>
      </c>
      <c r="D3516" s="96" t="s">
        <v>237</v>
      </c>
      <c r="E3516" s="43">
        <v>46130</v>
      </c>
      <c r="F3516" s="43">
        <v>46142</v>
      </c>
      <c r="G3516" s="96" t="s">
        <v>92</v>
      </c>
      <c r="H3516" s="96" t="s">
        <v>3226</v>
      </c>
      <c r="I3516" s="96" t="s">
        <v>209</v>
      </c>
      <c r="J3516" s="96" t="s">
        <v>96</v>
      </c>
      <c r="K3516" s="96" t="s">
        <v>210</v>
      </c>
      <c r="L3516">
        <v>12</v>
      </c>
      <c r="M3516" t="s">
        <v>15</v>
      </c>
      <c r="N3516" t="s">
        <v>37</v>
      </c>
      <c r="O3516" t="s">
        <v>152</v>
      </c>
      <c r="P3516">
        <v>2026</v>
      </c>
    </row>
  </sheetData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985B7-26F7-45DE-9C36-B4FE6F8C98CF}">
  <sheetPr codeName="Hoja4"/>
  <dimension ref="A2:AE21"/>
  <sheetViews>
    <sheetView topLeftCell="R4" zoomScale="70" zoomScaleNormal="70" workbookViewId="0">
      <selection activeCell="AE41" sqref="AE41"/>
    </sheetView>
  </sheetViews>
  <sheetFormatPr baseColWidth="10" defaultRowHeight="15" x14ac:dyDescent="0.25"/>
  <cols>
    <col min="1" max="1" width="47.85546875" bestFit="1" customWidth="1"/>
    <col min="2" max="2" width="22.42578125" bestFit="1" customWidth="1"/>
    <col min="3" max="3" width="16.28515625" bestFit="1" customWidth="1"/>
    <col min="4" max="4" width="23.85546875" bestFit="1" customWidth="1"/>
    <col min="5" max="5" width="14.7109375" bestFit="1" customWidth="1"/>
    <col min="6" max="6" width="8" bestFit="1" customWidth="1"/>
    <col min="7" max="7" width="12.5703125" bestFit="1" customWidth="1"/>
    <col min="8" max="8" width="16.42578125" bestFit="1" customWidth="1"/>
    <col min="9" max="9" width="23.7109375" bestFit="1" customWidth="1"/>
    <col min="10" max="10" width="47.85546875" bestFit="1" customWidth="1"/>
    <col min="11" max="11" width="23.7109375" customWidth="1"/>
    <col min="13" max="13" width="29" bestFit="1" customWidth="1"/>
    <col min="14" max="14" width="47.85546875" bestFit="1" customWidth="1"/>
    <col min="17" max="17" width="17.5703125" bestFit="1" customWidth="1"/>
    <col min="18" max="18" width="47.85546875" bestFit="1" customWidth="1"/>
    <col min="19" max="19" width="24.140625" bestFit="1" customWidth="1"/>
    <col min="21" max="21" width="21.28515625" bestFit="1" customWidth="1"/>
    <col min="22" max="22" width="47.85546875" bestFit="1" customWidth="1"/>
    <col min="26" max="26" width="17.5703125" bestFit="1" customWidth="1"/>
    <col min="27" max="27" width="47.85546875" bestFit="1" customWidth="1"/>
    <col min="30" max="30" width="17.5703125" bestFit="1" customWidth="1"/>
    <col min="31" max="31" width="47.85546875" bestFit="1" customWidth="1"/>
  </cols>
  <sheetData>
    <row r="2" spans="1:31" x14ac:dyDescent="0.25">
      <c r="A2" s="41" t="s">
        <v>164</v>
      </c>
      <c r="B2" s="41" t="s">
        <v>148</v>
      </c>
      <c r="I2" s="41" t="s">
        <v>146</v>
      </c>
      <c r="J2" t="s">
        <v>164</v>
      </c>
      <c r="M2" s="41" t="s">
        <v>146</v>
      </c>
      <c r="N2" t="s">
        <v>164</v>
      </c>
      <c r="Q2" s="41" t="s">
        <v>146</v>
      </c>
      <c r="R2" t="s">
        <v>164</v>
      </c>
      <c r="U2" s="41" t="s">
        <v>146</v>
      </c>
      <c r="V2" t="s">
        <v>164</v>
      </c>
      <c r="Z2" s="41" t="s">
        <v>146</v>
      </c>
      <c r="AA2" t="s">
        <v>164</v>
      </c>
      <c r="AD2" s="41" t="s">
        <v>146</v>
      </c>
      <c r="AE2" t="s">
        <v>164</v>
      </c>
    </row>
    <row r="3" spans="1:31" x14ac:dyDescent="0.25">
      <c r="A3" s="41" t="s">
        <v>146</v>
      </c>
      <c r="B3" t="s">
        <v>2</v>
      </c>
      <c r="C3" t="s">
        <v>171</v>
      </c>
      <c r="D3" t="s">
        <v>175</v>
      </c>
      <c r="E3" t="s">
        <v>21</v>
      </c>
      <c r="F3" t="s">
        <v>189</v>
      </c>
      <c r="G3" t="s">
        <v>147</v>
      </c>
      <c r="I3" s="42" t="s">
        <v>2</v>
      </c>
      <c r="J3" s="96">
        <v>2769</v>
      </c>
      <c r="M3" s="42" t="s">
        <v>9</v>
      </c>
      <c r="N3" s="96">
        <v>496</v>
      </c>
      <c r="Q3" s="42" t="s">
        <v>11</v>
      </c>
      <c r="R3" s="96">
        <v>291</v>
      </c>
      <c r="U3" s="42" t="s">
        <v>14</v>
      </c>
      <c r="V3" s="96">
        <v>356</v>
      </c>
      <c r="Z3" s="42" t="s">
        <v>181</v>
      </c>
      <c r="AA3" s="96">
        <v>192</v>
      </c>
      <c r="AD3" s="42" t="s">
        <v>152</v>
      </c>
      <c r="AE3" s="96">
        <v>711</v>
      </c>
    </row>
    <row r="4" spans="1:31" x14ac:dyDescent="0.25">
      <c r="A4" s="42" t="s">
        <v>8</v>
      </c>
      <c r="B4" s="96">
        <v>153</v>
      </c>
      <c r="C4" s="96">
        <v>7</v>
      </c>
      <c r="D4" s="96">
        <v>14</v>
      </c>
      <c r="E4" s="96">
        <v>12</v>
      </c>
      <c r="F4" s="96">
        <v>5</v>
      </c>
      <c r="G4" s="96">
        <v>191</v>
      </c>
      <c r="I4" s="42" t="s">
        <v>171</v>
      </c>
      <c r="J4" s="96">
        <v>177</v>
      </c>
      <c r="M4" s="42" t="s">
        <v>194</v>
      </c>
      <c r="N4" s="96">
        <v>520</v>
      </c>
      <c r="Q4" s="42" t="s">
        <v>15</v>
      </c>
      <c r="R4" s="96">
        <v>262</v>
      </c>
      <c r="U4" s="42" t="s">
        <v>10</v>
      </c>
      <c r="V4" s="96">
        <v>375</v>
      </c>
      <c r="Z4" s="42" t="s">
        <v>188</v>
      </c>
      <c r="AA4" s="96">
        <v>200</v>
      </c>
      <c r="AD4" s="42" t="s">
        <v>150</v>
      </c>
      <c r="AE4" s="96">
        <v>728</v>
      </c>
    </row>
    <row r="5" spans="1:31" x14ac:dyDescent="0.25">
      <c r="A5" s="42" t="s">
        <v>12</v>
      </c>
      <c r="B5" s="96">
        <v>157</v>
      </c>
      <c r="C5" s="96">
        <v>8</v>
      </c>
      <c r="D5" s="96">
        <v>13</v>
      </c>
      <c r="E5" s="96">
        <v>7</v>
      </c>
      <c r="F5" s="96">
        <v>6</v>
      </c>
      <c r="G5" s="96">
        <v>191</v>
      </c>
      <c r="I5" s="42" t="s">
        <v>175</v>
      </c>
      <c r="J5" s="96">
        <v>274</v>
      </c>
      <c r="M5" s="42" t="s">
        <v>204</v>
      </c>
      <c r="N5" s="96">
        <v>533</v>
      </c>
      <c r="Q5" s="42" t="s">
        <v>19</v>
      </c>
      <c r="R5" s="96">
        <v>550</v>
      </c>
      <c r="U5" s="42" t="s">
        <v>34</v>
      </c>
      <c r="V5" s="96">
        <v>326</v>
      </c>
      <c r="Z5" s="42" t="s">
        <v>186</v>
      </c>
      <c r="AA5" s="96">
        <v>180</v>
      </c>
      <c r="AD5" s="42" t="s">
        <v>151</v>
      </c>
      <c r="AE5" s="96">
        <v>717</v>
      </c>
    </row>
    <row r="6" spans="1:31" x14ac:dyDescent="0.25">
      <c r="A6" s="42" t="s">
        <v>16</v>
      </c>
      <c r="B6" s="96">
        <v>167</v>
      </c>
      <c r="C6" s="96">
        <v>9</v>
      </c>
      <c r="D6" s="96">
        <v>10</v>
      </c>
      <c r="E6" s="96">
        <v>15</v>
      </c>
      <c r="F6" s="96">
        <v>8</v>
      </c>
      <c r="G6" s="96">
        <v>209</v>
      </c>
      <c r="I6" s="42" t="s">
        <v>21</v>
      </c>
      <c r="J6" s="96">
        <v>212</v>
      </c>
      <c r="M6" s="42" t="s">
        <v>209</v>
      </c>
      <c r="N6" s="96">
        <v>474</v>
      </c>
      <c r="Q6" s="42" t="s">
        <v>24</v>
      </c>
      <c r="R6" s="96">
        <v>929</v>
      </c>
      <c r="U6" s="42" t="s">
        <v>40</v>
      </c>
      <c r="V6" s="96">
        <v>340</v>
      </c>
      <c r="Z6" s="42" t="s">
        <v>185</v>
      </c>
      <c r="AA6" s="96">
        <v>186</v>
      </c>
      <c r="AD6" s="42" t="s">
        <v>170</v>
      </c>
      <c r="AE6" s="96">
        <v>990</v>
      </c>
    </row>
    <row r="7" spans="1:31" x14ac:dyDescent="0.25">
      <c r="A7" s="42" t="s">
        <v>20</v>
      </c>
      <c r="B7" s="96">
        <v>144</v>
      </c>
      <c r="C7" s="96">
        <v>13</v>
      </c>
      <c r="D7" s="96">
        <v>14</v>
      </c>
      <c r="E7" s="96">
        <v>14</v>
      </c>
      <c r="F7" s="96">
        <v>5</v>
      </c>
      <c r="G7" s="96">
        <v>190</v>
      </c>
      <c r="I7" s="42" t="s">
        <v>189</v>
      </c>
      <c r="J7" s="96">
        <v>83</v>
      </c>
      <c r="M7" s="42" t="s">
        <v>225</v>
      </c>
      <c r="N7" s="96">
        <v>491</v>
      </c>
      <c r="Q7" s="42" t="s">
        <v>28</v>
      </c>
      <c r="R7" s="96">
        <v>1483</v>
      </c>
      <c r="U7" s="42" t="s">
        <v>192</v>
      </c>
      <c r="V7" s="96">
        <v>333</v>
      </c>
      <c r="Z7" s="42" t="s">
        <v>182</v>
      </c>
      <c r="AA7" s="96">
        <v>186</v>
      </c>
      <c r="AD7" s="42" t="s">
        <v>149</v>
      </c>
      <c r="AE7" s="96">
        <v>369</v>
      </c>
    </row>
    <row r="8" spans="1:31" x14ac:dyDescent="0.25">
      <c r="A8" s="42" t="s">
        <v>25</v>
      </c>
      <c r="B8" s="96">
        <v>134</v>
      </c>
      <c r="C8" s="96">
        <v>10</v>
      </c>
      <c r="D8" s="96">
        <v>16</v>
      </c>
      <c r="E8" s="96">
        <v>6</v>
      </c>
      <c r="F8" s="96">
        <v>3</v>
      </c>
      <c r="G8" s="96">
        <v>169</v>
      </c>
      <c r="I8" s="42" t="s">
        <v>147</v>
      </c>
      <c r="J8" s="96">
        <v>3515</v>
      </c>
      <c r="M8" s="42" t="s">
        <v>228</v>
      </c>
      <c r="N8" s="96">
        <v>493</v>
      </c>
      <c r="Q8" s="42" t="s">
        <v>147</v>
      </c>
      <c r="R8" s="96">
        <v>3515</v>
      </c>
      <c r="U8" s="42" t="s">
        <v>203</v>
      </c>
      <c r="V8" s="96">
        <v>344</v>
      </c>
      <c r="Z8" s="42" t="s">
        <v>184</v>
      </c>
      <c r="AA8" s="96">
        <v>183</v>
      </c>
      <c r="AD8" s="42" t="s">
        <v>147</v>
      </c>
      <c r="AE8" s="96">
        <v>3515</v>
      </c>
    </row>
    <row r="9" spans="1:31" x14ac:dyDescent="0.25">
      <c r="A9" s="42" t="s">
        <v>29</v>
      </c>
      <c r="B9" s="96">
        <v>240</v>
      </c>
      <c r="C9" s="96">
        <v>16</v>
      </c>
      <c r="D9" s="96">
        <v>25</v>
      </c>
      <c r="E9" s="96">
        <v>15</v>
      </c>
      <c r="F9" s="96">
        <v>10</v>
      </c>
      <c r="G9" s="96">
        <v>306</v>
      </c>
      <c r="M9" s="42"/>
      <c r="N9" s="96">
        <v>508</v>
      </c>
      <c r="U9" s="42" t="s">
        <v>208</v>
      </c>
      <c r="V9" s="96">
        <v>339</v>
      </c>
      <c r="Z9" s="42" t="s">
        <v>187</v>
      </c>
      <c r="AA9" s="96">
        <v>209</v>
      </c>
    </row>
    <row r="10" spans="1:31" x14ac:dyDescent="0.25">
      <c r="A10" s="42" t="s">
        <v>32</v>
      </c>
      <c r="B10" s="96">
        <v>202</v>
      </c>
      <c r="C10" s="96">
        <v>16</v>
      </c>
      <c r="D10" s="96">
        <v>25</v>
      </c>
      <c r="E10" s="96">
        <v>17</v>
      </c>
      <c r="F10" s="96">
        <v>3</v>
      </c>
      <c r="G10" s="96">
        <v>263</v>
      </c>
      <c r="M10" s="42" t="s">
        <v>147</v>
      </c>
      <c r="N10" s="96">
        <v>3515</v>
      </c>
      <c r="U10" s="42" t="s">
        <v>215</v>
      </c>
      <c r="V10" s="96">
        <v>373</v>
      </c>
      <c r="Z10" s="42" t="s">
        <v>8</v>
      </c>
      <c r="AA10" s="96">
        <v>191</v>
      </c>
    </row>
    <row r="11" spans="1:31" x14ac:dyDescent="0.25">
      <c r="A11" s="42" t="s">
        <v>35</v>
      </c>
      <c r="B11" s="96">
        <v>235</v>
      </c>
      <c r="C11" s="96">
        <v>15</v>
      </c>
      <c r="D11" s="96">
        <v>18</v>
      </c>
      <c r="E11" s="96">
        <v>21</v>
      </c>
      <c r="F11" s="96">
        <v>6</v>
      </c>
      <c r="G11" s="96">
        <v>295</v>
      </c>
      <c r="U11" s="42" t="s">
        <v>223</v>
      </c>
      <c r="V11" s="96">
        <v>364</v>
      </c>
      <c r="Z11" s="42" t="s">
        <v>12</v>
      </c>
      <c r="AA11" s="96">
        <v>191</v>
      </c>
    </row>
    <row r="12" spans="1:31" x14ac:dyDescent="0.25">
      <c r="A12" s="42" t="s">
        <v>37</v>
      </c>
      <c r="B12" s="96">
        <v>217</v>
      </c>
      <c r="C12" s="96">
        <v>9</v>
      </c>
      <c r="D12" s="96">
        <v>19</v>
      </c>
      <c r="E12" s="96">
        <v>16</v>
      </c>
      <c r="F12" s="96">
        <v>6</v>
      </c>
      <c r="G12" s="96">
        <v>267</v>
      </c>
      <c r="U12" s="42" t="s">
        <v>237</v>
      </c>
      <c r="V12" s="96">
        <v>365</v>
      </c>
      <c r="Z12" s="42" t="s">
        <v>16</v>
      </c>
      <c r="AA12" s="96">
        <v>209</v>
      </c>
    </row>
    <row r="13" spans="1:31" x14ac:dyDescent="0.25">
      <c r="A13" s="42" t="s">
        <v>181</v>
      </c>
      <c r="B13" s="96">
        <v>146</v>
      </c>
      <c r="C13" s="96">
        <v>13</v>
      </c>
      <c r="D13" s="96">
        <v>19</v>
      </c>
      <c r="E13" s="96">
        <v>10</v>
      </c>
      <c r="F13" s="96">
        <v>4</v>
      </c>
      <c r="G13" s="96">
        <v>192</v>
      </c>
      <c r="U13" s="42" t="s">
        <v>147</v>
      </c>
      <c r="V13" s="96">
        <v>3515</v>
      </c>
      <c r="Z13" s="42" t="s">
        <v>20</v>
      </c>
      <c r="AA13" s="96">
        <v>190</v>
      </c>
    </row>
    <row r="14" spans="1:31" x14ac:dyDescent="0.25">
      <c r="A14" s="42" t="s">
        <v>182</v>
      </c>
      <c r="B14" s="96">
        <v>152</v>
      </c>
      <c r="C14" s="96">
        <v>7</v>
      </c>
      <c r="D14" s="96">
        <v>12</v>
      </c>
      <c r="E14" s="96">
        <v>13</v>
      </c>
      <c r="F14" s="96">
        <v>2</v>
      </c>
      <c r="G14" s="96">
        <v>186</v>
      </c>
      <c r="Z14" s="42" t="s">
        <v>25</v>
      </c>
      <c r="AA14" s="96">
        <v>169</v>
      </c>
    </row>
    <row r="15" spans="1:31" x14ac:dyDescent="0.25">
      <c r="A15" s="42" t="s">
        <v>183</v>
      </c>
      <c r="B15" s="96">
        <v>76</v>
      </c>
      <c r="C15" s="96">
        <v>4</v>
      </c>
      <c r="D15" s="96">
        <v>7</v>
      </c>
      <c r="E15" s="96">
        <v>11</v>
      </c>
      <c r="F15" s="96"/>
      <c r="G15" s="96">
        <v>98</v>
      </c>
      <c r="K15" s="83" t="s">
        <v>178</v>
      </c>
      <c r="Z15" s="42" t="s">
        <v>29</v>
      </c>
      <c r="AA15" s="96">
        <v>306</v>
      </c>
    </row>
    <row r="16" spans="1:31" x14ac:dyDescent="0.25">
      <c r="A16" s="42" t="s">
        <v>184</v>
      </c>
      <c r="B16" s="96">
        <v>141</v>
      </c>
      <c r="C16" s="96">
        <v>5</v>
      </c>
      <c r="D16" s="96">
        <v>20</v>
      </c>
      <c r="E16" s="96">
        <v>11</v>
      </c>
      <c r="F16" s="96">
        <v>6</v>
      </c>
      <c r="G16" s="96">
        <v>183</v>
      </c>
      <c r="K16" s="83"/>
      <c r="Z16" s="42" t="s">
        <v>32</v>
      </c>
      <c r="AA16" s="96">
        <v>263</v>
      </c>
    </row>
    <row r="17" spans="1:27" x14ac:dyDescent="0.25">
      <c r="A17" s="42" t="s">
        <v>185</v>
      </c>
      <c r="B17" s="96">
        <v>138</v>
      </c>
      <c r="C17" s="96">
        <v>14</v>
      </c>
      <c r="D17" s="96">
        <v>19</v>
      </c>
      <c r="E17" s="96">
        <v>10</v>
      </c>
      <c r="F17" s="96">
        <v>5</v>
      </c>
      <c r="G17" s="96">
        <v>186</v>
      </c>
      <c r="K17" s="83"/>
      <c r="Z17" s="42" t="s">
        <v>35</v>
      </c>
      <c r="AA17" s="96">
        <v>295</v>
      </c>
    </row>
    <row r="18" spans="1:27" x14ac:dyDescent="0.25">
      <c r="A18" s="42" t="s">
        <v>186</v>
      </c>
      <c r="B18" s="96">
        <v>141</v>
      </c>
      <c r="C18" s="96">
        <v>10</v>
      </c>
      <c r="D18" s="96">
        <v>11</v>
      </c>
      <c r="E18" s="96">
        <v>12</v>
      </c>
      <c r="F18" s="96">
        <v>6</v>
      </c>
      <c r="G18" s="96">
        <v>180</v>
      </c>
      <c r="Z18" s="42" t="s">
        <v>37</v>
      </c>
      <c r="AA18" s="96">
        <v>267</v>
      </c>
    </row>
    <row r="19" spans="1:27" x14ac:dyDescent="0.25">
      <c r="A19" s="42" t="s">
        <v>187</v>
      </c>
      <c r="B19" s="96">
        <v>170</v>
      </c>
      <c r="C19" s="96">
        <v>8</v>
      </c>
      <c r="D19" s="96">
        <v>14</v>
      </c>
      <c r="E19" s="96">
        <v>13</v>
      </c>
      <c r="F19" s="96">
        <v>4</v>
      </c>
      <c r="G19" s="96">
        <v>209</v>
      </c>
      <c r="Z19" s="42" t="s">
        <v>183</v>
      </c>
      <c r="AA19" s="96">
        <v>98</v>
      </c>
    </row>
    <row r="20" spans="1:27" x14ac:dyDescent="0.25">
      <c r="A20" s="42" t="s">
        <v>188</v>
      </c>
      <c r="B20" s="96">
        <v>156</v>
      </c>
      <c r="C20" s="96">
        <v>13</v>
      </c>
      <c r="D20" s="96">
        <v>18</v>
      </c>
      <c r="E20" s="96">
        <v>9</v>
      </c>
      <c r="F20" s="96">
        <v>4</v>
      </c>
      <c r="G20" s="96">
        <v>200</v>
      </c>
      <c r="Z20" s="42" t="s">
        <v>147</v>
      </c>
      <c r="AA20" s="96">
        <v>3515</v>
      </c>
    </row>
    <row r="21" spans="1:27" x14ac:dyDescent="0.25">
      <c r="A21" s="42" t="s">
        <v>147</v>
      </c>
      <c r="B21" s="96">
        <v>2769</v>
      </c>
      <c r="C21" s="96">
        <v>177</v>
      </c>
      <c r="D21" s="96">
        <v>274</v>
      </c>
      <c r="E21" s="96">
        <v>212</v>
      </c>
      <c r="F21" s="96">
        <v>83</v>
      </c>
      <c r="G21" s="96">
        <v>3515</v>
      </c>
    </row>
  </sheetData>
  <mergeCells count="1">
    <mergeCell ref="K15:K17"/>
  </mergeCell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2E75B6"/>
  </sheetPr>
  <dimension ref="A1:J20"/>
  <sheetViews>
    <sheetView showGridLines="0" zoomScale="110" zoomScaleNormal="110" workbookViewId="0">
      <selection activeCell="M20" sqref="M20"/>
    </sheetView>
  </sheetViews>
  <sheetFormatPr baseColWidth="10" defaultColWidth="8.7109375" defaultRowHeight="15" x14ac:dyDescent="0.25"/>
  <cols>
    <col min="1" max="1" width="38" style="44" customWidth="1"/>
    <col min="2" max="2" width="14" customWidth="1"/>
    <col min="3" max="4" width="16" customWidth="1"/>
    <col min="5" max="5" width="18" customWidth="1"/>
    <col min="6" max="6" width="20" customWidth="1"/>
    <col min="7" max="7" width="18" customWidth="1"/>
    <col min="8" max="8" width="16" customWidth="1"/>
    <col min="9" max="9" width="20" customWidth="1"/>
  </cols>
  <sheetData>
    <row r="1" spans="1:10" ht="31.5" customHeight="1" x14ac:dyDescent="0.25">
      <c r="B1" s="85" t="s">
        <v>99</v>
      </c>
      <c r="C1" s="85"/>
      <c r="D1" s="85"/>
      <c r="E1" s="85"/>
      <c r="F1" s="85"/>
      <c r="G1" s="85"/>
      <c r="H1" s="85"/>
    </row>
    <row r="2" spans="1:10" ht="18" customHeight="1" x14ac:dyDescent="0.25">
      <c r="A2" s="44" t="s">
        <v>166</v>
      </c>
      <c r="B2" s="86" t="s">
        <v>100</v>
      </c>
      <c r="C2" s="86"/>
      <c r="D2" s="86"/>
      <c r="E2" s="86"/>
      <c r="F2" s="86"/>
      <c r="G2" s="86"/>
      <c r="H2" s="86"/>
    </row>
    <row r="3" spans="1:10" ht="12" customHeight="1" x14ac:dyDescent="0.25">
      <c r="J3" t="s">
        <v>178</v>
      </c>
    </row>
    <row r="4" spans="1:10" ht="21.75" customHeight="1" x14ac:dyDescent="0.25">
      <c r="B4" s="9" t="s">
        <v>0</v>
      </c>
      <c r="C4" s="9" t="s">
        <v>1</v>
      </c>
      <c r="D4" s="9" t="s">
        <v>46</v>
      </c>
      <c r="E4" s="9" t="s">
        <v>101</v>
      </c>
      <c r="F4" s="9" t="s">
        <v>4</v>
      </c>
      <c r="G4" s="9" t="s">
        <v>102</v>
      </c>
    </row>
    <row r="5" spans="1:10" x14ac:dyDescent="0.25">
      <c r="B5" s="10" t="s">
        <v>8</v>
      </c>
      <c r="C5" s="11">
        <f>COUNTIF(GAb[Year-Month],$B5)</f>
        <v>191</v>
      </c>
      <c r="D5" s="12">
        <f>COUNTIFS(GAb[Year-Month],$B5,GAb[Status],"Complete")</f>
        <v>153</v>
      </c>
      <c r="E5" s="12">
        <f>COUNTIFS(GAb[Year-Month],$B5,GAb[Purpose of Request],"Invoice Revision: Credit/Rebill")</f>
        <v>120</v>
      </c>
      <c r="F5" s="12">
        <f>COUNTIFS(GAb[Year-Month],$B5,GAb[Purpose of Request],"Invoice Revision: Missed Billing")</f>
        <v>53</v>
      </c>
      <c r="G5" s="13">
        <f>IFERROR(AVERAGEIF(GAb[Year-Month],$B5,GAb[Days to Resolve]),"-")</f>
        <v>62.418848167539267</v>
      </c>
    </row>
    <row r="6" spans="1:10" x14ac:dyDescent="0.25">
      <c r="B6" s="14" t="s">
        <v>12</v>
      </c>
      <c r="C6" s="11">
        <f>COUNTIF(GAb[Year-Month],$B6)</f>
        <v>191</v>
      </c>
      <c r="D6" s="12">
        <f>COUNTIFS(GAb[Year-Month],$B6,GAb[Status],"Complete")</f>
        <v>157</v>
      </c>
      <c r="E6" s="12">
        <f>COUNTIFS(GAb[Year-Month],$B6,GAb[Purpose of Request],"Invoice Revision: Credit/Rebill")</f>
        <v>109</v>
      </c>
      <c r="F6" s="12">
        <f>COUNTIFS(GAb[Year-Month],$B6,GAb[Purpose of Request],"Invoice Revision: Missed Billing")</f>
        <v>55</v>
      </c>
      <c r="G6" s="13">
        <f>IFERROR(AVERAGEIF(GAb[Year-Month],$B6,GAb[Days to Resolve]),"-")</f>
        <v>64.575916230366488</v>
      </c>
      <c r="I6" t="s">
        <v>166</v>
      </c>
    </row>
    <row r="7" spans="1:10" x14ac:dyDescent="0.25">
      <c r="B7" s="10" t="s">
        <v>16</v>
      </c>
      <c r="C7" s="11">
        <f>COUNTIF(GAb[Year-Month],$B7)</f>
        <v>209</v>
      </c>
      <c r="D7" s="12">
        <f>COUNTIFS(GAb[Year-Month],$B7,GAb[Status],"Complete")</f>
        <v>167</v>
      </c>
      <c r="E7" s="12">
        <f>COUNTIFS(GAb[Year-Month],$B7,GAb[Purpose of Request],"Invoice Revision: Credit/Rebill")</f>
        <v>136</v>
      </c>
      <c r="F7" s="12">
        <f>COUNTIFS(GAb[Year-Month],$B7,GAb[Purpose of Request],"Invoice Revision: Missed Billing")</f>
        <v>59</v>
      </c>
      <c r="G7" s="13">
        <f>IFERROR(AVERAGEIF(GAb[Year-Month],$B7,GAb[Days to Resolve]),"-")</f>
        <v>63.392344497607652</v>
      </c>
    </row>
    <row r="8" spans="1:10" x14ac:dyDescent="0.25">
      <c r="B8" s="14" t="s">
        <v>20</v>
      </c>
      <c r="C8" s="11">
        <f>COUNTIF(GAb[Year-Month],$B8)</f>
        <v>190</v>
      </c>
      <c r="D8" s="12">
        <f>COUNTIFS(GAb[Year-Month],$B8,GAb[Status],"Complete")</f>
        <v>144</v>
      </c>
      <c r="E8" s="12">
        <f>COUNTIFS(GAb[Year-Month],$B8,GAb[Purpose of Request],"Invoice Revision: Credit/Rebill")</f>
        <v>118</v>
      </c>
      <c r="F8" s="12">
        <f>COUNTIFS(GAb[Year-Month],$B8,GAb[Purpose of Request],"Invoice Revision: Missed Billing")</f>
        <v>52</v>
      </c>
      <c r="G8" s="13">
        <f>IFERROR(AVERAGEIF(GAb[Year-Month],$B8,GAb[Days to Resolve]),"-")</f>
        <v>60.536842105263155</v>
      </c>
    </row>
    <row r="9" spans="1:10" x14ac:dyDescent="0.25">
      <c r="B9" s="10" t="s">
        <v>25</v>
      </c>
      <c r="C9" s="11">
        <f>COUNTIF(GAb[Year-Month],$B9)</f>
        <v>169</v>
      </c>
      <c r="D9" s="12">
        <f>COUNTIFS(GAb[Year-Month],$B9,GAb[Status],"Complete")</f>
        <v>134</v>
      </c>
      <c r="E9" s="12">
        <f>COUNTIFS(GAb[Year-Month],$B9,GAb[Purpose of Request],"Invoice Revision: Credit/Rebill")</f>
        <v>102</v>
      </c>
      <c r="F9" s="12">
        <f>COUNTIFS(GAb[Year-Month],$B9,GAb[Purpose of Request],"Invoice Revision: Missed Billing")</f>
        <v>55</v>
      </c>
      <c r="G9" s="13">
        <f>IFERROR(AVERAGEIF(GAb[Year-Month],$B9,GAb[Days to Resolve]),"-")</f>
        <v>58.426035502958577</v>
      </c>
    </row>
    <row r="10" spans="1:10" x14ac:dyDescent="0.25">
      <c r="B10" s="14" t="s">
        <v>29</v>
      </c>
      <c r="C10" s="11">
        <f>COUNTIF(GAb[Year-Month],$B10)</f>
        <v>306</v>
      </c>
      <c r="D10" s="12">
        <f>COUNTIFS(GAb[Year-Month],$B10,GAb[Status],"Complete")</f>
        <v>240</v>
      </c>
      <c r="E10" s="12">
        <f>COUNTIFS(GAb[Year-Month],$B10,GAb[Purpose of Request],"Invoice Revision: Credit/Rebill")</f>
        <v>185</v>
      </c>
      <c r="F10" s="12">
        <f>COUNTIFS(GAb[Year-Month],$B10,GAb[Purpose of Request],"Invoice Revision: Missed Billing")</f>
        <v>99</v>
      </c>
      <c r="G10" s="13">
        <f>IFERROR(AVERAGEIF(GAb[Year-Month],$B10,GAb[Days to Resolve]),"-")</f>
        <v>56.689542483660134</v>
      </c>
    </row>
    <row r="11" spans="1:10" x14ac:dyDescent="0.25">
      <c r="B11" s="10" t="s">
        <v>32</v>
      </c>
      <c r="C11" s="11">
        <f>COUNTIF(GAb[Year-Month],$B11)</f>
        <v>263</v>
      </c>
      <c r="D11" s="12">
        <f>COUNTIFS(GAb[Year-Month],$B11,GAb[Status],"Complete")</f>
        <v>202</v>
      </c>
      <c r="E11" s="12">
        <f>COUNTIFS(GAb[Year-Month],$B11,GAb[Purpose of Request],"Invoice Revision: Credit/Rebill")</f>
        <v>148</v>
      </c>
      <c r="F11" s="12">
        <f>COUNTIFS(GAb[Year-Month],$B11,GAb[Purpose of Request],"Invoice Revision: Missed Billing")</f>
        <v>93</v>
      </c>
      <c r="G11" s="13">
        <f>IFERROR(AVERAGEIF(GAb[Year-Month],$B11,GAb[Days to Resolve]),"-")</f>
        <v>53.893536121673002</v>
      </c>
    </row>
    <row r="12" spans="1:10" x14ac:dyDescent="0.25">
      <c r="B12" s="14" t="s">
        <v>35</v>
      </c>
      <c r="C12" s="11">
        <f>COUNTIF(GAb[Year-Month],$B12)</f>
        <v>295</v>
      </c>
      <c r="D12" s="12">
        <f>COUNTIFS(GAb[Year-Month],$B12,GAb[Status],"Complete")</f>
        <v>235</v>
      </c>
      <c r="E12" s="12">
        <f>COUNTIFS(GAb[Year-Month],$B12,GAb[Purpose of Request],"Invoice Revision: Credit/Rebill")</f>
        <v>179</v>
      </c>
      <c r="F12" s="12">
        <f>COUNTIFS(GAb[Year-Month],$B12,GAb[Purpose of Request],"Invoice Revision: Missed Billing")</f>
        <v>85</v>
      </c>
      <c r="G12" s="13">
        <f>IFERROR(AVERAGEIF(GAb[Year-Month],$B12,GAb[Days to Resolve]),"-")</f>
        <v>37.932203389830505</v>
      </c>
    </row>
    <row r="13" spans="1:10" x14ac:dyDescent="0.25">
      <c r="B13" s="10" t="s">
        <v>37</v>
      </c>
      <c r="C13" s="11">
        <f>COUNTIF(GAb[Year-Month],$B13)</f>
        <v>267</v>
      </c>
      <c r="D13" s="12">
        <f>COUNTIFS(GAb[Year-Month],$B13,GAb[Status],"Complete")</f>
        <v>217</v>
      </c>
      <c r="E13" s="12">
        <f>COUNTIFS(GAb[Year-Month],$B13,GAb[Purpose of Request],"Invoice Revision: Credit/Rebill")</f>
        <v>167</v>
      </c>
      <c r="F13" s="12">
        <f>COUNTIFS(GAb[Year-Month],$B13,GAb[Purpose of Request],"Invoice Revision: Missed Billing")</f>
        <v>79</v>
      </c>
      <c r="G13" s="13">
        <f>IFERROR(AVERAGEIF(GAb[Year-Month],$B13,GAb[Days to Resolve]),"-")</f>
        <v>19.415730337078653</v>
      </c>
    </row>
    <row r="14" spans="1:10" x14ac:dyDescent="0.25">
      <c r="B14" s="16" t="s">
        <v>103</v>
      </c>
      <c r="C14" s="17">
        <f>SUM(C5:C13)</f>
        <v>2081</v>
      </c>
      <c r="D14" s="17">
        <f>SUM(D6:D13)</f>
        <v>1496</v>
      </c>
      <c r="E14" s="17">
        <f>SUM(E5:E13)</f>
        <v>1264</v>
      </c>
      <c r="F14" s="17">
        <f>SUM(F5:F13)</f>
        <v>630</v>
      </c>
      <c r="G14" s="18">
        <f>IFERROR(AVERAGE(G5:G13),"-")</f>
        <v>53.031222092886381</v>
      </c>
    </row>
    <row r="16" spans="1:10" ht="24" customHeight="1" x14ac:dyDescent="0.25">
      <c r="B16" s="87" t="s">
        <v>104</v>
      </c>
      <c r="C16" s="87"/>
      <c r="D16" s="87"/>
      <c r="E16" s="87"/>
      <c r="F16" s="87"/>
      <c r="G16" s="87"/>
      <c r="H16" s="87"/>
    </row>
    <row r="17" spans="2:8" ht="18" customHeight="1" x14ac:dyDescent="0.25">
      <c r="B17" s="84" t="s">
        <v>105</v>
      </c>
      <c r="C17" s="84"/>
      <c r="D17" s="84"/>
      <c r="E17" s="84"/>
      <c r="F17" s="84"/>
      <c r="G17" s="84"/>
      <c r="H17" s="84"/>
    </row>
    <row r="18" spans="2:8" ht="18" customHeight="1" x14ac:dyDescent="0.25">
      <c r="B18" s="84" t="s">
        <v>106</v>
      </c>
      <c r="C18" s="84"/>
      <c r="D18" s="84"/>
      <c r="E18" s="84"/>
      <c r="F18" s="84"/>
      <c r="G18" s="84"/>
      <c r="H18" s="84"/>
    </row>
    <row r="19" spans="2:8" ht="18" customHeight="1" x14ac:dyDescent="0.25">
      <c r="B19" s="84" t="s">
        <v>107</v>
      </c>
      <c r="C19" s="84"/>
      <c r="D19" s="84"/>
      <c r="E19" s="84"/>
      <c r="F19" s="84"/>
      <c r="G19" s="84"/>
      <c r="H19" s="84"/>
    </row>
    <row r="20" spans="2:8" ht="18" customHeight="1" x14ac:dyDescent="0.25">
      <c r="B20" s="84" t="s">
        <v>108</v>
      </c>
      <c r="C20" s="84"/>
      <c r="D20" s="84"/>
      <c r="E20" s="84"/>
      <c r="F20" s="84"/>
      <c r="G20" s="84"/>
      <c r="H20" s="84"/>
    </row>
  </sheetData>
  <mergeCells count="7">
    <mergeCell ref="B19:H19"/>
    <mergeCell ref="B20:H20"/>
    <mergeCell ref="B1:H1"/>
    <mergeCell ref="B2:H2"/>
    <mergeCell ref="B16:H16"/>
    <mergeCell ref="B17:H17"/>
    <mergeCell ref="B18:H18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375623"/>
  </sheetPr>
  <dimension ref="B1:J35"/>
  <sheetViews>
    <sheetView showGridLines="0" topLeftCell="A3" zoomScaleNormal="100" workbookViewId="0">
      <selection activeCell="J4" sqref="J4"/>
    </sheetView>
  </sheetViews>
  <sheetFormatPr baseColWidth="10" defaultColWidth="8.7109375" defaultRowHeight="15" x14ac:dyDescent="0.25"/>
  <cols>
    <col min="1" max="1" width="2" customWidth="1"/>
    <col min="2" max="2" width="28" customWidth="1"/>
    <col min="3" max="3" width="12" customWidth="1"/>
    <col min="4" max="4" width="14" customWidth="1"/>
    <col min="5" max="5" width="16" customWidth="1"/>
    <col min="6" max="7" width="18" customWidth="1"/>
    <col min="8" max="8" width="14" customWidth="1"/>
    <col min="9" max="9" width="12.28515625" customWidth="1"/>
  </cols>
  <sheetData>
    <row r="1" spans="2:10" ht="31.5" customHeight="1" x14ac:dyDescent="0.25">
      <c r="B1" s="85" t="s">
        <v>109</v>
      </c>
      <c r="C1" s="85"/>
      <c r="D1" s="85"/>
      <c r="E1" s="85"/>
      <c r="F1" s="85"/>
      <c r="G1" s="85"/>
      <c r="H1" s="85"/>
    </row>
    <row r="2" spans="2:10" ht="12" customHeight="1" x14ac:dyDescent="0.25"/>
    <row r="3" spans="2:10" ht="21.75" customHeight="1" x14ac:dyDescent="0.25">
      <c r="B3" s="4" t="s">
        <v>7</v>
      </c>
      <c r="C3" s="9" t="s">
        <v>1</v>
      </c>
      <c r="D3" s="9" t="s">
        <v>46</v>
      </c>
      <c r="E3" s="9" t="s">
        <v>110</v>
      </c>
      <c r="F3" s="9" t="s">
        <v>3</v>
      </c>
      <c r="G3" s="9" t="s">
        <v>4</v>
      </c>
      <c r="H3" s="9" t="s">
        <v>111</v>
      </c>
    </row>
    <row r="4" spans="2:10" x14ac:dyDescent="0.25">
      <c r="B4" s="8" t="s">
        <v>10</v>
      </c>
      <c r="C4" s="19">
        <f>COUNTIF(GAb[Billing Request: Created By],$B4)</f>
        <v>375</v>
      </c>
      <c r="D4" s="10">
        <f>COUNTIFS(GAb[Billing Request: Created By],$B4,GAb[Status],"*Complete*")</f>
        <v>290</v>
      </c>
      <c r="E4" s="20">
        <f>IFERROR(D4/C4,0)</f>
        <v>0.77333333333333332</v>
      </c>
      <c r="F4" s="10">
        <f>COUNTIFS(GAb[Billing Request: Created By],$B4,GAb[Purpose of Request],"*Credit/Rebill*")</f>
        <v>232</v>
      </c>
      <c r="G4" s="10">
        <f>COUNTIFS(GAb[Billing Request: Created By],$B4,GAb[Purpose of Request],"*Missed Billing*")</f>
        <v>102</v>
      </c>
      <c r="H4" s="21">
        <f>IFERROR(AVERAGEIF(GAb[Billing Request: Created By],$B4,GAb[Days to Resolve]),"-")</f>
        <v>53.482666666666667</v>
      </c>
      <c r="J4" t="s">
        <v>178</v>
      </c>
    </row>
    <row r="5" spans="2:10" x14ac:dyDescent="0.25">
      <c r="B5" s="2" t="s">
        <v>14</v>
      </c>
      <c r="C5" s="19">
        <f>COUNTIF(GAb[Billing Request: Created By],$B5)</f>
        <v>356</v>
      </c>
      <c r="D5" s="10">
        <f>COUNTIFS(GAb[Billing Request: Created By],$B5,GAb[Status],"*Complete*")</f>
        <v>279</v>
      </c>
      <c r="E5" s="20">
        <f t="shared" ref="E5:E17" si="0">IFERROR(D5/C5,0)</f>
        <v>0.7837078651685393</v>
      </c>
      <c r="F5" s="10">
        <f>COUNTIFS(GAb[Billing Request: Created By],$B5,GAb[Purpose of Request],"*Credit/Rebill*")</f>
        <v>232</v>
      </c>
      <c r="G5" s="10">
        <f>COUNTIFS(GAb[Billing Request: Created By],$B5,GAb[Purpose of Request],"*Missed Billing*")</f>
        <v>90</v>
      </c>
      <c r="H5" s="21">
        <f>IFERROR(AVERAGEIF(GAb[Billing Request: Created By],$B5,GAb[Days to Resolve]),"-")</f>
        <v>51.300561797752806</v>
      </c>
    </row>
    <row r="6" spans="2:10" x14ac:dyDescent="0.25">
      <c r="B6" s="8" t="s">
        <v>18</v>
      </c>
      <c r="C6" s="19">
        <f>COUNTIF(GAb[Billing Request: Created By],$B6)</f>
        <v>0</v>
      </c>
      <c r="D6" s="10">
        <f>COUNTIFS(GAb[Billing Request: Created By],$B6,GAb[Status],"*Complete*")</f>
        <v>0</v>
      </c>
      <c r="E6" s="20">
        <f t="shared" si="0"/>
        <v>0</v>
      </c>
      <c r="F6" s="10">
        <f>COUNTIFS(GAb[Billing Request: Created By],$B6,GAb[Purpose of Request],"*Credit/Rebill*")</f>
        <v>0</v>
      </c>
      <c r="G6" s="10">
        <f>COUNTIFS(GAb[Billing Request: Created By],$B6,GAb[Purpose of Request],"*Missed Billing*")</f>
        <v>0</v>
      </c>
      <c r="H6" s="21" t="str">
        <f>IFERROR(AVERAGEIF(GAb[Billing Request: Created By],$B6,GAb[Days to Resolve]),"-")</f>
        <v>-</v>
      </c>
    </row>
    <row r="7" spans="2:10" x14ac:dyDescent="0.25">
      <c r="B7" s="2" t="s">
        <v>23</v>
      </c>
      <c r="C7" s="19">
        <f>COUNTIF(GAb[Billing Request: Created By],$B7)</f>
        <v>0</v>
      </c>
      <c r="D7" s="10">
        <f>COUNTIFS(GAb[Billing Request: Created By],$B7,GAb[Status],"*Complete*")</f>
        <v>0</v>
      </c>
      <c r="E7" s="20">
        <f t="shared" si="0"/>
        <v>0</v>
      </c>
      <c r="F7" s="10">
        <f>COUNTIFS(GAb[Billing Request: Created By],$B7,GAb[Purpose of Request],"*Credit/Rebill*")</f>
        <v>0</v>
      </c>
      <c r="G7" s="10">
        <f>COUNTIFS(GAb[Billing Request: Created By],$B7,GAb[Purpose of Request],"*Missed Billing*")</f>
        <v>0</v>
      </c>
      <c r="H7" s="21" t="str">
        <f>IFERROR(AVERAGEIF(GAb[Billing Request: Created By],$B7,GAb[Days to Resolve]),"-")</f>
        <v>-</v>
      </c>
    </row>
    <row r="8" spans="2:10" x14ac:dyDescent="0.25">
      <c r="B8" s="8" t="s">
        <v>27</v>
      </c>
      <c r="C8" s="19">
        <f>COUNTIF(GAb[Billing Request: Created By],$B8)</f>
        <v>0</v>
      </c>
      <c r="D8" s="10">
        <f>COUNTIFS(GAb[Billing Request: Created By],$B8,GAb[Status],"*Complete*")</f>
        <v>0</v>
      </c>
      <c r="E8" s="20">
        <f t="shared" si="0"/>
        <v>0</v>
      </c>
      <c r="F8" s="10">
        <f>COUNTIFS(GAb[Billing Request: Created By],$B8,GAb[Purpose of Request],"*Credit/Rebill*")</f>
        <v>0</v>
      </c>
      <c r="G8" s="10">
        <f>COUNTIFS(GAb[Billing Request: Created By],$B8,GAb[Purpose of Request],"*Missed Billing*")</f>
        <v>0</v>
      </c>
      <c r="H8" s="21" t="str">
        <f>IFERROR(AVERAGEIF(GAb[Billing Request: Created By],$B8,GAb[Days to Resolve]),"-")</f>
        <v>-</v>
      </c>
    </row>
    <row r="9" spans="2:10" x14ac:dyDescent="0.25">
      <c r="B9" s="2" t="s">
        <v>31</v>
      </c>
      <c r="C9" s="19">
        <f>COUNTIF(GAb[Billing Request: Created By],$B9)</f>
        <v>0</v>
      </c>
      <c r="D9" s="10">
        <f>COUNTIFS(GAb[Billing Request: Created By],$B9,GAb[Status],"*Complete*")</f>
        <v>0</v>
      </c>
      <c r="E9" s="20">
        <f t="shared" si="0"/>
        <v>0</v>
      </c>
      <c r="F9" s="10">
        <f>COUNTIFS(GAb[Billing Request: Created By],$B9,GAb[Purpose of Request],"*Credit/Rebill*")</f>
        <v>0</v>
      </c>
      <c r="G9" s="10">
        <f>COUNTIFS(GAb[Billing Request: Created By],$B9,GAb[Purpose of Request],"*Missed Billing*")</f>
        <v>0</v>
      </c>
      <c r="H9" s="21" t="str">
        <f>IFERROR(AVERAGEIF(GAb[Billing Request: Created By],$B9,GAb[Days to Resolve]),"-")</f>
        <v>-</v>
      </c>
    </row>
    <row r="10" spans="2:10" x14ac:dyDescent="0.25">
      <c r="B10" s="8" t="s">
        <v>34</v>
      </c>
      <c r="C10" s="19">
        <f>COUNTIF(GAb[Billing Request: Created By],$B10)</f>
        <v>326</v>
      </c>
      <c r="D10" s="10">
        <f>COUNTIFS(GAb[Billing Request: Created By],$B10,GAb[Status],"*Complete*")</f>
        <v>266</v>
      </c>
      <c r="E10" s="20">
        <f t="shared" si="0"/>
        <v>0.81595092024539873</v>
      </c>
      <c r="F10" s="10">
        <f>COUNTIFS(GAb[Billing Request: Created By],$B10,GAb[Purpose of Request],"*Credit/Rebill*")</f>
        <v>203</v>
      </c>
      <c r="G10" s="10">
        <f>COUNTIFS(GAb[Billing Request: Created By],$B10,GAb[Purpose of Request],"*Missed Billing*")</f>
        <v>106</v>
      </c>
      <c r="H10" s="21">
        <f>IFERROR(AVERAGEIF(GAb[Billing Request: Created By],$B10,GAb[Days to Resolve]),"-")</f>
        <v>60.699386503067487</v>
      </c>
    </row>
    <row r="11" spans="2:10" x14ac:dyDescent="0.25">
      <c r="B11" s="2" t="s">
        <v>36</v>
      </c>
      <c r="C11" s="19">
        <f>COUNTIF(GAb[Billing Request: Created By],$B11)</f>
        <v>0</v>
      </c>
      <c r="D11" s="10">
        <f>COUNTIFS(GAb[Billing Request: Created By],$B11,GAb[Status],"*Complete*")</f>
        <v>0</v>
      </c>
      <c r="E11" s="20">
        <f t="shared" si="0"/>
        <v>0</v>
      </c>
      <c r="F11" s="10">
        <f>COUNTIFS(GAb[Billing Request: Created By],$B11,GAb[Purpose of Request],"*Credit/Rebill*")</f>
        <v>0</v>
      </c>
      <c r="G11" s="10">
        <f>COUNTIFS(GAb[Billing Request: Created By],$B11,GAb[Purpose of Request],"*Missed Billing*")</f>
        <v>0</v>
      </c>
      <c r="H11" s="21" t="str">
        <f>IFERROR(AVERAGEIF(GAb[Billing Request: Created By],$B11,GAb[Days to Resolve]),"-")</f>
        <v>-</v>
      </c>
    </row>
    <row r="12" spans="2:10" x14ac:dyDescent="0.25">
      <c r="B12" s="8" t="s">
        <v>38</v>
      </c>
      <c r="C12" s="19">
        <f>COUNTIF(GAb[Billing Request: Created By],$B12)</f>
        <v>0</v>
      </c>
      <c r="D12" s="10">
        <f>COUNTIFS(GAb[Billing Request: Created By],$B12,GAb[Status],"*Complete*")</f>
        <v>0</v>
      </c>
      <c r="E12" s="20">
        <f t="shared" si="0"/>
        <v>0</v>
      </c>
      <c r="F12" s="10">
        <f>COUNTIFS(GAb[Billing Request: Created By],$B12,GAb[Purpose of Request],"*Credit/Rebill*")</f>
        <v>0</v>
      </c>
      <c r="G12" s="10">
        <f>COUNTIFS(GAb[Billing Request: Created By],$B12,GAb[Purpose of Request],"*Missed Billing*")</f>
        <v>0</v>
      </c>
      <c r="H12" s="21" t="str">
        <f>IFERROR(AVERAGEIF(GAb[Billing Request: Created By],$B12,GAb[Days to Resolve]),"-")</f>
        <v>-</v>
      </c>
    </row>
    <row r="13" spans="2:10" x14ac:dyDescent="0.25">
      <c r="B13" s="2" t="s">
        <v>39</v>
      </c>
      <c r="C13" s="19">
        <f>COUNTIF(GAb[Billing Request: Created By],$B13)</f>
        <v>0</v>
      </c>
      <c r="D13" s="10">
        <f>COUNTIFS(GAb[Billing Request: Created By],$B13,GAb[Status],"*Complete*")</f>
        <v>0</v>
      </c>
      <c r="E13" s="20">
        <f t="shared" si="0"/>
        <v>0</v>
      </c>
      <c r="F13" s="10">
        <f>COUNTIFS(GAb[Billing Request: Created By],$B13,GAb[Purpose of Request],"*Credit/Rebill*")</f>
        <v>0</v>
      </c>
      <c r="G13" s="10">
        <f>COUNTIFS(GAb[Billing Request: Created By],$B13,GAb[Purpose of Request],"*Missed Billing*")</f>
        <v>0</v>
      </c>
      <c r="H13" s="21" t="str">
        <f>IFERROR(AVERAGEIF(GAb[Billing Request: Created By],$B13,GAb[Days to Resolve]),"-")</f>
        <v>-</v>
      </c>
    </row>
    <row r="14" spans="2:10" x14ac:dyDescent="0.25">
      <c r="B14" s="8" t="s">
        <v>41</v>
      </c>
      <c r="C14" s="19">
        <f>COUNTIF(GAb[Billing Request: Created By],$B14)</f>
        <v>0</v>
      </c>
      <c r="D14" s="10">
        <f>COUNTIFS(GAb[Billing Request: Created By],$B14,GAb[Status],"*Complete*")</f>
        <v>0</v>
      </c>
      <c r="E14" s="20">
        <f t="shared" si="0"/>
        <v>0</v>
      </c>
      <c r="F14" s="10">
        <f>COUNTIFS(GAb[Billing Request: Created By],$B14,GAb[Purpose of Request],"*Credit/Rebill*")</f>
        <v>0</v>
      </c>
      <c r="G14" s="10">
        <f>COUNTIFS(GAb[Billing Request: Created By],$B14,GAb[Purpose of Request],"*Missed Billing*")</f>
        <v>0</v>
      </c>
      <c r="H14" s="21" t="str">
        <f>IFERROR(AVERAGEIF(GAb[Billing Request: Created By],$B14,GAb[Days to Resolve]),"-")</f>
        <v>-</v>
      </c>
    </row>
    <row r="15" spans="2:10" x14ac:dyDescent="0.25">
      <c r="B15" s="2" t="s">
        <v>40</v>
      </c>
      <c r="C15" s="19">
        <f>COUNTIF(GAb[Billing Request: Created By],$B15)</f>
        <v>340</v>
      </c>
      <c r="D15" s="10">
        <f>COUNTIFS(GAb[Billing Request: Created By],$B15,GAb[Status],"*Complete*")</f>
        <v>275</v>
      </c>
      <c r="E15" s="20">
        <f t="shared" si="0"/>
        <v>0.80882352941176472</v>
      </c>
      <c r="F15" s="10">
        <f>COUNTIFS(GAb[Billing Request: Created By],$B15,GAb[Purpose of Request],"*Credit/Rebill*")</f>
        <v>205</v>
      </c>
      <c r="G15" s="10">
        <f>COUNTIFS(GAb[Billing Request: Created By],$B15,GAb[Purpose of Request],"*Missed Billing*")</f>
        <v>107</v>
      </c>
      <c r="H15" s="21">
        <f>IFERROR(AVERAGEIF(GAb[Billing Request: Created By],$B15,GAb[Days to Resolve]),"-")</f>
        <v>54.05</v>
      </c>
    </row>
    <row r="16" spans="2:10" x14ac:dyDescent="0.25">
      <c r="B16" s="8" t="s">
        <v>43</v>
      </c>
      <c r="C16" s="19">
        <f>COUNTIF(GAb[Billing Request: Created By],$B16)</f>
        <v>0</v>
      </c>
      <c r="D16" s="10">
        <f>COUNTIFS(GAb[Billing Request: Created By],$B16,GAb[Status],"*Complete*")</f>
        <v>0</v>
      </c>
      <c r="E16" s="20">
        <f t="shared" si="0"/>
        <v>0</v>
      </c>
      <c r="F16" s="10">
        <f>COUNTIFS(GAb[Billing Request: Created By],$B16,GAb[Purpose of Request],"*Credit/Rebill*")</f>
        <v>0</v>
      </c>
      <c r="G16" s="10">
        <f>COUNTIFS(GAb[Billing Request: Created By],$B16,GAb[Purpose of Request],"*Missed Billing*")</f>
        <v>0</v>
      </c>
      <c r="H16" s="21" t="str">
        <f>IFERROR(AVERAGEIF(GAb[Billing Request: Created By],$B16,GAb[Days to Resolve]),"-")</f>
        <v>-</v>
      </c>
    </row>
    <row r="17" spans="2:10" x14ac:dyDescent="0.25">
      <c r="B17" s="2" t="s">
        <v>42</v>
      </c>
      <c r="C17" s="19">
        <f>COUNTIF(GAb[Billing Request: Created By],$B17)</f>
        <v>0</v>
      </c>
      <c r="D17" s="10">
        <f>COUNTIFS(GAb[Billing Request: Created By],$B17,GAb[Status],"*Complete*")</f>
        <v>0</v>
      </c>
      <c r="E17" s="20">
        <f t="shared" si="0"/>
        <v>0</v>
      </c>
      <c r="F17" s="10">
        <f>COUNTIFS(GAb[Billing Request: Created By],$B17,GAb[Purpose of Request],"*Credit/Rebill*")</f>
        <v>0</v>
      </c>
      <c r="G17" s="10">
        <f>COUNTIFS(GAb[Billing Request: Created By],$B17,GAb[Purpose of Request],"*Missed Billing*")</f>
        <v>0</v>
      </c>
      <c r="H17" s="21" t="str">
        <f>IFERROR(AVERAGEIF(GAb[Billing Request: Created By],$B17,GAb[Days to Resolve]),"-")</f>
        <v>-</v>
      </c>
    </row>
    <row r="18" spans="2:10" x14ac:dyDescent="0.25">
      <c r="B18" s="22" t="s">
        <v>112</v>
      </c>
      <c r="C18" s="17">
        <f>SUM(C4:C17)</f>
        <v>1397</v>
      </c>
      <c r="D18" s="17">
        <f>SUM(D4:D17)</f>
        <v>1110</v>
      </c>
      <c r="E18" s="23"/>
      <c r="F18" s="17">
        <f>SUM(F4:F17)</f>
        <v>872</v>
      </c>
      <c r="G18" s="17">
        <f>SUM(G4:G17)</f>
        <v>405</v>
      </c>
      <c r="H18" s="23"/>
    </row>
    <row r="20" spans="2:10" ht="25.5" customHeight="1" x14ac:dyDescent="0.25">
      <c r="B20" s="88" t="s">
        <v>113</v>
      </c>
      <c r="C20" s="89"/>
      <c r="D20" s="89"/>
      <c r="E20" s="89"/>
      <c r="F20" s="89"/>
      <c r="G20" s="89"/>
      <c r="H20" s="89"/>
      <c r="I20" s="89"/>
      <c r="J20" s="89"/>
    </row>
    <row r="21" spans="2:10" ht="45" customHeight="1" x14ac:dyDescent="0.25">
      <c r="B21" s="24" t="s">
        <v>7</v>
      </c>
      <c r="C21" s="45" t="s">
        <v>22</v>
      </c>
      <c r="D21" s="45" t="s">
        <v>17</v>
      </c>
      <c r="E21" s="45" t="s">
        <v>13</v>
      </c>
      <c r="F21" s="45" t="s">
        <v>30</v>
      </c>
      <c r="G21" s="45" t="s">
        <v>9</v>
      </c>
      <c r="H21" s="25" t="s">
        <v>26</v>
      </c>
      <c r="I21" s="45" t="s">
        <v>33</v>
      </c>
      <c r="J21" s="25" t="s">
        <v>112</v>
      </c>
    </row>
    <row r="22" spans="2:10" x14ac:dyDescent="0.25">
      <c r="B22" s="26" t="s">
        <v>10</v>
      </c>
      <c r="C22" s="27">
        <f>COUNTIFS(
GAb[Billing Request: Created By],$B22,
GAb[Defect Reason Codes],"*Client Miss*"
)</f>
        <v>0</v>
      </c>
      <c r="D22" s="27">
        <f>COUNTIFS(
GAb[Billing Request: Created By],$B22,
GAb[Defect Reason Codes],"*Sales Miss*"
)</f>
        <v>0</v>
      </c>
      <c r="E22" s="27">
        <f>COUNTIFS(
GAb[Billing Request: Created By],$B22,
GAb[Defect Reason Codes],"*Incorrect Amount Billed*")</f>
        <v>0</v>
      </c>
      <c r="F22" s="27">
        <f>COUNTIFS(
GAb[Billing Request: Created By],$B22,
GAb[Defect Reason Codes],"*Tax/VAT*"
)</f>
        <v>0</v>
      </c>
      <c r="G22" s="27">
        <f>COUNTIFS(
GAb[Billing Request: Created By],$B22,
GAb[Defect Reason Codes],"*Other Invoice Details*"
)</f>
        <v>56</v>
      </c>
      <c r="H22" s="27">
        <f>COUNTIFS(
GAb[Billing Request: Created By],$B22,
GAb[Defect Reason Codes],"*PO Number*"
)</f>
        <v>0</v>
      </c>
      <c r="I22" s="27">
        <f>COUNTIFS(
GAb[Billing Request: Created By],$B22,
GAb[Defect Reason Codes],"*WriteOff*"
)</f>
        <v>0</v>
      </c>
      <c r="J22" s="28">
        <f>SUM(C22:I22)</f>
        <v>56</v>
      </c>
    </row>
    <row r="23" spans="2:10" x14ac:dyDescent="0.25">
      <c r="B23" s="29" t="s">
        <v>14</v>
      </c>
      <c r="C23" s="27">
        <f>COUNTIFS(
GAb[Billing Request: Created By],$B23,
GAb[Defect Reason Codes],"*Client Miss*"
)</f>
        <v>0</v>
      </c>
      <c r="D23" s="27">
        <f>COUNTIFS(
GAb[Billing Request: Created By],$B23,
GAb[Defect Reason Codes],"*Sales Miss*"
)</f>
        <v>0</v>
      </c>
      <c r="E23" s="27">
        <f>COUNTIFS(
GAb[Billing Request: Created By],$B23,
GAb[Defect Reason Codes],"*Incorrect Amount Billed*")</f>
        <v>0</v>
      </c>
      <c r="F23" s="27">
        <f>COUNTIFS(
GAb[Billing Request: Created By],$B23,
GAb[Defect Reason Codes],"*Tax/VAT*"
)</f>
        <v>0</v>
      </c>
      <c r="G23" s="27">
        <f>COUNTIFS(
GAb[Billing Request: Created By],$B23,
GAb[Defect Reason Codes],"*Other Invoice Details*"
)</f>
        <v>55</v>
      </c>
      <c r="H23" s="27">
        <f>COUNTIFS(
GAb[Billing Request: Created By],$B23,
GAb[Defect Reason Codes],"*PO Number*"
)</f>
        <v>0</v>
      </c>
      <c r="I23" s="27">
        <f>COUNTIFS(
GAb[Billing Request: Created By],$B23,
GAb[Defect Reason Codes],"*WriteOff*"
)</f>
        <v>0</v>
      </c>
      <c r="J23" s="28">
        <f t="shared" ref="J23:J35" si="1">SUM(C23:I23)</f>
        <v>55</v>
      </c>
    </row>
    <row r="24" spans="2:10" x14ac:dyDescent="0.25">
      <c r="B24" s="26" t="s">
        <v>18</v>
      </c>
      <c r="C24" s="27">
        <f>COUNTIFS(
GAb[Billing Request: Created By],$B24,
GAb[Defect Reason Codes],"*Client Miss*"
)</f>
        <v>0</v>
      </c>
      <c r="D24" s="27">
        <f>COUNTIFS(
GAb[Billing Request: Created By],$B24,
GAb[Defect Reason Codes],"*Sales Miss*"
)</f>
        <v>0</v>
      </c>
      <c r="E24" s="27">
        <f>COUNTIFS(
GAb[Billing Request: Created By],$B24,
GAb[Defect Reason Codes],"*Incorrect Amount Billed*")</f>
        <v>0</v>
      </c>
      <c r="F24" s="27">
        <f>COUNTIFS(
GAb[Billing Request: Created By],$B24,
GAb[Defect Reason Codes],"*Tax/VAT*"
)</f>
        <v>0</v>
      </c>
      <c r="G24" s="27">
        <f>COUNTIFS(
GAb[Billing Request: Created By],$B24,
GAb[Defect Reason Codes],"*Other Invoice Details*"
)</f>
        <v>0</v>
      </c>
      <c r="H24" s="27">
        <f>COUNTIFS(
GAb[Billing Request: Created By],$B24,
GAb[Defect Reason Codes],"*PO Number*"
)</f>
        <v>0</v>
      </c>
      <c r="I24" s="27">
        <f>COUNTIFS(
GAb[Billing Request: Created By],$B24,
GAb[Defect Reason Codes],"*WriteOff*"
)</f>
        <v>0</v>
      </c>
      <c r="J24" s="28">
        <f t="shared" si="1"/>
        <v>0</v>
      </c>
    </row>
    <row r="25" spans="2:10" x14ac:dyDescent="0.25">
      <c r="B25" s="29" t="s">
        <v>23</v>
      </c>
      <c r="C25" s="27">
        <f>COUNTIFS(
GAb[Billing Request: Created By],$B25,
GAb[Defect Reason Codes],"*Client Miss*"
)</f>
        <v>0</v>
      </c>
      <c r="D25" s="27">
        <f>COUNTIFS(
GAb[Billing Request: Created By],$B25,
GAb[Defect Reason Codes],"*Sales Miss*"
)</f>
        <v>0</v>
      </c>
      <c r="E25" s="27">
        <f>COUNTIFS(
GAb[Billing Request: Created By],$B25,
GAb[Defect Reason Codes],"*Incorrect Amount Billed*")</f>
        <v>0</v>
      </c>
      <c r="F25" s="27">
        <f>COUNTIFS(
GAb[Billing Request: Created By],$B25,
GAb[Defect Reason Codes],"*Tax/VAT*"
)</f>
        <v>0</v>
      </c>
      <c r="G25" s="27">
        <f>COUNTIFS(
GAb[Billing Request: Created By],$B25,
GAb[Defect Reason Codes],"*Other Invoice Details*"
)</f>
        <v>0</v>
      </c>
      <c r="H25" s="27">
        <f>COUNTIFS(
GAb[Billing Request: Created By],$B25,
GAb[Defect Reason Codes],"*PO Number*"
)</f>
        <v>0</v>
      </c>
      <c r="I25" s="27">
        <f>COUNTIFS(
GAb[Billing Request: Created By],$B25,
GAb[Defect Reason Codes],"*WriteOff*"
)</f>
        <v>0</v>
      </c>
      <c r="J25" s="28">
        <f t="shared" si="1"/>
        <v>0</v>
      </c>
    </row>
    <row r="26" spans="2:10" x14ac:dyDescent="0.25">
      <c r="B26" s="26" t="s">
        <v>27</v>
      </c>
      <c r="C26" s="27">
        <f>COUNTIFS(
GAb[Billing Request: Created By],$B26,
GAb[Defect Reason Codes],"*Client Miss*"
)</f>
        <v>0</v>
      </c>
      <c r="D26" s="27">
        <f>COUNTIFS(
GAb[Billing Request: Created By],$B26,
GAb[Defect Reason Codes],"*Sales Miss*"
)</f>
        <v>0</v>
      </c>
      <c r="E26" s="27">
        <f>COUNTIFS(
GAb[Billing Request: Created By],$B26,
GAb[Defect Reason Codes],"*Incorrect Amount Billed*")</f>
        <v>0</v>
      </c>
      <c r="F26" s="27">
        <f>COUNTIFS(
GAb[Billing Request: Created By],$B26,
GAb[Defect Reason Codes],"*Tax/VAT*"
)</f>
        <v>0</v>
      </c>
      <c r="G26" s="27">
        <f>COUNTIFS(
GAb[Billing Request: Created By],$B26,
GAb[Defect Reason Codes],"*Other Invoice Details*"
)</f>
        <v>0</v>
      </c>
      <c r="H26" s="27">
        <f>COUNTIFS(
GAb[Billing Request: Created By],$B26,
GAb[Defect Reason Codes],"*PO Number*"
)</f>
        <v>0</v>
      </c>
      <c r="I26" s="27">
        <f>COUNTIFS(
GAb[Billing Request: Created By],$B26,
GAb[Defect Reason Codes],"*WriteOff*"
)</f>
        <v>0</v>
      </c>
      <c r="J26" s="28">
        <f t="shared" si="1"/>
        <v>0</v>
      </c>
    </row>
    <row r="27" spans="2:10" x14ac:dyDescent="0.25">
      <c r="B27" s="29" t="s">
        <v>31</v>
      </c>
      <c r="C27" s="27">
        <f>COUNTIFS(
GAb[Billing Request: Created By],$B27,
GAb[Defect Reason Codes],"*Client Miss*"
)</f>
        <v>0</v>
      </c>
      <c r="D27" s="27">
        <f>COUNTIFS(
GAb[Billing Request: Created By],$B27,
GAb[Defect Reason Codes],"*Sales Miss*"
)</f>
        <v>0</v>
      </c>
      <c r="E27" s="27">
        <f>COUNTIFS(
GAb[Billing Request: Created By],$B27,
GAb[Defect Reason Codes],"*Incorrect Amount Billed*")</f>
        <v>0</v>
      </c>
      <c r="F27" s="27">
        <f>COUNTIFS(
GAb[Billing Request: Created By],$B27,
GAb[Defect Reason Codes],"*Tax/VAT*"
)</f>
        <v>0</v>
      </c>
      <c r="G27" s="27">
        <f>COUNTIFS(
GAb[Billing Request: Created By],$B27,
GAb[Defect Reason Codes],"*Other Invoice Details*"
)</f>
        <v>0</v>
      </c>
      <c r="H27" s="27">
        <f>COUNTIFS(
GAb[Billing Request: Created By],$B27,
GAb[Defect Reason Codes],"*PO Number*"
)</f>
        <v>0</v>
      </c>
      <c r="I27" s="27">
        <f>COUNTIFS(
GAb[Billing Request: Created By],$B27,
GAb[Defect Reason Codes],"*WriteOff*"
)</f>
        <v>0</v>
      </c>
      <c r="J27" s="28">
        <f t="shared" si="1"/>
        <v>0</v>
      </c>
    </row>
    <row r="28" spans="2:10" x14ac:dyDescent="0.25">
      <c r="B28" s="26" t="s">
        <v>34</v>
      </c>
      <c r="C28" s="27">
        <f>COUNTIFS(
GAb[Billing Request: Created By],$B28,
GAb[Defect Reason Codes],"*Client Miss*"
)</f>
        <v>0</v>
      </c>
      <c r="D28" s="27">
        <f>COUNTIFS(
GAb[Billing Request: Created By],$B28,
GAb[Defect Reason Codes],"*Sales Miss*"
)</f>
        <v>0</v>
      </c>
      <c r="E28" s="27">
        <f>COUNTIFS(
GAb[Billing Request: Created By],$B28,
GAb[Defect Reason Codes],"*Incorrect Amount Billed*")</f>
        <v>0</v>
      </c>
      <c r="F28" s="27">
        <f>COUNTIFS(
GAb[Billing Request: Created By],$B28,
GAb[Defect Reason Codes],"*Tax/VAT*"
)</f>
        <v>0</v>
      </c>
      <c r="G28" s="27">
        <f>COUNTIFS(
GAb[Billing Request: Created By],$B28,
GAb[Defect Reason Codes],"*Other Invoice Details*"
)</f>
        <v>46</v>
      </c>
      <c r="H28" s="27">
        <f>COUNTIFS(
GAb[Billing Request: Created By],$B28,
GAb[Defect Reason Codes],"*PO Number*"
)</f>
        <v>0</v>
      </c>
      <c r="I28" s="27">
        <f>COUNTIFS(
GAb[Billing Request: Created By],$B28,
GAb[Defect Reason Codes],"*WriteOff*"
)</f>
        <v>0</v>
      </c>
      <c r="J28" s="28">
        <f t="shared" si="1"/>
        <v>46</v>
      </c>
    </row>
    <row r="29" spans="2:10" x14ac:dyDescent="0.25">
      <c r="B29" s="29" t="s">
        <v>36</v>
      </c>
      <c r="C29" s="27">
        <f>COUNTIFS(
GAb[Billing Request: Created By],$B29,
GAb[Defect Reason Codes],"*Client Miss*"
)</f>
        <v>0</v>
      </c>
      <c r="D29" s="27">
        <f>COUNTIFS(
GAb[Billing Request: Created By],$B29,
GAb[Defect Reason Codes],"*Sales Miss*"
)</f>
        <v>0</v>
      </c>
      <c r="E29" s="27">
        <f>COUNTIFS(
GAb[Billing Request: Created By],$B29,
GAb[Defect Reason Codes],"*Incorrect Amount Billed*")</f>
        <v>0</v>
      </c>
      <c r="F29" s="27">
        <f>COUNTIFS(
GAb[Billing Request: Created By],$B29,
GAb[Defect Reason Codes],"*Tax/VAT*"
)</f>
        <v>0</v>
      </c>
      <c r="G29" s="27">
        <f>COUNTIFS(
GAb[Billing Request: Created By],$B29,
GAb[Defect Reason Codes],"*Other Invoice Details*"
)</f>
        <v>0</v>
      </c>
      <c r="H29" s="27">
        <f>COUNTIFS(
GAb[Billing Request: Created By],$B29,
GAb[Defect Reason Codes],"*PO Number*"
)</f>
        <v>0</v>
      </c>
      <c r="I29" s="27">
        <f>COUNTIFS(
GAb[Billing Request: Created By],$B29,
GAb[Defect Reason Codes],"*WriteOff*"
)</f>
        <v>0</v>
      </c>
      <c r="J29" s="28">
        <f t="shared" si="1"/>
        <v>0</v>
      </c>
    </row>
    <row r="30" spans="2:10" x14ac:dyDescent="0.25">
      <c r="B30" s="26" t="s">
        <v>38</v>
      </c>
      <c r="C30" s="27">
        <f>COUNTIFS(
GAb[Billing Request: Created By],$B30,
GAb[Defect Reason Codes],"*Client Miss*"
)</f>
        <v>0</v>
      </c>
      <c r="D30" s="27">
        <f>COUNTIFS(
GAb[Billing Request: Created By],$B30,
GAb[Defect Reason Codes],"*Sales Miss*"
)</f>
        <v>0</v>
      </c>
      <c r="E30" s="27">
        <f>COUNTIFS(
GAb[Billing Request: Created By],$B30,
GAb[Defect Reason Codes],"*Incorrect Amount Billed*")</f>
        <v>0</v>
      </c>
      <c r="F30" s="27">
        <f>COUNTIFS(
GAb[Billing Request: Created By],$B30,
GAb[Defect Reason Codes],"*Tax/VAT*"
)</f>
        <v>0</v>
      </c>
      <c r="G30" s="27">
        <f>COUNTIFS(
GAb[Billing Request: Created By],$B30,
GAb[Defect Reason Codes],"*Other Invoice Details*"
)</f>
        <v>0</v>
      </c>
      <c r="H30" s="27">
        <f>COUNTIFS(
GAb[Billing Request: Created By],$B30,
GAb[Defect Reason Codes],"*PO Number*"
)</f>
        <v>0</v>
      </c>
      <c r="I30" s="27">
        <f>COUNTIFS(
GAb[Billing Request: Created By],$B30,
GAb[Defect Reason Codes],"*WriteOff*"
)</f>
        <v>0</v>
      </c>
      <c r="J30" s="28">
        <f t="shared" si="1"/>
        <v>0</v>
      </c>
    </row>
    <row r="31" spans="2:10" x14ac:dyDescent="0.25">
      <c r="B31" s="29" t="s">
        <v>39</v>
      </c>
      <c r="C31" s="27">
        <f>COUNTIFS(
GAb[Billing Request: Created By],$B31,
GAb[Defect Reason Codes],"*Client Miss*"
)</f>
        <v>0</v>
      </c>
      <c r="D31" s="27">
        <f>COUNTIFS(
GAb[Billing Request: Created By],$B31,
GAb[Defect Reason Codes],"*Sales Miss*"
)</f>
        <v>0</v>
      </c>
      <c r="E31" s="27">
        <f>COUNTIFS(
GAb[Billing Request: Created By],$B31,
GAb[Defect Reason Codes],"*Incorrect Amount Billed*")</f>
        <v>0</v>
      </c>
      <c r="F31" s="27">
        <f>COUNTIFS(
GAb[Billing Request: Created By],$B31,
GAb[Defect Reason Codes],"*Tax/VAT*"
)</f>
        <v>0</v>
      </c>
      <c r="G31" s="27">
        <f>COUNTIFS(
GAb[Billing Request: Created By],$B31,
GAb[Defect Reason Codes],"*Other Invoice Details*"
)</f>
        <v>0</v>
      </c>
      <c r="H31" s="27">
        <f>COUNTIFS(
GAb[Billing Request: Created By],$B31,
GAb[Defect Reason Codes],"*PO Number*"
)</f>
        <v>0</v>
      </c>
      <c r="I31" s="27">
        <f>COUNTIFS(
GAb[Billing Request: Created By],$B31,
GAb[Defect Reason Codes],"*WriteOff*"
)</f>
        <v>0</v>
      </c>
      <c r="J31" s="28">
        <f t="shared" si="1"/>
        <v>0</v>
      </c>
    </row>
    <row r="32" spans="2:10" x14ac:dyDescent="0.25">
      <c r="B32" s="26" t="s">
        <v>41</v>
      </c>
      <c r="C32" s="27">
        <f>COUNTIFS(
GAb[Billing Request: Created By],$B32,
GAb[Defect Reason Codes],"*Client Miss*"
)</f>
        <v>0</v>
      </c>
      <c r="D32" s="27">
        <f>COUNTIFS(
GAb[Billing Request: Created By],$B32,
GAb[Defect Reason Codes],"*Sales Miss*"
)</f>
        <v>0</v>
      </c>
      <c r="E32" s="27">
        <f>COUNTIFS(
GAb[Billing Request: Created By],$B32,
GAb[Defect Reason Codes],"*Incorrect Amount Billed*")</f>
        <v>0</v>
      </c>
      <c r="F32" s="27">
        <f>COUNTIFS(
GAb[Billing Request: Created By],$B32,
GAb[Defect Reason Codes],"*Tax/VAT*"
)</f>
        <v>0</v>
      </c>
      <c r="G32" s="27">
        <f>COUNTIFS(
GAb[Billing Request: Created By],$B32,
GAb[Defect Reason Codes],"*Other Invoice Details*"
)</f>
        <v>0</v>
      </c>
      <c r="H32" s="27">
        <f>COUNTIFS(
GAb[Billing Request: Created By],$B32,
GAb[Defect Reason Codes],"*PO Number*"
)</f>
        <v>0</v>
      </c>
      <c r="I32" s="27">
        <f>COUNTIFS(
GAb[Billing Request: Created By],$B32,
GAb[Defect Reason Codes],"*WriteOff*"
)</f>
        <v>0</v>
      </c>
      <c r="J32" s="28">
        <f t="shared" si="1"/>
        <v>0</v>
      </c>
    </row>
    <row r="33" spans="2:10" x14ac:dyDescent="0.25">
      <c r="B33" s="29" t="s">
        <v>40</v>
      </c>
      <c r="C33" s="27">
        <f>COUNTIFS(
GAb[Billing Request: Created By],$B33,
GAb[Defect Reason Codes],"*Client Miss*"
)</f>
        <v>0</v>
      </c>
      <c r="D33" s="27">
        <f>COUNTIFS(
GAb[Billing Request: Created By],$B33,
GAb[Defect Reason Codes],"*Sales Miss*"
)</f>
        <v>0</v>
      </c>
      <c r="E33" s="27">
        <f>COUNTIFS(
GAb[Billing Request: Created By],$B33,
GAb[Defect Reason Codes],"*Incorrect Amount Billed*")</f>
        <v>0</v>
      </c>
      <c r="F33" s="27">
        <f>COUNTIFS(
GAb[Billing Request: Created By],$B33,
GAb[Defect Reason Codes],"*Tax/VAT*"
)</f>
        <v>0</v>
      </c>
      <c r="G33" s="27">
        <f>COUNTIFS(
GAb[Billing Request: Created By],$B33,
GAb[Defect Reason Codes],"*Other Invoice Details*"
)</f>
        <v>43</v>
      </c>
      <c r="H33" s="27">
        <f>COUNTIFS(
GAb[Billing Request: Created By],$B33,
GAb[Defect Reason Codes],"*PO Number*"
)</f>
        <v>0</v>
      </c>
      <c r="I33" s="27">
        <f>COUNTIFS(
GAb[Billing Request: Created By],$B33,
GAb[Defect Reason Codes],"*WriteOff*"
)</f>
        <v>0</v>
      </c>
      <c r="J33" s="28">
        <f t="shared" si="1"/>
        <v>43</v>
      </c>
    </row>
    <row r="34" spans="2:10" x14ac:dyDescent="0.25">
      <c r="B34" s="26" t="s">
        <v>43</v>
      </c>
      <c r="C34" s="27">
        <f>COUNTIFS(
GAb[Billing Request: Created By],$B34,
GAb[Defect Reason Codes],"*Client Miss*"
)</f>
        <v>0</v>
      </c>
      <c r="D34" s="27">
        <f>COUNTIFS(
GAb[Billing Request: Created By],$B34,
GAb[Defect Reason Codes],"*Sales Miss*"
)</f>
        <v>0</v>
      </c>
      <c r="E34" s="27">
        <f>COUNTIFS(
GAb[Billing Request: Created By],$B34,
GAb[Defect Reason Codes],"*Incorrect Amount Billed*")</f>
        <v>0</v>
      </c>
      <c r="F34" s="27">
        <f>COUNTIFS(
GAb[Billing Request: Created By],$B34,
GAb[Defect Reason Codes],"*Tax/VAT*"
)</f>
        <v>0</v>
      </c>
      <c r="G34" s="27">
        <f>COUNTIFS(
GAb[Billing Request: Created By],$B34,
GAb[Defect Reason Codes],"*Other Invoice Details*"
)</f>
        <v>0</v>
      </c>
      <c r="H34" s="27">
        <f>COUNTIFS(
GAb[Billing Request: Created By],$B34,
GAb[Defect Reason Codes],"*PO Number*"
)</f>
        <v>0</v>
      </c>
      <c r="I34" s="27">
        <f>COUNTIFS(
GAb[Billing Request: Created By],$B34,
GAb[Defect Reason Codes],"*WriteOff*"
)</f>
        <v>0</v>
      </c>
      <c r="J34" s="28">
        <f t="shared" si="1"/>
        <v>0</v>
      </c>
    </row>
    <row r="35" spans="2:10" x14ac:dyDescent="0.25">
      <c r="B35" s="29" t="s">
        <v>42</v>
      </c>
      <c r="C35" s="27">
        <f>COUNTIFS(
GAb[Billing Request: Created By],$B35,
GAb[Defect Reason Codes],"*Client Miss*"
)</f>
        <v>0</v>
      </c>
      <c r="D35" s="27">
        <f>COUNTIFS(
GAb[Billing Request: Created By],$B35,
GAb[Defect Reason Codes],"*Sales Miss*"
)</f>
        <v>0</v>
      </c>
      <c r="E35" s="27">
        <f>COUNTIFS(
GAb[Billing Request: Created By],$B35,
GAb[Defect Reason Codes],"*Incorrect Amount Billed*")</f>
        <v>0</v>
      </c>
      <c r="F35" s="27">
        <f>COUNTIFS(
GAb[Billing Request: Created By],$B35,
GAb[Defect Reason Codes],"*Tax/VAT*"
)</f>
        <v>0</v>
      </c>
      <c r="G35" s="27">
        <f>COUNTIFS(
GAb[Billing Request: Created By],$B35,
GAb[Defect Reason Codes],"*Other Invoice Details*"
)</f>
        <v>0</v>
      </c>
      <c r="H35" s="27">
        <f>COUNTIFS(
GAb[Billing Request: Created By],$B35,
GAb[Defect Reason Codes],"*PO Number*"
)</f>
        <v>0</v>
      </c>
      <c r="I35" s="27">
        <f>COUNTIFS(
GAb[Billing Request: Created By],$B35,
GAb[Defect Reason Codes],"*WriteOff*"
)</f>
        <v>0</v>
      </c>
      <c r="J35" s="28">
        <f t="shared" si="1"/>
        <v>0</v>
      </c>
    </row>
  </sheetData>
  <mergeCells count="2">
    <mergeCell ref="B1:H1"/>
    <mergeCell ref="B20:J20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C55A11"/>
  </sheetPr>
  <dimension ref="B1:I22"/>
  <sheetViews>
    <sheetView showGridLines="0" zoomScale="120" zoomScaleNormal="120" workbookViewId="0">
      <selection activeCell="I4" sqref="I4"/>
    </sheetView>
  </sheetViews>
  <sheetFormatPr baseColWidth="10" defaultColWidth="8.7109375" defaultRowHeight="15" x14ac:dyDescent="0.25"/>
  <cols>
    <col min="1" max="1" width="2" customWidth="1"/>
    <col min="2" max="2" width="34" customWidth="1"/>
    <col min="3" max="4" width="12" customWidth="1"/>
    <col min="5" max="5" width="16" customWidth="1"/>
    <col min="6" max="6" width="20" customWidth="1"/>
    <col min="7" max="7" width="2" customWidth="1"/>
  </cols>
  <sheetData>
    <row r="1" spans="2:9" ht="31.5" customHeight="1" x14ac:dyDescent="0.25">
      <c r="B1" s="85" t="s">
        <v>114</v>
      </c>
      <c r="C1" s="85"/>
      <c r="D1" s="85"/>
      <c r="E1" s="85"/>
      <c r="F1" s="85"/>
    </row>
    <row r="2" spans="2:9" ht="12" customHeight="1" x14ac:dyDescent="0.25"/>
    <row r="3" spans="2:9" ht="21.75" customHeight="1" x14ac:dyDescent="0.25">
      <c r="B3" s="4" t="s">
        <v>85</v>
      </c>
      <c r="C3" s="9" t="s">
        <v>6</v>
      </c>
      <c r="D3" s="9" t="s">
        <v>115</v>
      </c>
      <c r="E3" s="9" t="s">
        <v>116</v>
      </c>
      <c r="F3" s="9" t="s">
        <v>117</v>
      </c>
    </row>
    <row r="4" spans="2:9" x14ac:dyDescent="0.25">
      <c r="B4" s="47" t="s">
        <v>9</v>
      </c>
      <c r="C4" s="48">
        <f>COUNTIF(GAb[Defect Reason Codes],B4)</f>
        <v>496</v>
      </c>
      <c r="D4" s="49">
        <f>IFERROR(C4/$C$11,0)</f>
        <v>1</v>
      </c>
      <c r="E4" s="50">
        <f>SUM($D$4:D4)</f>
        <v>1</v>
      </c>
      <c r="F4" s="51" t="str">
        <f>IF(E4&lt;=0.8,"A – Critical (80%)",
IF(E4&lt;=0.95,"B – Important",
"C – Minor"))</f>
        <v>C – Minor</v>
      </c>
      <c r="I4" t="s">
        <v>178</v>
      </c>
    </row>
    <row r="5" spans="2:9" x14ac:dyDescent="0.25">
      <c r="B5" s="47" t="s">
        <v>13</v>
      </c>
      <c r="C5" s="48">
        <f>COUNTIF(GAb[Defect Reason Codes],B5)</f>
        <v>0</v>
      </c>
      <c r="D5" s="49">
        <f t="shared" ref="D5:D10" si="0">IFERROR(C5/$C$11,0)</f>
        <v>0</v>
      </c>
      <c r="E5" s="50">
        <f>SUM($D$4:D5)</f>
        <v>1</v>
      </c>
      <c r="F5" s="51" t="str">
        <f t="shared" ref="F5:F10" si="1">IF(E5&lt;=0.8,"A – Critical (80%)",
IF(E5&lt;=0.95,"B – Important",
"C – Minor"))</f>
        <v>C – Minor</v>
      </c>
    </row>
    <row r="6" spans="2:9" x14ac:dyDescent="0.25">
      <c r="B6" s="47" t="s">
        <v>17</v>
      </c>
      <c r="C6" s="48">
        <f>COUNTIF(GAb[Defect Reason Codes],B6)</f>
        <v>0</v>
      </c>
      <c r="D6" s="49">
        <f t="shared" si="0"/>
        <v>0</v>
      </c>
      <c r="E6" s="50">
        <f>SUM($D$4:D6)</f>
        <v>1</v>
      </c>
      <c r="F6" s="51" t="str">
        <f t="shared" si="1"/>
        <v>C – Minor</v>
      </c>
    </row>
    <row r="7" spans="2:9" x14ac:dyDescent="0.25">
      <c r="B7" s="47" t="s">
        <v>22</v>
      </c>
      <c r="C7" s="48">
        <f>COUNTIF(GAb[Defect Reason Codes],B7)</f>
        <v>0</v>
      </c>
      <c r="D7" s="49">
        <f t="shared" si="0"/>
        <v>0</v>
      </c>
      <c r="E7" s="50">
        <f>SUM($D$4:D7)</f>
        <v>1</v>
      </c>
      <c r="F7" s="51" t="str">
        <f t="shared" si="1"/>
        <v>C – Minor</v>
      </c>
    </row>
    <row r="8" spans="2:9" x14ac:dyDescent="0.25">
      <c r="B8" s="47" t="s">
        <v>26</v>
      </c>
      <c r="C8" s="48">
        <f>COUNTIF(GAb[Defect Reason Codes],B8)</f>
        <v>0</v>
      </c>
      <c r="D8" s="49">
        <f t="shared" si="0"/>
        <v>0</v>
      </c>
      <c r="E8" s="50">
        <f>SUM($D$4:D8)</f>
        <v>1</v>
      </c>
      <c r="F8" s="51" t="str">
        <f t="shared" si="1"/>
        <v>C – Minor</v>
      </c>
    </row>
    <row r="9" spans="2:9" x14ac:dyDescent="0.25">
      <c r="B9" s="47" t="s">
        <v>30</v>
      </c>
      <c r="C9" s="48">
        <f>COUNTIF(GAb[Defect Reason Codes],B9)</f>
        <v>0</v>
      </c>
      <c r="D9" s="49">
        <f t="shared" si="0"/>
        <v>0</v>
      </c>
      <c r="E9" s="50">
        <f>SUM($D$4:D9)</f>
        <v>1</v>
      </c>
      <c r="F9" s="51" t="str">
        <f t="shared" si="1"/>
        <v>C – Minor</v>
      </c>
    </row>
    <row r="10" spans="2:9" x14ac:dyDescent="0.25">
      <c r="B10" s="47" t="s">
        <v>33</v>
      </c>
      <c r="C10" s="48">
        <f>COUNTIF(GAb[Defect Reason Codes],B10)</f>
        <v>0</v>
      </c>
      <c r="D10" s="49">
        <f t="shared" si="0"/>
        <v>0</v>
      </c>
      <c r="E10" s="50">
        <f>SUM($D$4:D10)</f>
        <v>1</v>
      </c>
      <c r="F10" s="51" t="str">
        <f t="shared" si="1"/>
        <v>C – Minor</v>
      </c>
    </row>
    <row r="11" spans="2:9" x14ac:dyDescent="0.25">
      <c r="B11" s="22" t="s">
        <v>112</v>
      </c>
      <c r="C11" s="17">
        <f>SUM(C4:C10)</f>
        <v>496</v>
      </c>
      <c r="D11" s="23"/>
      <c r="E11" s="23"/>
      <c r="F11" s="23"/>
    </row>
    <row r="13" spans="2:9" ht="25.5" customHeight="1" x14ac:dyDescent="0.25">
      <c r="B13" s="87" t="s">
        <v>118</v>
      </c>
      <c r="C13" s="87"/>
      <c r="D13" s="87"/>
      <c r="E13" s="87"/>
      <c r="F13" s="87"/>
    </row>
    <row r="14" spans="2:9" x14ac:dyDescent="0.25">
      <c r="B14" s="37" t="s">
        <v>119</v>
      </c>
      <c r="C14" s="38" t="s">
        <v>6</v>
      </c>
      <c r="D14" s="38" t="s">
        <v>120</v>
      </c>
      <c r="E14" s="90" t="s">
        <v>121</v>
      </c>
      <c r="F14" s="91"/>
    </row>
    <row r="15" spans="2:9" x14ac:dyDescent="0.25">
      <c r="B15" s="8" t="s">
        <v>17</v>
      </c>
      <c r="C15" s="11">
        <f>COUNTIF(GAb[Defect Reason Codes],"*Sales Miss*")</f>
        <v>0</v>
      </c>
      <c r="D15" s="39">
        <f>IFERROR(C15/(C15+C16),0)</f>
        <v>0</v>
      </c>
      <c r="E15" s="8" t="s">
        <v>122</v>
      </c>
      <c r="F15" s="2"/>
    </row>
    <row r="16" spans="2:9" x14ac:dyDescent="0.25">
      <c r="B16" s="2" t="s">
        <v>22</v>
      </c>
      <c r="C16" s="15">
        <f>COUNTIF(GAb[Defect Reason Codes],"*Client Miss*")</f>
        <v>0</v>
      </c>
      <c r="D16" s="40">
        <f>IFERROR(C16/(C15+C16),0)</f>
        <v>0</v>
      </c>
      <c r="E16" s="46" t="s">
        <v>123</v>
      </c>
      <c r="F16" s="2"/>
    </row>
    <row r="18" spans="2:6" ht="24" customHeight="1" x14ac:dyDescent="0.25">
      <c r="B18" s="87" t="s">
        <v>124</v>
      </c>
      <c r="C18" s="87"/>
      <c r="D18" s="87"/>
      <c r="E18" s="87"/>
      <c r="F18" s="87"/>
    </row>
    <row r="19" spans="2:6" ht="18" customHeight="1" x14ac:dyDescent="0.25">
      <c r="B19" s="84" t="s">
        <v>125</v>
      </c>
      <c r="C19" s="84"/>
      <c r="D19" s="84"/>
      <c r="E19" s="84"/>
      <c r="F19" s="84"/>
    </row>
    <row r="20" spans="2:6" ht="18" customHeight="1" x14ac:dyDescent="0.25">
      <c r="B20" s="84" t="s">
        <v>126</v>
      </c>
      <c r="C20" s="84"/>
      <c r="D20" s="84"/>
      <c r="E20" s="84"/>
      <c r="F20" s="84"/>
    </row>
    <row r="21" spans="2:6" ht="18" customHeight="1" x14ac:dyDescent="0.25">
      <c r="B21" s="84" t="s">
        <v>127</v>
      </c>
      <c r="C21" s="84"/>
      <c r="D21" s="84"/>
      <c r="E21" s="84"/>
      <c r="F21" s="84"/>
    </row>
    <row r="22" spans="2:6" ht="18" customHeight="1" x14ac:dyDescent="0.25">
      <c r="B22" s="84" t="s">
        <v>128</v>
      </c>
      <c r="C22" s="84"/>
      <c r="D22" s="84"/>
      <c r="E22" s="84"/>
      <c r="F22" s="84"/>
    </row>
  </sheetData>
  <mergeCells count="8">
    <mergeCell ref="B21:F21"/>
    <mergeCell ref="B22:F22"/>
    <mergeCell ref="E14:F14"/>
    <mergeCell ref="B1:F1"/>
    <mergeCell ref="B13:F13"/>
    <mergeCell ref="B18:F18"/>
    <mergeCell ref="B19:F19"/>
    <mergeCell ref="B20:F20"/>
  </mergeCells>
  <conditionalFormatting sqref="B4:F10">
    <cfRule type="expression" dxfId="18" priority="1" stopIfTrue="1">
      <formula>$E4&lt;=0.8</formula>
    </cfRule>
    <cfRule type="expression" dxfId="17" priority="2" stopIfTrue="1">
      <formula>AND($E4&gt;0.8,$E4&lt;=0.95)</formula>
    </cfRule>
    <cfRule type="expression" dxfId="16" priority="3" stopIfTrue="1">
      <formula>$E4&gt;0.95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7030A0"/>
  </sheetPr>
  <dimension ref="B1:H23"/>
  <sheetViews>
    <sheetView showGridLines="0" zoomScale="130" zoomScaleNormal="130" workbookViewId="0">
      <selection activeCell="J32" sqref="J32"/>
    </sheetView>
  </sheetViews>
  <sheetFormatPr baseColWidth="10" defaultColWidth="8.7109375" defaultRowHeight="15" x14ac:dyDescent="0.25"/>
  <cols>
    <col min="1" max="1" width="2" customWidth="1"/>
    <col min="2" max="2" width="26" customWidth="1"/>
    <col min="3" max="3" width="14" customWidth="1"/>
    <col min="4" max="4" width="18" customWidth="1"/>
    <col min="5" max="5" width="26" customWidth="1"/>
    <col min="6" max="6" width="2" customWidth="1"/>
  </cols>
  <sheetData>
    <row r="1" spans="2:8" ht="31.5" customHeight="1" x14ac:dyDescent="0.25">
      <c r="B1" s="94" t="s">
        <v>129</v>
      </c>
      <c r="C1" s="95"/>
      <c r="D1" s="95"/>
      <c r="E1" s="95"/>
    </row>
    <row r="2" spans="2:8" ht="12" customHeight="1" x14ac:dyDescent="0.25"/>
    <row r="3" spans="2:8" ht="21.75" customHeight="1" x14ac:dyDescent="0.25">
      <c r="B3" s="9" t="s">
        <v>130</v>
      </c>
      <c r="C3" s="9" t="s">
        <v>6</v>
      </c>
      <c r="D3" s="9" t="s">
        <v>131</v>
      </c>
      <c r="E3" s="9" t="s">
        <v>121</v>
      </c>
    </row>
    <row r="4" spans="2:8" x14ac:dyDescent="0.25">
      <c r="B4" s="30" t="s">
        <v>11</v>
      </c>
      <c r="C4" s="31">
        <f>COUNTIFS(
GAb[Status],"*Complete*",
GAb[Days to Resolve],"&gt;=0",
GAb[Days to Resolve],"&lt;=7"
)</f>
        <v>206</v>
      </c>
      <c r="D4" s="32">
        <f>IFERROR(C4/$C$9,0)</f>
        <v>7.5018208302986167E-2</v>
      </c>
      <c r="E4" s="52" t="str">
        <f>IF(B4="0-7 days","Fast resolution ✓",
IF(B4="8-14 days","On-time resolution ✓",
IF(B4="15-30 days","Requires follow-up ⚠",
IF(B4="31-60 days","Significant delay ⚠",
"Critical delay ⛔"))))</f>
        <v>Fast resolution ✓</v>
      </c>
      <c r="H4" t="s">
        <v>178</v>
      </c>
    </row>
    <row r="5" spans="2:8" x14ac:dyDescent="0.25">
      <c r="B5" s="30" t="s">
        <v>15</v>
      </c>
      <c r="C5" s="31">
        <f>COUNTIFS(
GAb[Status],"*Complete*",
GAb[Days to Resolve],"&gt;=8",
GAb[Days to Resolve],"&lt;=14"
)</f>
        <v>198</v>
      </c>
      <c r="D5" s="32">
        <f t="shared" ref="D5:D8" si="0">IFERROR(C5/$C$9,0)</f>
        <v>7.2104879825200294E-2</v>
      </c>
      <c r="E5" s="52" t="str">
        <f t="shared" ref="E5:E8" si="1">IF(B5="0-7 days","Fast resolution ✓",
IF(B5="8-14 days","On-time resolution ✓",
IF(B5="15-30 days","Requires follow-up ⚠",
IF(B5="31-60 days","Significant delay ⚠",
"Critical delay ⛔"))))</f>
        <v>On-time resolution ✓</v>
      </c>
    </row>
    <row r="6" spans="2:8" x14ac:dyDescent="0.25">
      <c r="B6" s="33" t="s">
        <v>19</v>
      </c>
      <c r="C6" s="34">
        <f>COUNTIFS(
GAb[Status],"*Complete*",
GAb[Days to Resolve],"&gt;=15",
GAb[Days to Resolve],"&lt;=30"
)</f>
        <v>438</v>
      </c>
      <c r="D6" s="32">
        <f t="shared" si="0"/>
        <v>0.15950473415877639</v>
      </c>
      <c r="E6" s="52" t="str">
        <f t="shared" si="1"/>
        <v>Requires follow-up ⚠</v>
      </c>
    </row>
    <row r="7" spans="2:8" x14ac:dyDescent="0.25">
      <c r="B7" s="35" t="s">
        <v>24</v>
      </c>
      <c r="C7" s="36">
        <f>COUNTIFS(
GAb[Status],"*Complete*",
GAb[Days to Resolve],"&gt;=31",
GAb[Days to Resolve],"&lt;=60"
)</f>
        <v>726</v>
      </c>
      <c r="D7" s="32">
        <f t="shared" si="0"/>
        <v>0.26438455935906774</v>
      </c>
      <c r="E7" s="52" t="str">
        <f t="shared" si="1"/>
        <v>Significant delay ⚠</v>
      </c>
    </row>
    <row r="8" spans="2:8" x14ac:dyDescent="0.25">
      <c r="B8" s="35" t="s">
        <v>28</v>
      </c>
      <c r="C8" s="36">
        <f>COUNTIFS(
GAb[Status],"*Complete*",
GAb[Days to Resolve],"&gt;60"
)</f>
        <v>1178</v>
      </c>
      <c r="D8" s="32">
        <f t="shared" si="0"/>
        <v>0.42898761835396942</v>
      </c>
      <c r="E8" s="52" t="str">
        <f t="shared" si="1"/>
        <v>Critical delay ⛔</v>
      </c>
    </row>
    <row r="9" spans="2:8" x14ac:dyDescent="0.25">
      <c r="B9" s="22" t="s">
        <v>132</v>
      </c>
      <c r="C9" s="17">
        <f>SUM(C4:C8)</f>
        <v>2746</v>
      </c>
      <c r="D9" s="23"/>
      <c r="E9" s="23"/>
    </row>
    <row r="11" spans="2:8" ht="25.5" customHeight="1" x14ac:dyDescent="0.25">
      <c r="B11" s="92" t="s">
        <v>133</v>
      </c>
      <c r="C11" s="93"/>
    </row>
    <row r="12" spans="2:8" x14ac:dyDescent="0.25">
      <c r="B12" s="38" t="s">
        <v>134</v>
      </c>
      <c r="C12" s="38" t="s">
        <v>135</v>
      </c>
    </row>
    <row r="13" spans="2:8" x14ac:dyDescent="0.25">
      <c r="B13" s="8" t="s">
        <v>136</v>
      </c>
      <c r="C13" s="54">
        <f>_xlfn.MINIFS(
GAb[Days to Resolve],
GAb[Status],"*Complete*"
)</f>
        <v>-5</v>
      </c>
    </row>
    <row r="14" spans="2:8" x14ac:dyDescent="0.25">
      <c r="B14" s="2" t="s">
        <v>137</v>
      </c>
      <c r="C14" s="53">
        <f>AVERAGEIF(
GAb[Status],"*Complete*",
GAb[Days to Resolve]
)</f>
        <v>54.239436619718312</v>
      </c>
    </row>
    <row r="15" spans="2:8" x14ac:dyDescent="0.25">
      <c r="B15" s="8" t="s">
        <v>138</v>
      </c>
      <c r="C15" s="11" cm="1">
        <f t="array" ref="C15">MEDIAN(IF((GAb[Status]="Complete")*(GAb[Days to Resolve]&lt;&gt;""),GAb[Days to Resolve]))</f>
        <v>52</v>
      </c>
    </row>
    <row r="16" spans="2:8" x14ac:dyDescent="0.25">
      <c r="B16" s="2" t="s">
        <v>139</v>
      </c>
      <c r="C16" s="53" cm="1">
        <f t="array" ref="C16">_xlfn.PERCENTILE.INC(
IF(GAb[Status]="Complete",GAb[Days to Resolve]),
0.75
)</f>
        <v>83</v>
      </c>
    </row>
    <row r="17" spans="2:5" x14ac:dyDescent="0.25">
      <c r="B17" s="8" t="s">
        <v>140</v>
      </c>
      <c r="C17" s="11">
        <f>_xlfn.MAXIFS(
GAb[Days to Resolve],
GAb[Status],"*Complete*"
)</f>
        <v>120</v>
      </c>
    </row>
    <row r="19" spans="2:5" ht="24" customHeight="1" x14ac:dyDescent="0.25">
      <c r="B19" s="87" t="s">
        <v>141</v>
      </c>
      <c r="C19" s="87"/>
      <c r="D19" s="87"/>
      <c r="E19" s="87"/>
    </row>
    <row r="20" spans="2:5" ht="18" customHeight="1" x14ac:dyDescent="0.25">
      <c r="B20" s="84" t="s">
        <v>142</v>
      </c>
      <c r="C20" s="84"/>
      <c r="D20" s="84"/>
      <c r="E20" s="84"/>
    </row>
    <row r="21" spans="2:5" ht="18" customHeight="1" x14ac:dyDescent="0.25">
      <c r="B21" s="84" t="s">
        <v>143</v>
      </c>
      <c r="C21" s="84"/>
      <c r="D21" s="84"/>
      <c r="E21" s="84"/>
    </row>
    <row r="22" spans="2:5" ht="18" customHeight="1" x14ac:dyDescent="0.25">
      <c r="B22" s="84" t="s">
        <v>144</v>
      </c>
      <c r="C22" s="84"/>
      <c r="D22" s="84"/>
      <c r="E22" s="84"/>
    </row>
    <row r="23" spans="2:5" ht="18" customHeight="1" x14ac:dyDescent="0.25">
      <c r="B23" s="84" t="s">
        <v>145</v>
      </c>
      <c r="C23" s="84"/>
      <c r="D23" s="84"/>
      <c r="E23" s="84"/>
    </row>
  </sheetData>
  <mergeCells count="7">
    <mergeCell ref="B22:E22"/>
    <mergeCell ref="B23:E23"/>
    <mergeCell ref="B11:C11"/>
    <mergeCell ref="B1:E1"/>
    <mergeCell ref="B19:E19"/>
    <mergeCell ref="B20:E20"/>
    <mergeCell ref="B21:E21"/>
  </mergeCells>
  <conditionalFormatting sqref="B4:E8">
    <cfRule type="expression" dxfId="15" priority="1" stopIfTrue="1">
      <formula>$B4="0-7 days"</formula>
    </cfRule>
    <cfRule type="expression" dxfId="14" priority="2" stopIfTrue="1">
      <formula>$B4="8-14 days"</formula>
    </cfRule>
    <cfRule type="expression" dxfId="13" priority="3" stopIfTrue="1">
      <formula>$B4="15-30 days"</formula>
    </cfRule>
    <cfRule type="expression" dxfId="12" priority="4" stopIfTrue="1">
      <formula>$B4="31-60 days"</formula>
    </cfRule>
    <cfRule type="expression" dxfId="11" priority="5" stopIfTrue="1">
      <formula>$B4="61+ days"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FDCCCA-C585-4818-9D70-7F1CCFAAC3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📊 Executive Dashboard</vt:lpstr>
      <vt:lpstr>📋 Instructions</vt:lpstr>
      <vt:lpstr>📁 Data (Power Query)</vt:lpstr>
      <vt:lpstr>_PivotTables</vt:lpstr>
      <vt:lpstr>📈 Monthly Trend</vt:lpstr>
      <vt:lpstr>👤 Agent Analysis</vt:lpstr>
      <vt:lpstr>⚠️  Defect Analysis</vt:lpstr>
      <vt:lpstr>⏱️  Resolution (SLA)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Mayerling</cp:lastModifiedBy>
  <cp:revision>1</cp:revision>
  <dcterms:created xsi:type="dcterms:W3CDTF">2026-04-27T18:36:32Z</dcterms:created>
  <dcterms:modified xsi:type="dcterms:W3CDTF">2026-05-10T01:17:30Z</dcterms:modified>
  <dc:language>en-US</dc:language>
</cp:coreProperties>
</file>